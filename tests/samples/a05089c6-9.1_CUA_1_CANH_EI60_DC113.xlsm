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ohodecor.sharepoint.com/sites/FactoryTechnical/Shared Documents/04_TRIEN KHAI SAN XUAT/BOM&amp; THDM TEST BRAVO/BOM/2511_SYCAMORE_CT01/"/>
    </mc:Choice>
  </mc:AlternateContent>
  <xr:revisionPtr revIDLastSave="1" documentId="13_ncr:1_{7F86111C-76AF-483C-A07B-00853AD75ACF}" xr6:coauthVersionLast="47" xr6:coauthVersionMax="47" xr10:uidLastSave="{338F4227-62E6-49A0-BC99-D799B0BEEC3B}"/>
  <bookViews>
    <workbookView xWindow="-120" yWindow="-120" windowWidth="29040" windowHeight="15840" tabRatio="764" activeTab="2" xr2:uid="{00000000-000D-0000-FFFF-FFFF00000000}"/>
  </bookViews>
  <sheets>
    <sheet name="BOM_Phan I" sheetId="8" r:id="rId1"/>
    <sheet name="BOM_Phan II" sheetId="1" r:id="rId2"/>
    <sheet name="BOM_Phan III" sheetId="7" r:id="rId3"/>
    <sheet name="BOM_Phan IV" sheetId="9" r:id="rId4"/>
    <sheet name="TC_CUA" sheetId="20" state="hidden" r:id="rId5"/>
    <sheet name="TC_KH" sheetId="21" state="hidden" r:id="rId6"/>
    <sheet name="LOẠI 1" sheetId="11" state="hidden" r:id="rId7"/>
    <sheet name="LOẠI 2" sheetId="13" state="hidden" r:id="rId8"/>
    <sheet name="LOẠI 3" sheetId="14" state="hidden" r:id="rId9"/>
    <sheet name="LOẠI 4" sheetId="15" state="hidden" r:id="rId10"/>
    <sheet name="LOẠI 5-AIR" sheetId="16" state="hidden" r:id="rId11"/>
    <sheet name="LOẠI 5-PALEET" sheetId="17" state="hidden" r:id="rId12"/>
    <sheet name="BOM_Phan V" sheetId="18" r:id="rId13"/>
  </sheets>
  <functionGroups builtInGroupCount="19"/>
  <externalReferences>
    <externalReference r:id="rId14"/>
    <externalReference r:id="rId15"/>
  </externalReferences>
  <definedNames>
    <definedName name="_xlnm._FilterDatabase" localSheetId="1" hidden="1">'BOM_Phan II'!$A$11:$AX$499</definedName>
    <definedName name="_xlnm._FilterDatabase" localSheetId="2" hidden="1">'BOM_Phan III'!$A$11:$AX$85</definedName>
    <definedName name="_xlnm._FilterDatabase" localSheetId="3" hidden="1">'BOM_Phan IV'!$A$11:$AX$842</definedName>
    <definedName name="_xlnm._FilterDatabase" localSheetId="12" hidden="1">'BOM_Phan V'!$C$11:$R$84</definedName>
    <definedName name="_xlnm._FilterDatabase" localSheetId="6" hidden="1">'LOẠI 1'!$C$11:$R$84</definedName>
    <definedName name="_xlnm._FilterDatabase" localSheetId="7" hidden="1">'LOẠI 2'!$C$11:$R$84</definedName>
    <definedName name="_xlnm._FilterDatabase" localSheetId="8" hidden="1">'LOẠI 3'!$C$11:$R$84</definedName>
    <definedName name="_xlnm._FilterDatabase" localSheetId="9" hidden="1">'LOẠI 4'!$C$11:$R$84</definedName>
    <definedName name="_xlnm._FilterDatabase" localSheetId="10" hidden="1">'LOẠI 5-AIR'!$C$11:$R$84</definedName>
    <definedName name="_xlnm._FilterDatabase" localSheetId="11" hidden="1">'LOẠI 5-PALEET'!$C$11:$R$84</definedName>
    <definedName name="_xlnm._FilterDatabase" localSheetId="4" hidden="1">TC_CUA!$C$11:$R$84</definedName>
    <definedName name="_xlnm._FilterDatabase" localSheetId="5" hidden="1">TC_KH!$C$11:$R$84</definedName>
    <definedName name="_xlpm.Combined_Data" hidden="1" xlm="1">#NAME?</definedName>
    <definedName name="_xlpm.Cond_PhanII" hidden="1" xlm="1">#NAME?</definedName>
    <definedName name="_xlpm.Cond_PhanIII" hidden="1" xlm="1">#NAME?</definedName>
    <definedName name="_xlpm.Data_PhanII" hidden="1" xlm="1">#NAME?</definedName>
    <definedName name="_xlpm.Data_PhanIII" hidden="1" xlm="1">#NAME?</definedName>
    <definedName name="_xlpm.Filtered_PhanII" hidden="1" xlm="1">#NAME?</definedName>
    <definedName name="_xlpm.Filtered_PhanIII" hidden="1" xlm="1">#NAME?</definedName>
    <definedName name="BTP_CƠ_KHÍ" localSheetId="3">'BOM_Phan IV'!$D$804</definedName>
    <definedName name="BTP_CƠ_KHÍ">'BOM_Phan III'!$D$33</definedName>
    <definedName name="CHI" localSheetId="12">IF('BOM_Phan V'!XEZ1&lt;&gt;"",((MID('BOM_Phan V'!XEZ1,1,1)*'BOM_Phan V'!$G1)+(MID('BOM_Phan V'!XEZ1,3,1)*'BOM_Phan V'!$F1))*'BOM_Phan V'!XEV1/1000,"")</definedName>
    <definedName name="CHI" localSheetId="6">IF('LOẠI 1'!XEZ1&lt;&gt;"",((MID('LOẠI 1'!XEZ1,1,1)*'LOẠI 1'!$G1)+(MID('LOẠI 1'!XEZ1,3,1)*'LOẠI 1'!$F1))*'LOẠI 1'!XEV1/1000,"")</definedName>
    <definedName name="CHI" localSheetId="7">IF('LOẠI 2'!XEZ1&lt;&gt;"",((MID('LOẠI 2'!XEZ1,1,1)*'LOẠI 2'!$G1)+(MID('LOẠI 2'!XEZ1,3,1)*'LOẠI 2'!$F1))*'LOẠI 2'!XEV1/1000,"")</definedName>
    <definedName name="CHI" localSheetId="8">IF('LOẠI 3'!XEZ1&lt;&gt;"",((MID('LOẠI 3'!XEZ1,1,1)*'LOẠI 3'!$G1)+(MID('LOẠI 3'!XEZ1,3,1)*'LOẠI 3'!$F1))*'LOẠI 3'!XEV1/1000,"")</definedName>
    <definedName name="CHI" localSheetId="9">IF('LOẠI 4'!XEZ1&lt;&gt;"",((MID('LOẠI 4'!XEZ1,1,1)*'LOẠI 4'!$G1)+(MID('LOẠI 4'!XEZ1,3,1)*'LOẠI 4'!$F1))*'LOẠI 4'!XEV1/1000,"")</definedName>
    <definedName name="CHI" localSheetId="10">IF('LOẠI 5-AIR'!XEZ1&lt;&gt;"",((MID('LOẠI 5-AIR'!XEZ1,1,1)*'LOẠI 5-AIR'!$G1)+(MID('LOẠI 5-AIR'!XEZ1,3,1)*'LOẠI 5-AIR'!$F1))*'LOẠI 5-AIR'!XEV1/1000,"")</definedName>
    <definedName name="CHI" localSheetId="11">IF('LOẠI 5-PALEET'!XEZ1&lt;&gt;"",((MID('LOẠI 5-PALEET'!XEZ1,1,1)*'LOẠI 5-PALEET'!$G1)+(MID('LOẠI 5-PALEET'!XEZ1,3,1)*'LOẠI 5-PALEET'!$F1))*'LOẠI 5-PALEET'!XEV1/1000,"")</definedName>
    <definedName name="CHI" localSheetId="4">IF(TC_CUA!XEZ1&lt;&gt;"",((MID(TC_CUA!XEZ1,1,1)*TC_CUA!$G1)+(MID(TC_CUA!XEZ1,3,1)*TC_CUA!$F1))*TC_CUA!XEV1/1000,"")</definedName>
    <definedName name="CHI" localSheetId="5">IF(TC_KH!XEZ1&lt;&gt;"",((MID(TC_KH!XEZ1,1,1)*TC_KH!$G1)+(MID(TC_KH!XEZ1,3,1)*TC_KH!$F1))*TC_KH!XEV1/1000,"")</definedName>
    <definedName name="CHI">IF('BOM_Phan II'!XEZ1&lt;&gt;"",((MID('BOM_Phan II'!XEZ1,1,1)*'BOM_Phan II'!$G1)+(MID('BOM_Phan II'!XEZ1,3,1)*'BOM_Phan II'!$F1))*'BOM_Phan II'!XEV1/1000,"")</definedName>
    <definedName name="DTC" localSheetId="12">IF('BOM_Phan V'!XFA1&lt;&gt;"",((MID('BOM_Phan V'!XFA1,1,1)*'BOM_Phan V'!XES1*'BOM_Phan V'!XET1)+(MID('BOM_Phan V'!XFA1,3,1)*'BOM_Phan V'!XER1*'BOM_Phan V'!XET1)+(MID('BOM_Phan V'!XFA1,5,1)*'BOM_Phan V'!XER1*'BOM_Phan V'!XES1))*'BOM_Phan V'!XEU1/10^6,"")</definedName>
    <definedName name="DTC" localSheetId="6">IF('LOẠI 1'!XFA1&lt;&gt;"",((MID('LOẠI 1'!XFA1,1,1)*'LOẠI 1'!XES1*'LOẠI 1'!XET1)+(MID('LOẠI 1'!XFA1,3,1)*'LOẠI 1'!XER1*'LOẠI 1'!XET1)+(MID('LOẠI 1'!XFA1,5,1)*'LOẠI 1'!XER1*'LOẠI 1'!XES1))*'LOẠI 1'!XEU1/10^6,"")</definedName>
    <definedName name="DTC" localSheetId="7">IF('LOẠI 2'!XFA1&lt;&gt;"",((MID('LOẠI 2'!XFA1,1,1)*'LOẠI 2'!XES1*'LOẠI 2'!XET1)+(MID('LOẠI 2'!XFA1,3,1)*'LOẠI 2'!XER1*'LOẠI 2'!XET1)+(MID('LOẠI 2'!XFA1,5,1)*'LOẠI 2'!XER1*'LOẠI 2'!XES1))*'LOẠI 2'!XEU1/10^6,"")</definedName>
    <definedName name="DTC" localSheetId="8">IF('LOẠI 3'!XFA1&lt;&gt;"",((MID('LOẠI 3'!XFA1,1,1)*'LOẠI 3'!XES1*'LOẠI 3'!XET1)+(MID('LOẠI 3'!XFA1,3,1)*'LOẠI 3'!XER1*'LOẠI 3'!XET1)+(MID('LOẠI 3'!XFA1,5,1)*'LOẠI 3'!XER1*'LOẠI 3'!XES1))*'LOẠI 3'!XEU1/10^6,"")</definedName>
    <definedName name="DTC" localSheetId="9">IF('LOẠI 4'!XFA1&lt;&gt;"",((MID('LOẠI 4'!XFA1,1,1)*'LOẠI 4'!XES1*'LOẠI 4'!XET1)+(MID('LOẠI 4'!XFA1,3,1)*'LOẠI 4'!XER1*'LOẠI 4'!XET1)+(MID('LOẠI 4'!XFA1,5,1)*'LOẠI 4'!XER1*'LOẠI 4'!XES1))*'LOẠI 4'!XEU1/10^6,"")</definedName>
    <definedName name="DTC" localSheetId="10">IF('LOẠI 5-AIR'!XFA1&lt;&gt;"",((MID('LOẠI 5-AIR'!XFA1,1,1)*'LOẠI 5-AIR'!XES1*'LOẠI 5-AIR'!XET1)+(MID('LOẠI 5-AIR'!XFA1,3,1)*'LOẠI 5-AIR'!XER1*'LOẠI 5-AIR'!XET1)+(MID('LOẠI 5-AIR'!XFA1,5,1)*'LOẠI 5-AIR'!XER1*'LOẠI 5-AIR'!XES1))*'LOẠI 5-AIR'!XEU1/10^6,"")</definedName>
    <definedName name="DTC" localSheetId="11">IF('LOẠI 5-PALEET'!XFA1&lt;&gt;"",((MID('LOẠI 5-PALEET'!XFA1,1,1)*'LOẠI 5-PALEET'!XES1*'LOẠI 5-PALEET'!XET1)+(MID('LOẠI 5-PALEET'!XFA1,3,1)*'LOẠI 5-PALEET'!XER1*'LOẠI 5-PALEET'!XET1)+(MID('LOẠI 5-PALEET'!XFA1,5,1)*'LOẠI 5-PALEET'!XER1*'LOẠI 5-PALEET'!XES1))*'LOẠI 5-PALEET'!XEU1/10^6,"")</definedName>
    <definedName name="DTC" localSheetId="4">IF(TC_CUA!XFA1&lt;&gt;"",((MID(TC_CUA!XFA1,1,1)*TC_CUA!XES1*TC_CUA!XET1)+(MID(TC_CUA!XFA1,3,1)*TC_CUA!XER1*TC_CUA!XET1)+(MID(TC_CUA!XFA1,5,1)*TC_CUA!XER1*TC_CUA!XES1))*TC_CUA!XEU1/10^6,"")</definedName>
    <definedName name="DTC" localSheetId="5">IF(TC_KH!XFA1&lt;&gt;"",((MID(TC_KH!XFA1,1,1)*TC_KH!XES1*TC_KH!XET1)+(MID(TC_KH!XFA1,3,1)*TC_KH!XER1*TC_KH!XET1)+(MID(TC_KH!XFA1,5,1)*TC_KH!XER1*TC_KH!XES1))*TC_KH!XEU1/10^6,"")</definedName>
    <definedName name="DTC">IF('BOM_Phan II'!XFA1&lt;&gt;"",((MID('BOM_Phan II'!XFA1,1,1)*'BOM_Phan II'!XES1*'BOM_Phan II'!XET1)+(MID('BOM_Phan II'!XFA1,3,1)*'BOM_Phan II'!XER1*'BOM_Phan II'!XET1)+(MID('BOM_Phan II'!XFA1,5,1)*'BOM_Phan II'!XER1*'BOM_Phan II'!XES1))*'BOM_Phan II'!XEU1/10^6,"")</definedName>
    <definedName name="DTP" localSheetId="12">IF('BOM_Phan V'!XFA1&lt;&gt;"",((MID('BOM_Phan V'!XFA1,1,1)*'BOM_Phan V'!XER1*'BOM_Phan V'!XES1)+(MID('BOM_Phan V'!XFA1,3,1)*'BOM_Phan V'!XEQ1*'BOM_Phan V'!XES1)+(MID('BOM_Phan V'!XFA1,5,1)*'BOM_Phan V'!XEQ1*'BOM_Phan V'!XER1))*'BOM_Phan V'!XET1/10^6,"")</definedName>
    <definedName name="DTP" localSheetId="6">IF('LOẠI 1'!XFA1&lt;&gt;"",((MID('LOẠI 1'!XFA1,1,1)*'LOẠI 1'!XER1*'LOẠI 1'!XES1)+(MID('LOẠI 1'!XFA1,3,1)*'LOẠI 1'!XEQ1*'LOẠI 1'!XES1)+(MID('LOẠI 1'!XFA1,5,1)*'LOẠI 1'!XEQ1*'LOẠI 1'!XER1))*'LOẠI 1'!XET1/10^6,"")</definedName>
    <definedName name="DTP" localSheetId="7">IF('LOẠI 2'!XFA1&lt;&gt;"",((MID('LOẠI 2'!XFA1,1,1)*'LOẠI 2'!XER1*'LOẠI 2'!XES1)+(MID('LOẠI 2'!XFA1,3,1)*'LOẠI 2'!XEQ1*'LOẠI 2'!XES1)+(MID('LOẠI 2'!XFA1,5,1)*'LOẠI 2'!XEQ1*'LOẠI 2'!XER1))*'LOẠI 2'!XET1/10^6,"")</definedName>
    <definedName name="DTP" localSheetId="8">IF('LOẠI 3'!XFA1&lt;&gt;"",((MID('LOẠI 3'!XFA1,1,1)*'LOẠI 3'!XER1*'LOẠI 3'!XES1)+(MID('LOẠI 3'!XFA1,3,1)*'LOẠI 3'!XEQ1*'LOẠI 3'!XES1)+(MID('LOẠI 3'!XFA1,5,1)*'LOẠI 3'!XEQ1*'LOẠI 3'!XER1))*'LOẠI 3'!XET1/10^6,"")</definedName>
    <definedName name="DTP" localSheetId="9">IF('LOẠI 4'!XFA1&lt;&gt;"",((MID('LOẠI 4'!XFA1,1,1)*'LOẠI 4'!XER1*'LOẠI 4'!XES1)+(MID('LOẠI 4'!XFA1,3,1)*'LOẠI 4'!XEQ1*'LOẠI 4'!XES1)+(MID('LOẠI 4'!XFA1,5,1)*'LOẠI 4'!XEQ1*'LOẠI 4'!XER1))*'LOẠI 4'!XET1/10^6,"")</definedName>
    <definedName name="DTP" localSheetId="10">IF('LOẠI 5-AIR'!XFA1&lt;&gt;"",((MID('LOẠI 5-AIR'!XFA1,1,1)*'LOẠI 5-AIR'!XER1*'LOẠI 5-AIR'!XES1)+(MID('LOẠI 5-AIR'!XFA1,3,1)*'LOẠI 5-AIR'!XEQ1*'LOẠI 5-AIR'!XES1)+(MID('LOẠI 5-AIR'!XFA1,5,1)*'LOẠI 5-AIR'!XEQ1*'LOẠI 5-AIR'!XER1))*'LOẠI 5-AIR'!XET1/10^6,"")</definedName>
    <definedName name="DTP" localSheetId="11">IF('LOẠI 5-PALEET'!XFA1&lt;&gt;"",((MID('LOẠI 5-PALEET'!XFA1,1,1)*'LOẠI 5-PALEET'!XER1*'LOẠI 5-PALEET'!XES1)+(MID('LOẠI 5-PALEET'!XFA1,3,1)*'LOẠI 5-PALEET'!XEQ1*'LOẠI 5-PALEET'!XES1)+(MID('LOẠI 5-PALEET'!XFA1,5,1)*'LOẠI 5-PALEET'!XEQ1*'LOẠI 5-PALEET'!XER1))*'LOẠI 5-PALEET'!XET1/10^6,"")</definedName>
    <definedName name="DTP" localSheetId="4">IF(TC_CUA!XFA1&lt;&gt;"",((MID(TC_CUA!XFA1,1,1)*TC_CUA!XER1*TC_CUA!XES1)+(MID(TC_CUA!XFA1,3,1)*TC_CUA!XEQ1*TC_CUA!XES1)+(MID(TC_CUA!XFA1,5,1)*TC_CUA!XEQ1*TC_CUA!XER1))*TC_CUA!XET1/10^6,"")</definedName>
    <definedName name="DTP" localSheetId="5">IF(TC_KH!XFA1&lt;&gt;"",((MID(TC_KH!XFA1,1,1)*TC_KH!XER1*TC_KH!XES1)+(MID(TC_KH!XFA1,3,1)*TC_KH!XEQ1*TC_KH!XES1)+(MID(TC_KH!XFA1,5,1)*TC_KH!XEQ1*TC_KH!XER1))*TC_KH!XET1/10^6,"")</definedName>
    <definedName name="DTP">IF('BOM_Phan II'!XFA1&lt;&gt;"",((MID('BOM_Phan II'!XFA1,1,1)*'BOM_Phan II'!XER1*'BOM_Phan II'!XES1)+(MID('BOM_Phan II'!XFA1,3,1)*'BOM_Phan II'!XEQ1*'BOM_Phan II'!XES1)+(MID('BOM_Phan II'!XFA1,5,1)*'BOM_Phan II'!XEQ1*'BOM_Phan II'!XER1))*'BOM_Phan II'!XET1/10^6,"")</definedName>
    <definedName name="KL" localSheetId="12">IF('BOM_Phan V'!XEW1&lt;&gt;"",('BOM_Phan V'!XET1*'BOM_Phan V'!XEU1*'BOM_Phan V'!XEV1*'BOM_Phan V'!XEW1)/10^9,"")</definedName>
    <definedName name="KL" localSheetId="6">IF('LOẠI 1'!XEW1&lt;&gt;"",('LOẠI 1'!XET1*'LOẠI 1'!XEU1*'LOẠI 1'!XEV1*'LOẠI 1'!XEW1)/10^9,"")</definedName>
    <definedName name="KL" localSheetId="7">IF('LOẠI 2'!XEW1&lt;&gt;"",('LOẠI 2'!XET1*'LOẠI 2'!XEU1*'LOẠI 2'!XEV1*'LOẠI 2'!XEW1)/10^9,"")</definedName>
    <definedName name="KL" localSheetId="8">IF('LOẠI 3'!XEW1&lt;&gt;"",('LOẠI 3'!XET1*'LOẠI 3'!XEU1*'LOẠI 3'!XEV1*'LOẠI 3'!XEW1)/10^9,"")</definedName>
    <definedName name="KL" localSheetId="9">IF('LOẠI 4'!XEW1&lt;&gt;"",('LOẠI 4'!XET1*'LOẠI 4'!XEU1*'LOẠI 4'!XEV1*'LOẠI 4'!XEW1)/10^9,"")</definedName>
    <definedName name="KL" localSheetId="10">IF('LOẠI 5-AIR'!XEW1&lt;&gt;"",('LOẠI 5-AIR'!XET1*'LOẠI 5-AIR'!XEU1*'LOẠI 5-AIR'!XEV1*'LOẠI 5-AIR'!XEW1)/10^9,"")</definedName>
    <definedName name="KL" localSheetId="11">IF('LOẠI 5-PALEET'!XEW1&lt;&gt;"",('LOẠI 5-PALEET'!XET1*'LOẠI 5-PALEET'!XEU1*'LOẠI 5-PALEET'!XEV1*'LOẠI 5-PALEET'!XEW1)/10^9,"")</definedName>
    <definedName name="KL" localSheetId="4">IF(TC_CUA!XEW1&lt;&gt;"",(TC_CUA!XET1*TC_CUA!XEU1*TC_CUA!XEV1*TC_CUA!XEW1)/10^9,"")</definedName>
    <definedName name="KL" localSheetId="5">IF(TC_KH!XEW1&lt;&gt;"",(TC_KH!XET1*TC_KH!XEU1*TC_KH!XEV1*TC_KH!XEW1)/10^9,"")</definedName>
    <definedName name="KL">IF('BOM_Phan II'!XEW1&lt;&gt;"",('BOM_Phan II'!XET1*'BOM_Phan II'!XEU1*'BOM_Phan II'!XEV1*'BOM_Phan II'!XEW1)/10^9,"")</definedName>
    <definedName name="NHÓM_CHỈ_CẠNH" localSheetId="3">'BOM_Phan IV'!$D$12</definedName>
    <definedName name="NHÓM_CHỈ_CẠNH">'BOM_Phan III'!$D$12</definedName>
    <definedName name="_xlnm.Print_Area" localSheetId="0">'BOM_Phan I'!$C$1:$H$25</definedName>
    <definedName name="_xlnm.Print_Area" localSheetId="1">'BOM_Phan II'!$C$1:$U$500</definedName>
    <definedName name="_xlnm.Print_Area" localSheetId="2">'BOM_Phan III'!$C$1:$N$86</definedName>
    <definedName name="_xlnm.Print_Area" localSheetId="3">'BOM_Phan IV'!$C$1:$Q$843</definedName>
    <definedName name="_xlnm.Print_Area" localSheetId="12">'BOM_Phan V'!$C$1:$P$85</definedName>
    <definedName name="_xlnm.Print_Area" localSheetId="6">'LOẠI 1'!$C$1:$M$85</definedName>
    <definedName name="_xlnm.Print_Area" localSheetId="7">'LOẠI 2'!$C$1:$M$85</definedName>
    <definedName name="_xlnm.Print_Area" localSheetId="8">'LOẠI 3'!$C$1:$M$85</definedName>
    <definedName name="_xlnm.Print_Area" localSheetId="9">'LOẠI 4'!$C$1:$M$85</definedName>
    <definedName name="_xlnm.Print_Area" localSheetId="10">'LOẠI 5-AIR'!$C$1:$M$85</definedName>
    <definedName name="_xlnm.Print_Area" localSheetId="11">'LOẠI 5-PALEET'!$C$1:$M$85</definedName>
    <definedName name="_xlnm.Print_Area" localSheetId="4">TC_CUA!$C$1:$M$85</definedName>
    <definedName name="_xlnm.Print_Area" localSheetId="5">TC_KH!$C$1:$M$85</definedName>
    <definedName name="_xlnm.Print_Titles" localSheetId="1">'BOM_Phan II'!$10:$11</definedName>
    <definedName name="_xlnm.Print_Titles" localSheetId="2">'BOM_Phan III'!$11:$11</definedName>
    <definedName name="_xlnm.Print_Titles" localSheetId="3">'BOM_Phan IV'!$11:$11</definedName>
    <definedName name="_xlnm.Print_Titles" localSheetId="12">'BOM_Phan V'!$10:$11</definedName>
    <definedName name="_xlnm.Print_Titles" localSheetId="6">'LOẠI 1'!$10:$11</definedName>
    <definedName name="_xlnm.Print_Titles" localSheetId="7">'LOẠI 2'!$10:$11</definedName>
    <definedName name="_xlnm.Print_Titles" localSheetId="8">'LOẠI 3'!$10:$11</definedName>
    <definedName name="_xlnm.Print_Titles" localSheetId="9">'LOẠI 4'!$10:$11</definedName>
    <definedName name="_xlnm.Print_Titles" localSheetId="10">'LOẠI 5-AIR'!$10:$11</definedName>
    <definedName name="_xlnm.Print_Titles" localSheetId="11">'LOẠI 5-PALEET'!$10:$11</definedName>
    <definedName name="_xlnm.Print_Titles" localSheetId="4">TC_CUA!$10:$11</definedName>
    <definedName name="_xlnm.Print_Titles" localSheetId="5">TC_KH!$10:$11</definedName>
    <definedName name="PHỤ_KIỆN" localSheetId="3">'BOM_Phan IV'!$D$822</definedName>
    <definedName name="PHỤ_KIỆN">'BOM_Phan III'!$D$65</definedName>
    <definedName name="THẦU_PHỤ_GIA_CÔNG" localSheetId="3">'BOM_Phan IV'!$D$831</definedName>
    <definedName name="THẦU_PHỤ_GIA_CÔNG">'BOM_Phan III'!$D$74</definedName>
    <definedName name="VẬT_TƯ_CƠ_KHÍ" localSheetId="3">'BOM_Phan IV'!$D$27</definedName>
    <definedName name="VẬT_TƯ_CƠ_KHÍ">'BOM_Phan III'!$D$27</definedName>
    <definedName name="VẬT_TƯ_FOAM_SOFA" localSheetId="12">'BOM_Phan V'!#REF!</definedName>
    <definedName name="VẬT_TƯ_FOAM_SOFA" localSheetId="6">'LOẠI 1'!#REF!</definedName>
    <definedName name="VẬT_TƯ_FOAM_SOFA" localSheetId="7">'LOẠI 2'!#REF!</definedName>
    <definedName name="VẬT_TƯ_FOAM_SOFA" localSheetId="8">'LOẠI 3'!#REF!</definedName>
    <definedName name="VẬT_TƯ_FOAM_SOFA" localSheetId="9">'LOẠI 4'!#REF!</definedName>
    <definedName name="VẬT_TƯ_FOAM_SOFA" localSheetId="10">'LOẠI 5-AIR'!#REF!</definedName>
    <definedName name="VẬT_TƯ_FOAM_SOFA" localSheetId="11">'LOẠI 5-PALEET'!#REF!</definedName>
    <definedName name="VẬT_TƯ_FOAM_SOFA" localSheetId="4">TC_CUA!#REF!</definedName>
    <definedName name="VẬT_TƯ_FOAM_SOFA" localSheetId="5">TC_KH!#REF!</definedName>
    <definedName name="VẬT_TƯ_FOAM_SOFA">'BOM_Phan II'!$D$483</definedName>
    <definedName name="VẬT_TƯ_GỖ__VẬT_TƯ_TẤM" localSheetId="12">'BOM_Phan V'!$D$12</definedName>
    <definedName name="VẬT_TƯ_GỖ__VẬT_TƯ_TẤM" localSheetId="6">'LOẠI 1'!$D$12</definedName>
    <definedName name="VẬT_TƯ_GỖ__VẬT_TƯ_TẤM" localSheetId="7">'LOẠI 2'!$D$12</definedName>
    <definedName name="VẬT_TƯ_GỖ__VẬT_TƯ_TẤM" localSheetId="8">'LOẠI 3'!$D$12</definedName>
    <definedName name="VẬT_TƯ_GỖ__VẬT_TƯ_TẤM" localSheetId="9">'LOẠI 4'!$D$12</definedName>
    <definedName name="VẬT_TƯ_GỖ__VẬT_TƯ_TẤM" localSheetId="10">'LOẠI 5-AIR'!$D$12</definedName>
    <definedName name="VẬT_TƯ_GỖ__VẬT_TƯ_TẤM" localSheetId="11">'LOẠI 5-PALEET'!$D$12</definedName>
    <definedName name="VẬT_TƯ_GỖ__VẬT_TƯ_TẤM" localSheetId="4">TC_CUA!$D$12</definedName>
    <definedName name="VẬT_TƯ_GỖ__VẬT_TƯ_TẤM" localSheetId="5">TC_KH!$D$12</definedName>
    <definedName name="VẬT_TƯ_GỖ__VẬT_TƯ_TẤM">'BOM_Phan II'!$D$12</definedName>
    <definedName name="VẬT_TƯ_PHỤ" localSheetId="3">'BOM_Phan IV'!$D$809</definedName>
    <definedName name="VẬT_TƯ_PHỤ">'BOM_Phan III'!$D$43</definedName>
    <definedName name="VẬT_TƯ_VẢI__DA__SIMILI" localSheetId="12">'BOM_Phan V'!#REF!</definedName>
    <definedName name="VẬT_TƯ_VẢI__DA__SIMILI" localSheetId="6">'LOẠI 1'!#REF!</definedName>
    <definedName name="VẬT_TƯ_VẢI__DA__SIMILI" localSheetId="7">'LOẠI 2'!#REF!</definedName>
    <definedName name="VẬT_TƯ_VẢI__DA__SIMILI" localSheetId="8">'LOẠI 3'!#REF!</definedName>
    <definedName name="VẬT_TƯ_VẢI__DA__SIMILI" localSheetId="9">'LOẠI 4'!#REF!</definedName>
    <definedName name="VẬT_TƯ_VẢI__DA__SIMILI" localSheetId="10">'LOẠI 5-AIR'!#REF!</definedName>
    <definedName name="VẬT_TƯ_VẢI__DA__SIMILI" localSheetId="11">'LOẠI 5-PALEET'!#REF!</definedName>
    <definedName name="VẬT_TƯ_VẢI__DA__SIMILI" localSheetId="4">TC_CUA!#REF!</definedName>
    <definedName name="VẬT_TƯ_VẢI__DA__SIMILI" localSheetId="5">TC_KH!#REF!</definedName>
    <definedName name="VẬT_TƯ_VẢI__DA__SIMILI">'BOM_Phan II'!$D$488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" i="1" l="1"/>
  <c r="R16" i="1" s="1"/>
  <c r="S16" i="1"/>
  <c r="T16" i="1"/>
  <c r="U16" i="1"/>
  <c r="W16" i="1"/>
  <c r="A16" i="1" s="1"/>
  <c r="Y16" i="1"/>
  <c r="AA16" i="1"/>
  <c r="AD16" i="1"/>
  <c r="AI16" i="1" a="1"/>
  <c r="AI16" i="1" s="1"/>
  <c r="AM16" i="1"/>
  <c r="AN16" i="1" s="1"/>
  <c r="Z16" i="1"/>
  <c r="Q17" i="1"/>
  <c r="R17" i="1" s="1"/>
  <c r="S17" i="1"/>
  <c r="T17" i="1"/>
  <c r="U17" i="1"/>
  <c r="Y17" i="1"/>
  <c r="Z17" i="1"/>
  <c r="AA17" i="1"/>
  <c r="AI17" i="1" a="1"/>
  <c r="AI17" i="1" s="1"/>
  <c r="AM17" i="1"/>
  <c r="AN17" i="1" s="1"/>
  <c r="P18" i="1"/>
  <c r="Q18" i="1"/>
  <c r="R18" i="1" s="1"/>
  <c r="S18" i="1"/>
  <c r="T18" i="1"/>
  <c r="U18" i="1"/>
  <c r="W18" i="1"/>
  <c r="A18" i="1" s="1"/>
  <c r="Y18" i="1"/>
  <c r="AA18" i="1"/>
  <c r="AD18" i="1"/>
  <c r="AI18" i="1" a="1"/>
  <c r="AI18" i="1" s="1"/>
  <c r="AM18" i="1"/>
  <c r="AN18" i="1" s="1"/>
  <c r="Z18" i="1"/>
  <c r="P19" i="1"/>
  <c r="Q19" i="1"/>
  <c r="R19" i="1" s="1"/>
  <c r="S19" i="1"/>
  <c r="T19" i="1"/>
  <c r="U19" i="1"/>
  <c r="W19" i="1"/>
  <c r="A19" i="1" s="1"/>
  <c r="Y19" i="1"/>
  <c r="AA19" i="1"/>
  <c r="AD19" i="1"/>
  <c r="AI19" i="1" a="1"/>
  <c r="AI19" i="1" s="1"/>
  <c r="AM19" i="1"/>
  <c r="AN19" i="1" s="1"/>
  <c r="Z19" i="1"/>
  <c r="P20" i="1"/>
  <c r="Q20" i="1"/>
  <c r="R20" i="1" s="1"/>
  <c r="S20" i="1"/>
  <c r="T20" i="1"/>
  <c r="U20" i="1"/>
  <c r="Y20" i="1"/>
  <c r="Z20" i="1"/>
  <c r="AA20" i="1"/>
  <c r="AD20" i="1"/>
  <c r="AI20" i="1" a="1"/>
  <c r="AI20" i="1" s="1"/>
  <c r="AM20" i="1"/>
  <c r="AN20" i="1" s="1"/>
  <c r="P21" i="1"/>
  <c r="Q21" i="1"/>
  <c r="R21" i="1" s="1"/>
  <c r="S21" i="1"/>
  <c r="T21" i="1"/>
  <c r="U21" i="1"/>
  <c r="W21" i="1"/>
  <c r="A21" i="1" s="1"/>
  <c r="Y21" i="1"/>
  <c r="AA21" i="1"/>
  <c r="AD21" i="1"/>
  <c r="AI21" i="1" a="1"/>
  <c r="AI21" i="1" s="1"/>
  <c r="AM21" i="1"/>
  <c r="AN21" i="1" s="1"/>
  <c r="Z21" i="1"/>
  <c r="P22" i="1"/>
  <c r="Q22" i="1"/>
  <c r="R22" i="1" s="1"/>
  <c r="S22" i="1"/>
  <c r="T22" i="1"/>
  <c r="U22" i="1"/>
  <c r="W22" i="1"/>
  <c r="A22" i="1" s="1"/>
  <c r="Y22" i="1"/>
  <c r="AA22" i="1"/>
  <c r="AD22" i="1"/>
  <c r="AI22" i="1" a="1"/>
  <c r="AI22" i="1" s="1"/>
  <c r="AM22" i="1"/>
  <c r="AN22" i="1" s="1"/>
  <c r="Z22" i="1"/>
  <c r="P23" i="1"/>
  <c r="Q23" i="1"/>
  <c r="R23" i="1" s="1"/>
  <c r="S23" i="1"/>
  <c r="T23" i="1"/>
  <c r="U23" i="1"/>
  <c r="Y23" i="1"/>
  <c r="Z23" i="1"/>
  <c r="AA23" i="1"/>
  <c r="AD23" i="1"/>
  <c r="AI23" i="1" a="1"/>
  <c r="AI23" i="1" s="1"/>
  <c r="AM23" i="1"/>
  <c r="AN23" i="1" s="1"/>
  <c r="P24" i="1"/>
  <c r="Q24" i="1"/>
  <c r="R24" i="1" s="1"/>
  <c r="S24" i="1"/>
  <c r="T24" i="1"/>
  <c r="U24" i="1"/>
  <c r="W24" i="1"/>
  <c r="A24" i="1" s="1"/>
  <c r="Y24" i="1"/>
  <c r="AA24" i="1"/>
  <c r="AD24" i="1"/>
  <c r="AI24" i="1" a="1"/>
  <c r="AI24" i="1" s="1"/>
  <c r="AM24" i="1"/>
  <c r="AN24" i="1" s="1"/>
  <c r="Z24" i="1"/>
  <c r="P25" i="1"/>
  <c r="Q25" i="1"/>
  <c r="R25" i="1" s="1"/>
  <c r="S25" i="1"/>
  <c r="T25" i="1"/>
  <c r="U25" i="1"/>
  <c r="W25" i="1"/>
  <c r="A25" i="1" s="1"/>
  <c r="Y25" i="1"/>
  <c r="AA25" i="1"/>
  <c r="AD25" i="1"/>
  <c r="AI25" i="1" a="1"/>
  <c r="AI25" i="1" s="1"/>
  <c r="AM25" i="1"/>
  <c r="AN25" i="1" s="1"/>
  <c r="Z25" i="1"/>
  <c r="P26" i="1"/>
  <c r="Q26" i="1"/>
  <c r="R26" i="1" s="1"/>
  <c r="S26" i="1"/>
  <c r="T26" i="1"/>
  <c r="U26" i="1"/>
  <c r="Y26" i="1"/>
  <c r="Z26" i="1"/>
  <c r="AA26" i="1"/>
  <c r="AD26" i="1"/>
  <c r="AI26" i="1" a="1"/>
  <c r="AI26" i="1" s="1"/>
  <c r="AM26" i="1"/>
  <c r="AN26" i="1" s="1"/>
  <c r="P27" i="1"/>
  <c r="Q27" i="1"/>
  <c r="R27" i="1" s="1"/>
  <c r="S27" i="1"/>
  <c r="T27" i="1"/>
  <c r="U27" i="1"/>
  <c r="W27" i="1"/>
  <c r="A27" i="1" s="1"/>
  <c r="Y27" i="1"/>
  <c r="AA27" i="1"/>
  <c r="AD27" i="1"/>
  <c r="AI27" i="1" a="1"/>
  <c r="AI27" i="1" s="1"/>
  <c r="AM27" i="1"/>
  <c r="AN27" i="1" s="1"/>
  <c r="Z27" i="1"/>
  <c r="P28" i="1"/>
  <c r="Q28" i="1"/>
  <c r="R28" i="1" s="1"/>
  <c r="S28" i="1"/>
  <c r="T28" i="1"/>
  <c r="U28" i="1"/>
  <c r="W28" i="1"/>
  <c r="A28" i="1" s="1"/>
  <c r="Y28" i="1"/>
  <c r="AA28" i="1"/>
  <c r="AD28" i="1"/>
  <c r="AI28" i="1" a="1"/>
  <c r="AI28" i="1" s="1"/>
  <c r="AM28" i="1"/>
  <c r="AN28" i="1" s="1"/>
  <c r="Z28" i="1"/>
  <c r="P29" i="1"/>
  <c r="Q29" i="1"/>
  <c r="R29" i="1" s="1"/>
  <c r="S29" i="1"/>
  <c r="T29" i="1"/>
  <c r="U29" i="1"/>
  <c r="Y29" i="1"/>
  <c r="Z29" i="1"/>
  <c r="AA29" i="1"/>
  <c r="AD29" i="1"/>
  <c r="AI29" i="1" a="1"/>
  <c r="AI29" i="1" s="1"/>
  <c r="AM29" i="1"/>
  <c r="AN29" i="1" s="1"/>
  <c r="P30" i="1"/>
  <c r="Q30" i="1"/>
  <c r="R30" i="1" s="1"/>
  <c r="S30" i="1"/>
  <c r="T30" i="1"/>
  <c r="U30" i="1"/>
  <c r="W30" i="1"/>
  <c r="A30" i="1" s="1"/>
  <c r="Y30" i="1"/>
  <c r="AA30" i="1"/>
  <c r="AD30" i="1"/>
  <c r="AI30" i="1" a="1"/>
  <c r="AI30" i="1" s="1"/>
  <c r="AM30" i="1"/>
  <c r="AN30" i="1" s="1"/>
  <c r="Z30" i="1"/>
  <c r="P31" i="1"/>
  <c r="Q31" i="1"/>
  <c r="R31" i="1" s="1"/>
  <c r="S31" i="1"/>
  <c r="T31" i="1"/>
  <c r="U31" i="1"/>
  <c r="W31" i="1"/>
  <c r="A31" i="1" s="1"/>
  <c r="Y31" i="1"/>
  <c r="AA31" i="1"/>
  <c r="AD31" i="1"/>
  <c r="AI31" i="1" a="1"/>
  <c r="AI31" i="1" s="1"/>
  <c r="AM31" i="1"/>
  <c r="AN31" i="1" s="1"/>
  <c r="Z31" i="1"/>
  <c r="P32" i="1"/>
  <c r="Q32" i="1"/>
  <c r="R32" i="1" s="1"/>
  <c r="S32" i="1"/>
  <c r="T32" i="1"/>
  <c r="U32" i="1"/>
  <c r="Y32" i="1"/>
  <c r="Z32" i="1"/>
  <c r="AA32" i="1"/>
  <c r="AD32" i="1"/>
  <c r="AI32" i="1" a="1"/>
  <c r="AI32" i="1" s="1"/>
  <c r="AM32" i="1"/>
  <c r="AN32" i="1" s="1"/>
  <c r="P33" i="1"/>
  <c r="Q33" i="1"/>
  <c r="R33" i="1" s="1"/>
  <c r="S33" i="1"/>
  <c r="T33" i="1"/>
  <c r="U33" i="1"/>
  <c r="W33" i="1"/>
  <c r="A33" i="1" s="1"/>
  <c r="Y33" i="1"/>
  <c r="AA33" i="1"/>
  <c r="AD33" i="1"/>
  <c r="AI33" i="1" a="1"/>
  <c r="AI33" i="1" s="1"/>
  <c r="AM33" i="1"/>
  <c r="AN33" i="1" s="1"/>
  <c r="Z33" i="1"/>
  <c r="P34" i="1"/>
  <c r="Q34" i="1"/>
  <c r="R34" i="1" s="1"/>
  <c r="S34" i="1"/>
  <c r="T34" i="1"/>
  <c r="U34" i="1"/>
  <c r="W34" i="1"/>
  <c r="A34" i="1" s="1"/>
  <c r="Y34" i="1"/>
  <c r="AA34" i="1"/>
  <c r="AD34" i="1"/>
  <c r="AI34" i="1" a="1"/>
  <c r="AI34" i="1" s="1"/>
  <c r="AM34" i="1"/>
  <c r="AN34" i="1" s="1"/>
  <c r="Z34" i="1"/>
  <c r="P35" i="1"/>
  <c r="Q35" i="1"/>
  <c r="R35" i="1" s="1"/>
  <c r="S35" i="1"/>
  <c r="T35" i="1"/>
  <c r="U35" i="1"/>
  <c r="Y35" i="1"/>
  <c r="Z35" i="1"/>
  <c r="AA35" i="1"/>
  <c r="AD35" i="1"/>
  <c r="AI35" i="1" a="1"/>
  <c r="AI35" i="1" s="1"/>
  <c r="AM35" i="1"/>
  <c r="AN35" i="1" s="1"/>
  <c r="P36" i="1"/>
  <c r="Q36" i="1"/>
  <c r="R36" i="1" s="1"/>
  <c r="S36" i="1"/>
  <c r="T36" i="1"/>
  <c r="U36" i="1"/>
  <c r="W36" i="1"/>
  <c r="A36" i="1" s="1"/>
  <c r="Y36" i="1"/>
  <c r="AA36" i="1"/>
  <c r="AD36" i="1"/>
  <c r="AI36" i="1" a="1"/>
  <c r="AI36" i="1" s="1"/>
  <c r="AM36" i="1"/>
  <c r="AN36" i="1" s="1"/>
  <c r="Z36" i="1"/>
  <c r="P37" i="1"/>
  <c r="Q37" i="1"/>
  <c r="R37" i="1" s="1"/>
  <c r="S37" i="1"/>
  <c r="T37" i="1"/>
  <c r="U37" i="1"/>
  <c r="W37" i="1"/>
  <c r="A37" i="1" s="1"/>
  <c r="Y37" i="1"/>
  <c r="AA37" i="1"/>
  <c r="AD37" i="1"/>
  <c r="AI37" i="1" a="1"/>
  <c r="AI37" i="1" s="1"/>
  <c r="AM37" i="1"/>
  <c r="AN37" i="1" s="1"/>
  <c r="Z37" i="1"/>
  <c r="P38" i="1"/>
  <c r="Q38" i="1"/>
  <c r="R38" i="1" s="1"/>
  <c r="S38" i="1"/>
  <c r="T38" i="1"/>
  <c r="U38" i="1"/>
  <c r="Y38" i="1"/>
  <c r="Z38" i="1"/>
  <c r="AA38" i="1"/>
  <c r="AD38" i="1"/>
  <c r="AI38" i="1" a="1"/>
  <c r="AI38" i="1" s="1"/>
  <c r="AM38" i="1"/>
  <c r="AN38" i="1" s="1"/>
  <c r="P39" i="1"/>
  <c r="Q39" i="1"/>
  <c r="R39" i="1" s="1"/>
  <c r="S39" i="1"/>
  <c r="T39" i="1"/>
  <c r="U39" i="1"/>
  <c r="W39" i="1"/>
  <c r="A39" i="1" s="1"/>
  <c r="Y39" i="1"/>
  <c r="AA39" i="1"/>
  <c r="AD39" i="1"/>
  <c r="AI39" i="1" a="1"/>
  <c r="AI39" i="1" s="1"/>
  <c r="AM39" i="1"/>
  <c r="AN39" i="1" s="1"/>
  <c r="Z39" i="1"/>
  <c r="P40" i="1"/>
  <c r="Q40" i="1"/>
  <c r="R40" i="1" s="1"/>
  <c r="S40" i="1"/>
  <c r="T40" i="1"/>
  <c r="U40" i="1"/>
  <c r="W40" i="1"/>
  <c r="A40" i="1" s="1"/>
  <c r="Y40" i="1"/>
  <c r="AA40" i="1"/>
  <c r="AD40" i="1"/>
  <c r="AI40" i="1" a="1"/>
  <c r="AI40" i="1" s="1"/>
  <c r="AM40" i="1"/>
  <c r="AN40" i="1" s="1"/>
  <c r="Z40" i="1"/>
  <c r="P41" i="1"/>
  <c r="Q41" i="1"/>
  <c r="R41" i="1" s="1"/>
  <c r="S41" i="1"/>
  <c r="T41" i="1"/>
  <c r="U41" i="1"/>
  <c r="Y41" i="1"/>
  <c r="Z41" i="1"/>
  <c r="AA41" i="1"/>
  <c r="AD41" i="1"/>
  <c r="AI41" i="1" a="1"/>
  <c r="AI41" i="1" s="1"/>
  <c r="AM41" i="1"/>
  <c r="AN41" i="1" s="1"/>
  <c r="P42" i="1"/>
  <c r="Q42" i="1"/>
  <c r="R42" i="1" s="1"/>
  <c r="S42" i="1"/>
  <c r="T42" i="1"/>
  <c r="U42" i="1"/>
  <c r="W42" i="1"/>
  <c r="B42" i="1" s="1"/>
  <c r="Y42" i="1"/>
  <c r="Z42" i="1"/>
  <c r="AA42" i="1"/>
  <c r="AD42" i="1"/>
  <c r="AI42" i="1" a="1"/>
  <c r="AI42" i="1" s="1"/>
  <c r="AM42" i="1"/>
  <c r="AN42" i="1" s="1"/>
  <c r="P43" i="1"/>
  <c r="Q43" i="1"/>
  <c r="R43" i="1" s="1"/>
  <c r="S43" i="1"/>
  <c r="T43" i="1"/>
  <c r="U43" i="1"/>
  <c r="W43" i="1"/>
  <c r="A43" i="1" s="1"/>
  <c r="Y43" i="1"/>
  <c r="AA43" i="1"/>
  <c r="AD43" i="1"/>
  <c r="AI43" i="1" a="1"/>
  <c r="AI43" i="1" s="1"/>
  <c r="AM43" i="1"/>
  <c r="AN43" i="1" s="1"/>
  <c r="Z43" i="1"/>
  <c r="P44" i="1"/>
  <c r="Q44" i="1"/>
  <c r="R44" i="1" s="1"/>
  <c r="S44" i="1"/>
  <c r="T44" i="1"/>
  <c r="U44" i="1"/>
  <c r="Y44" i="1"/>
  <c r="AA44" i="1"/>
  <c r="AD44" i="1"/>
  <c r="AI44" i="1" a="1"/>
  <c r="AI44" i="1" s="1"/>
  <c r="AM44" i="1"/>
  <c r="AN44" i="1" s="1"/>
  <c r="C45" i="1"/>
  <c r="Z44" i="1" s="1"/>
  <c r="P45" i="1"/>
  <c r="Q45" i="1"/>
  <c r="R45" i="1" s="1"/>
  <c r="S45" i="1"/>
  <c r="T45" i="1"/>
  <c r="U45" i="1"/>
  <c r="Y45" i="1"/>
  <c r="AA45" i="1"/>
  <c r="AI45" i="1" a="1"/>
  <c r="AI45" i="1" s="1"/>
  <c r="AM45" i="1"/>
  <c r="AN45" i="1" s="1"/>
  <c r="C46" i="1"/>
  <c r="Z45" i="1" s="1"/>
  <c r="P46" i="1"/>
  <c r="Q46" i="1"/>
  <c r="R46" i="1" s="1"/>
  <c r="S46" i="1"/>
  <c r="T46" i="1"/>
  <c r="U46" i="1"/>
  <c r="Y46" i="1"/>
  <c r="AA46" i="1"/>
  <c r="AI46" i="1" a="1"/>
  <c r="AI46" i="1" s="1"/>
  <c r="AM46" i="1"/>
  <c r="AN46" i="1" s="1"/>
  <c r="C47" i="1"/>
  <c r="Z46" i="1" s="1"/>
  <c r="P47" i="1"/>
  <c r="Q47" i="1"/>
  <c r="R47" i="1" s="1"/>
  <c r="S47" i="1"/>
  <c r="T47" i="1"/>
  <c r="U47" i="1"/>
  <c r="Y47" i="1"/>
  <c r="AA47" i="1"/>
  <c r="AI47" i="1" a="1"/>
  <c r="AI47" i="1" s="1"/>
  <c r="AM47" i="1"/>
  <c r="AN47" i="1" s="1"/>
  <c r="C48" i="1"/>
  <c r="W48" i="1" s="1"/>
  <c r="P48" i="1"/>
  <c r="Q48" i="1"/>
  <c r="R48" i="1" s="1"/>
  <c r="S48" i="1"/>
  <c r="T48" i="1"/>
  <c r="U48" i="1"/>
  <c r="Y48" i="1"/>
  <c r="AA48" i="1"/>
  <c r="AI48" i="1" a="1"/>
  <c r="AI48" i="1" s="1"/>
  <c r="AM48" i="1"/>
  <c r="AN48" i="1" s="1"/>
  <c r="C49" i="1"/>
  <c r="Z48" i="1" s="1"/>
  <c r="P49" i="1"/>
  <c r="Q49" i="1"/>
  <c r="R49" i="1" s="1"/>
  <c r="S49" i="1"/>
  <c r="T49" i="1"/>
  <c r="U49" i="1"/>
  <c r="Y49" i="1"/>
  <c r="AA49" i="1"/>
  <c r="AI49" i="1" a="1"/>
  <c r="AI49" i="1" s="1"/>
  <c r="AM49" i="1"/>
  <c r="AN49" i="1" s="1"/>
  <c r="C50" i="1"/>
  <c r="Z49" i="1" s="1"/>
  <c r="P50" i="1"/>
  <c r="Q50" i="1"/>
  <c r="R50" i="1" s="1"/>
  <c r="S50" i="1"/>
  <c r="T50" i="1"/>
  <c r="U50" i="1"/>
  <c r="Y50" i="1"/>
  <c r="AA50" i="1"/>
  <c r="AI50" i="1" a="1"/>
  <c r="AI50" i="1" s="1"/>
  <c r="AM50" i="1"/>
  <c r="AN50" i="1" s="1"/>
  <c r="C51" i="1"/>
  <c r="Z50" i="1" s="1"/>
  <c r="P51" i="1"/>
  <c r="Q51" i="1"/>
  <c r="R51" i="1" s="1"/>
  <c r="S51" i="1"/>
  <c r="T51" i="1"/>
  <c r="U51" i="1"/>
  <c r="Y51" i="1"/>
  <c r="AA51" i="1"/>
  <c r="AI51" i="1" a="1"/>
  <c r="AI51" i="1" s="1"/>
  <c r="AM51" i="1"/>
  <c r="AN51" i="1" s="1"/>
  <c r="C52" i="1"/>
  <c r="Z51" i="1" s="1"/>
  <c r="P52" i="1"/>
  <c r="Q52" i="1"/>
  <c r="R52" i="1" s="1"/>
  <c r="S52" i="1"/>
  <c r="T52" i="1"/>
  <c r="U52" i="1"/>
  <c r="Y52" i="1"/>
  <c r="AA52" i="1"/>
  <c r="AI52" i="1" a="1"/>
  <c r="AI52" i="1" s="1"/>
  <c r="AM52" i="1"/>
  <c r="AN52" i="1" s="1"/>
  <c r="C53" i="1"/>
  <c r="Z52" i="1" s="1"/>
  <c r="P53" i="1"/>
  <c r="Q53" i="1"/>
  <c r="R53" i="1" s="1"/>
  <c r="S53" i="1"/>
  <c r="T53" i="1"/>
  <c r="U53" i="1"/>
  <c r="Y53" i="1"/>
  <c r="AA53" i="1"/>
  <c r="AI53" i="1" a="1"/>
  <c r="AI53" i="1" s="1"/>
  <c r="AM53" i="1"/>
  <c r="AN53" i="1" s="1"/>
  <c r="C54" i="1"/>
  <c r="W54" i="1" s="1"/>
  <c r="P54" i="1"/>
  <c r="Q54" i="1"/>
  <c r="R54" i="1" s="1"/>
  <c r="S54" i="1"/>
  <c r="T54" i="1"/>
  <c r="U54" i="1"/>
  <c r="Y54" i="1"/>
  <c r="AA54" i="1"/>
  <c r="AI54" i="1" a="1"/>
  <c r="AI54" i="1" s="1"/>
  <c r="AM54" i="1"/>
  <c r="AN54" i="1" s="1"/>
  <c r="C55" i="1"/>
  <c r="W55" i="1" s="1"/>
  <c r="A55" i="1" s="1"/>
  <c r="P55" i="1"/>
  <c r="Q55" i="1"/>
  <c r="R55" i="1" s="1"/>
  <c r="S55" i="1"/>
  <c r="T55" i="1"/>
  <c r="U55" i="1"/>
  <c r="Y55" i="1"/>
  <c r="AA55" i="1"/>
  <c r="AD55" i="1"/>
  <c r="AI55" i="1" a="1"/>
  <c r="AI55" i="1" s="1"/>
  <c r="AM55" i="1"/>
  <c r="AN55" i="1" s="1"/>
  <c r="C56" i="1"/>
  <c r="Z55" i="1" s="1"/>
  <c r="P56" i="1"/>
  <c r="Q56" i="1"/>
  <c r="R56" i="1" s="1"/>
  <c r="S56" i="1"/>
  <c r="T56" i="1"/>
  <c r="U56" i="1"/>
  <c r="Y56" i="1"/>
  <c r="AA56" i="1"/>
  <c r="AI56" i="1" a="1"/>
  <c r="AI56" i="1" s="1"/>
  <c r="AM56" i="1"/>
  <c r="AN56" i="1" s="1"/>
  <c r="C57" i="1"/>
  <c r="Z56" i="1" s="1"/>
  <c r="P57" i="1"/>
  <c r="Q57" i="1"/>
  <c r="R57" i="1" s="1"/>
  <c r="S57" i="1"/>
  <c r="T57" i="1"/>
  <c r="U57" i="1"/>
  <c r="W57" i="1"/>
  <c r="AX57" i="1" s="1"/>
  <c r="Y57" i="1"/>
  <c r="AA57" i="1"/>
  <c r="AI57" i="1" a="1"/>
  <c r="AI57" i="1" s="1"/>
  <c r="AM57" i="1"/>
  <c r="AN57" i="1" s="1"/>
  <c r="C58" i="1"/>
  <c r="Z57" i="1" s="1"/>
  <c r="P58" i="1"/>
  <c r="Q58" i="1"/>
  <c r="R58" i="1" s="1"/>
  <c r="S58" i="1"/>
  <c r="T58" i="1"/>
  <c r="U58" i="1"/>
  <c r="Y58" i="1"/>
  <c r="AA58" i="1"/>
  <c r="AI58" i="1" a="1"/>
  <c r="AI58" i="1" s="1"/>
  <c r="AM58" i="1"/>
  <c r="AN58" i="1" s="1"/>
  <c r="C59" i="1"/>
  <c r="Z58" i="1" s="1"/>
  <c r="P59" i="1"/>
  <c r="Q59" i="1"/>
  <c r="R59" i="1" s="1"/>
  <c r="S59" i="1"/>
  <c r="T59" i="1"/>
  <c r="U59" i="1"/>
  <c r="Y59" i="1"/>
  <c r="AA59" i="1"/>
  <c r="AI59" i="1" a="1"/>
  <c r="AI59" i="1" s="1"/>
  <c r="AM59" i="1"/>
  <c r="AN59" i="1" s="1"/>
  <c r="C60" i="1"/>
  <c r="W60" i="1" s="1"/>
  <c r="P60" i="1"/>
  <c r="Q60" i="1"/>
  <c r="R60" i="1" s="1"/>
  <c r="S60" i="1"/>
  <c r="T60" i="1"/>
  <c r="U60" i="1"/>
  <c r="Y60" i="1"/>
  <c r="AA60" i="1"/>
  <c r="AD60" i="1"/>
  <c r="AI60" i="1" a="1"/>
  <c r="AI60" i="1" s="1"/>
  <c r="AM60" i="1"/>
  <c r="AN60" i="1" s="1"/>
  <c r="C61" i="1"/>
  <c r="Z60" i="1" s="1"/>
  <c r="P61" i="1"/>
  <c r="Q61" i="1"/>
  <c r="R61" i="1" s="1"/>
  <c r="S61" i="1"/>
  <c r="T61" i="1"/>
  <c r="U61" i="1"/>
  <c r="Y61" i="1"/>
  <c r="AA61" i="1"/>
  <c r="AI61" i="1" a="1"/>
  <c r="AI61" i="1" s="1"/>
  <c r="AM61" i="1"/>
  <c r="AN61" i="1" s="1"/>
  <c r="C62" i="1"/>
  <c r="Z61" i="1" s="1"/>
  <c r="P62" i="1"/>
  <c r="Q62" i="1"/>
  <c r="R62" i="1" s="1"/>
  <c r="S62" i="1"/>
  <c r="T62" i="1"/>
  <c r="U62" i="1"/>
  <c r="Y62" i="1"/>
  <c r="AA62" i="1"/>
  <c r="AI62" i="1" a="1"/>
  <c r="AI62" i="1" s="1"/>
  <c r="AM62" i="1"/>
  <c r="AN62" i="1" s="1"/>
  <c r="C63" i="1"/>
  <c r="Z62" i="1" s="1"/>
  <c r="P63" i="1"/>
  <c r="Q63" i="1"/>
  <c r="R63" i="1" s="1"/>
  <c r="S63" i="1"/>
  <c r="T63" i="1"/>
  <c r="U63" i="1"/>
  <c r="Y63" i="1"/>
  <c r="AA63" i="1"/>
  <c r="AD63" i="1"/>
  <c r="AI63" i="1" a="1"/>
  <c r="AI63" i="1" s="1"/>
  <c r="AM63" i="1"/>
  <c r="AN63" i="1" s="1"/>
  <c r="C64" i="1"/>
  <c r="Z63" i="1" s="1"/>
  <c r="P64" i="1"/>
  <c r="Q64" i="1"/>
  <c r="R64" i="1" s="1"/>
  <c r="S64" i="1"/>
  <c r="T64" i="1"/>
  <c r="U64" i="1"/>
  <c r="Y64" i="1"/>
  <c r="AA64" i="1"/>
  <c r="AI64" i="1" a="1"/>
  <c r="AI64" i="1" s="1"/>
  <c r="AM64" i="1"/>
  <c r="AN64" i="1" s="1"/>
  <c r="C65" i="1"/>
  <c r="Z64" i="1" s="1"/>
  <c r="P65" i="1"/>
  <c r="Q65" i="1"/>
  <c r="R65" i="1" s="1"/>
  <c r="S65" i="1"/>
  <c r="T65" i="1"/>
  <c r="U65" i="1"/>
  <c r="Y65" i="1"/>
  <c r="AA65" i="1"/>
  <c r="AI65" i="1" a="1"/>
  <c r="AI65" i="1" s="1"/>
  <c r="AM65" i="1"/>
  <c r="AN65" i="1" s="1"/>
  <c r="C66" i="1"/>
  <c r="W66" i="1" s="1"/>
  <c r="P66" i="1"/>
  <c r="Q66" i="1"/>
  <c r="R66" i="1" s="1"/>
  <c r="S66" i="1"/>
  <c r="T66" i="1"/>
  <c r="U66" i="1"/>
  <c r="Y66" i="1"/>
  <c r="AA66" i="1"/>
  <c r="AI66" i="1" a="1"/>
  <c r="AI66" i="1" s="1"/>
  <c r="AM66" i="1"/>
  <c r="AN66" i="1" s="1"/>
  <c r="C67" i="1"/>
  <c r="AD67" i="1" s="1"/>
  <c r="P67" i="1"/>
  <c r="Q67" i="1"/>
  <c r="R67" i="1" s="1"/>
  <c r="S67" i="1"/>
  <c r="T67" i="1"/>
  <c r="U67" i="1"/>
  <c r="Y67" i="1"/>
  <c r="AA67" i="1"/>
  <c r="AI67" i="1" a="1"/>
  <c r="AI67" i="1" s="1"/>
  <c r="AM67" i="1"/>
  <c r="AN67" i="1" s="1"/>
  <c r="C68" i="1"/>
  <c r="Z67" i="1" s="1"/>
  <c r="P68" i="1"/>
  <c r="Q68" i="1"/>
  <c r="R68" i="1" s="1"/>
  <c r="S68" i="1"/>
  <c r="T68" i="1"/>
  <c r="U68" i="1"/>
  <c r="Y68" i="1"/>
  <c r="AA68" i="1"/>
  <c r="AI68" i="1" a="1"/>
  <c r="AI68" i="1" s="1"/>
  <c r="AM68" i="1"/>
  <c r="AN68" i="1" s="1"/>
  <c r="C69" i="1"/>
  <c r="Z68" i="1" s="1"/>
  <c r="P69" i="1"/>
  <c r="Q69" i="1"/>
  <c r="R69" i="1" s="1"/>
  <c r="S69" i="1"/>
  <c r="T69" i="1"/>
  <c r="U69" i="1"/>
  <c r="Y69" i="1"/>
  <c r="AA69" i="1"/>
  <c r="AI69" i="1" a="1"/>
  <c r="AI69" i="1" s="1"/>
  <c r="AM69" i="1"/>
  <c r="AN69" i="1" s="1"/>
  <c r="C70" i="1"/>
  <c r="Z69" i="1" s="1"/>
  <c r="P70" i="1"/>
  <c r="Q70" i="1"/>
  <c r="R70" i="1" s="1"/>
  <c r="S70" i="1"/>
  <c r="T70" i="1"/>
  <c r="U70" i="1"/>
  <c r="Y70" i="1"/>
  <c r="AA70" i="1"/>
  <c r="AI70" i="1" a="1"/>
  <c r="AI70" i="1" s="1"/>
  <c r="AM70" i="1"/>
  <c r="AN70" i="1" s="1"/>
  <c r="C71" i="1"/>
  <c r="Z70" i="1" s="1"/>
  <c r="P71" i="1"/>
  <c r="Q71" i="1"/>
  <c r="R71" i="1" s="1"/>
  <c r="S71" i="1"/>
  <c r="T71" i="1"/>
  <c r="U71" i="1"/>
  <c r="Y71" i="1"/>
  <c r="AA71" i="1"/>
  <c r="AI71" i="1" a="1"/>
  <c r="AI71" i="1" s="1"/>
  <c r="AM71" i="1"/>
  <c r="AN71" i="1" s="1"/>
  <c r="C72" i="1"/>
  <c r="W72" i="1" s="1"/>
  <c r="P72" i="1"/>
  <c r="Q72" i="1"/>
  <c r="R72" i="1" s="1"/>
  <c r="S72" i="1"/>
  <c r="T72" i="1"/>
  <c r="U72" i="1"/>
  <c r="Y72" i="1"/>
  <c r="AA72" i="1"/>
  <c r="AI72" i="1" a="1"/>
  <c r="AI72" i="1" s="1"/>
  <c r="AM72" i="1"/>
  <c r="AN72" i="1"/>
  <c r="C73" i="1"/>
  <c r="Z72" i="1" s="1"/>
  <c r="P73" i="1"/>
  <c r="Q73" i="1"/>
  <c r="R73" i="1" s="1"/>
  <c r="S73" i="1"/>
  <c r="T73" i="1"/>
  <c r="U73" i="1"/>
  <c r="Y73" i="1"/>
  <c r="AA73" i="1"/>
  <c r="AI73" i="1" a="1"/>
  <c r="AI73" i="1" s="1"/>
  <c r="AM73" i="1"/>
  <c r="AN73" i="1" s="1"/>
  <c r="C74" i="1"/>
  <c r="Z73" i="1" s="1"/>
  <c r="P74" i="1"/>
  <c r="Q74" i="1"/>
  <c r="R74" i="1" s="1"/>
  <c r="S74" i="1"/>
  <c r="T74" i="1"/>
  <c r="U74" i="1"/>
  <c r="Y74" i="1"/>
  <c r="AA74" i="1"/>
  <c r="AD74" i="1"/>
  <c r="AI74" i="1" a="1"/>
  <c r="AI74" i="1" s="1"/>
  <c r="AM74" i="1"/>
  <c r="AN74" i="1" s="1"/>
  <c r="C75" i="1"/>
  <c r="Z74" i="1" s="1"/>
  <c r="P75" i="1"/>
  <c r="Q75" i="1"/>
  <c r="R75" i="1" s="1"/>
  <c r="S75" i="1"/>
  <c r="T75" i="1"/>
  <c r="U75" i="1"/>
  <c r="Y75" i="1"/>
  <c r="AA75" i="1"/>
  <c r="AI75" i="1" a="1"/>
  <c r="AI75" i="1" s="1"/>
  <c r="AM75" i="1"/>
  <c r="AN75" i="1" s="1"/>
  <c r="C76" i="1"/>
  <c r="Z75" i="1" s="1"/>
  <c r="P76" i="1"/>
  <c r="Q76" i="1"/>
  <c r="R76" i="1" s="1"/>
  <c r="S76" i="1"/>
  <c r="T76" i="1"/>
  <c r="U76" i="1"/>
  <c r="Y76" i="1"/>
  <c r="AA76" i="1"/>
  <c r="AD76" i="1"/>
  <c r="AI76" i="1" a="1"/>
  <c r="AI76" i="1" s="1"/>
  <c r="AM76" i="1"/>
  <c r="AN76" i="1" s="1"/>
  <c r="C77" i="1"/>
  <c r="Z76" i="1" s="1"/>
  <c r="P77" i="1"/>
  <c r="Q77" i="1"/>
  <c r="R77" i="1" s="1"/>
  <c r="S77" i="1"/>
  <c r="T77" i="1"/>
  <c r="U77" i="1"/>
  <c r="Y77" i="1"/>
  <c r="Z77" i="1"/>
  <c r="AA77" i="1"/>
  <c r="AI77" i="1" a="1"/>
  <c r="AI77" i="1" s="1"/>
  <c r="AM77" i="1"/>
  <c r="AN77" i="1" s="1"/>
  <c r="C78" i="1"/>
  <c r="W78" i="1" s="1"/>
  <c r="P78" i="1"/>
  <c r="Q78" i="1"/>
  <c r="R78" i="1" s="1"/>
  <c r="S78" i="1"/>
  <c r="T78" i="1"/>
  <c r="U78" i="1"/>
  <c r="Y78" i="1"/>
  <c r="AA78" i="1"/>
  <c r="AD78" i="1"/>
  <c r="AI78" i="1" a="1"/>
  <c r="AI78" i="1" s="1"/>
  <c r="AM78" i="1"/>
  <c r="AN78" i="1" s="1"/>
  <c r="C79" i="1"/>
  <c r="AD79" i="1" s="1"/>
  <c r="P79" i="1"/>
  <c r="Q79" i="1"/>
  <c r="R79" i="1" s="1"/>
  <c r="S79" i="1"/>
  <c r="T79" i="1"/>
  <c r="U79" i="1"/>
  <c r="Y79" i="1"/>
  <c r="AA79" i="1"/>
  <c r="AI79" i="1" a="1"/>
  <c r="AI79" i="1" s="1"/>
  <c r="AM79" i="1"/>
  <c r="AN79" i="1" s="1"/>
  <c r="C80" i="1"/>
  <c r="Z79" i="1" s="1"/>
  <c r="P80" i="1"/>
  <c r="Q80" i="1"/>
  <c r="R80" i="1"/>
  <c r="S80" i="1"/>
  <c r="T80" i="1"/>
  <c r="U80" i="1"/>
  <c r="Y80" i="1"/>
  <c r="AA80" i="1"/>
  <c r="AI80" i="1" a="1"/>
  <c r="AI80" i="1" s="1"/>
  <c r="AM80" i="1"/>
  <c r="AN80" i="1" s="1"/>
  <c r="C81" i="1"/>
  <c r="Z80" i="1" s="1"/>
  <c r="P81" i="1"/>
  <c r="Q81" i="1"/>
  <c r="R81" i="1" s="1"/>
  <c r="S81" i="1"/>
  <c r="T81" i="1"/>
  <c r="U81" i="1"/>
  <c r="Y81" i="1"/>
  <c r="AA81" i="1"/>
  <c r="AI81" i="1" a="1"/>
  <c r="AI81" i="1" s="1"/>
  <c r="AM81" i="1"/>
  <c r="AN81" i="1" s="1"/>
  <c r="C82" i="1"/>
  <c r="Z81" i="1" s="1"/>
  <c r="P82" i="1"/>
  <c r="Q82" i="1"/>
  <c r="R82" i="1"/>
  <c r="S82" i="1"/>
  <c r="T82" i="1"/>
  <c r="U82" i="1"/>
  <c r="Y82" i="1"/>
  <c r="AA82" i="1"/>
  <c r="AI82" i="1" a="1"/>
  <c r="AI82" i="1" s="1"/>
  <c r="AM82" i="1"/>
  <c r="AN82" i="1" s="1"/>
  <c r="C83" i="1"/>
  <c r="Z82" i="1" s="1"/>
  <c r="P83" i="1"/>
  <c r="Q83" i="1"/>
  <c r="R83" i="1"/>
  <c r="S83" i="1"/>
  <c r="T83" i="1"/>
  <c r="U83" i="1"/>
  <c r="Y83" i="1"/>
  <c r="AA83" i="1"/>
  <c r="AI83" i="1" a="1"/>
  <c r="AI83" i="1" s="1"/>
  <c r="AM83" i="1"/>
  <c r="AN83" i="1" s="1"/>
  <c r="C84" i="1"/>
  <c r="W84" i="1" s="1"/>
  <c r="P84" i="1"/>
  <c r="Q84" i="1"/>
  <c r="R84" i="1" s="1"/>
  <c r="S84" i="1"/>
  <c r="T84" i="1"/>
  <c r="U84" i="1"/>
  <c r="Y84" i="1"/>
  <c r="AA84" i="1"/>
  <c r="AI84" i="1" a="1"/>
  <c r="AI84" i="1" s="1"/>
  <c r="AM84" i="1"/>
  <c r="AN84" i="1" s="1"/>
  <c r="C85" i="1"/>
  <c r="W85" i="1" s="1"/>
  <c r="A85" i="1" s="1"/>
  <c r="P85" i="1"/>
  <c r="Q85" i="1"/>
  <c r="R85" i="1" s="1"/>
  <c r="S85" i="1"/>
  <c r="T85" i="1"/>
  <c r="U85" i="1"/>
  <c r="Y85" i="1"/>
  <c r="AA85" i="1"/>
  <c r="AI85" i="1" a="1"/>
  <c r="AI85" i="1" s="1"/>
  <c r="AM85" i="1"/>
  <c r="AN85" i="1" s="1"/>
  <c r="C86" i="1"/>
  <c r="Z85" i="1" s="1"/>
  <c r="P86" i="1"/>
  <c r="Q86" i="1"/>
  <c r="R86" i="1" s="1"/>
  <c r="S86" i="1"/>
  <c r="T86" i="1"/>
  <c r="U86" i="1"/>
  <c r="Y86" i="1"/>
  <c r="AA86" i="1"/>
  <c r="AI86" i="1" a="1"/>
  <c r="AI86" i="1" s="1"/>
  <c r="AM86" i="1"/>
  <c r="AN86" i="1" s="1"/>
  <c r="D12" i="9"/>
  <c r="C74" i="7"/>
  <c r="C65" i="7"/>
  <c r="C43" i="7"/>
  <c r="C33" i="7"/>
  <c r="C27" i="7"/>
  <c r="C26" i="7"/>
  <c r="C12" i="7"/>
  <c r="AD66" i="1" l="1"/>
  <c r="Z65" i="1"/>
  <c r="W58" i="1"/>
  <c r="A58" i="1" s="1"/>
  <c r="AD81" i="1"/>
  <c r="AD80" i="1"/>
  <c r="W82" i="1"/>
  <c r="A82" i="1" s="1"/>
  <c r="AD62" i="1"/>
  <c r="W51" i="1"/>
  <c r="A51" i="1" s="1"/>
  <c r="AD54" i="1"/>
  <c r="AD56" i="1"/>
  <c r="AD48" i="1"/>
  <c r="V57" i="1"/>
  <c r="AD72" i="1"/>
  <c r="Z71" i="1"/>
  <c r="W69" i="1"/>
  <c r="AX69" i="1" s="1"/>
  <c r="W52" i="1"/>
  <c r="A52" i="1" s="1"/>
  <c r="AX36" i="1"/>
  <c r="AX33" i="1"/>
  <c r="W76" i="1"/>
  <c r="A76" i="1" s="1"/>
  <c r="AD45" i="1"/>
  <c r="W81" i="1"/>
  <c r="AX81" i="1" s="1"/>
  <c r="W46" i="1"/>
  <c r="A46" i="1" s="1"/>
  <c r="AD68" i="1"/>
  <c r="AD51" i="1"/>
  <c r="AD50" i="1"/>
  <c r="AD69" i="1"/>
  <c r="W63" i="1"/>
  <c r="A63" i="1" s="1"/>
  <c r="AD86" i="1"/>
  <c r="AD84" i="1"/>
  <c r="AD82" i="1"/>
  <c r="Z59" i="1"/>
  <c r="AD57" i="1"/>
  <c r="Z83" i="1"/>
  <c r="AX18" i="1"/>
  <c r="AD52" i="1"/>
  <c r="AD75" i="1"/>
  <c r="Z54" i="1"/>
  <c r="Z53" i="1"/>
  <c r="AX30" i="1"/>
  <c r="W75" i="1"/>
  <c r="A75" i="1" s="1"/>
  <c r="W70" i="1"/>
  <c r="A70" i="1" s="1"/>
  <c r="AD64" i="1"/>
  <c r="Z47" i="1"/>
  <c r="V18" i="1"/>
  <c r="AX39" i="1"/>
  <c r="AX27" i="1"/>
  <c r="W64" i="1"/>
  <c r="A64" i="1" s="1"/>
  <c r="B39" i="1"/>
  <c r="AX24" i="1"/>
  <c r="V60" i="1"/>
  <c r="B60" i="1"/>
  <c r="AX60" i="1"/>
  <c r="A60" i="1"/>
  <c r="V84" i="1"/>
  <c r="A84" i="1"/>
  <c r="AX84" i="1"/>
  <c r="B84" i="1"/>
  <c r="AX78" i="1"/>
  <c r="B78" i="1"/>
  <c r="V78" i="1"/>
  <c r="A78" i="1"/>
  <c r="AX54" i="1"/>
  <c r="B54" i="1"/>
  <c r="V54" i="1"/>
  <c r="A54" i="1"/>
  <c r="V72" i="1"/>
  <c r="B72" i="1"/>
  <c r="AX72" i="1"/>
  <c r="A72" i="1"/>
  <c r="V48" i="1"/>
  <c r="A48" i="1"/>
  <c r="B48" i="1"/>
  <c r="AX48" i="1"/>
  <c r="AX66" i="1"/>
  <c r="B66" i="1"/>
  <c r="V66" i="1"/>
  <c r="A66" i="1"/>
  <c r="Z84" i="1"/>
  <c r="V81" i="1"/>
  <c r="W79" i="1"/>
  <c r="A79" i="1" s="1"/>
  <c r="AD70" i="1"/>
  <c r="W67" i="1"/>
  <c r="A67" i="1" s="1"/>
  <c r="AD58" i="1"/>
  <c r="AD46" i="1"/>
  <c r="A42" i="1"/>
  <c r="B36" i="1"/>
  <c r="B30" i="1"/>
  <c r="B24" i="1"/>
  <c r="Z78" i="1"/>
  <c r="V75" i="1"/>
  <c r="AX21" i="1"/>
  <c r="V63" i="1"/>
  <c r="V51" i="1"/>
  <c r="AD85" i="1"/>
  <c r="AD73" i="1"/>
  <c r="AD61" i="1"/>
  <c r="AD49" i="1"/>
  <c r="B81" i="1"/>
  <c r="B57" i="1"/>
  <c r="V42" i="1"/>
  <c r="AD77" i="1"/>
  <c r="A69" i="1"/>
  <c r="AD65" i="1"/>
  <c r="AX63" i="1"/>
  <c r="A57" i="1"/>
  <c r="AD53" i="1"/>
  <c r="AX51" i="1"/>
  <c r="V36" i="1"/>
  <c r="V30" i="1"/>
  <c r="V24" i="1"/>
  <c r="Z66" i="1"/>
  <c r="W73" i="1"/>
  <c r="A73" i="1" s="1"/>
  <c r="W61" i="1"/>
  <c r="A61" i="1" s="1"/>
  <c r="W49" i="1"/>
  <c r="A49" i="1" s="1"/>
  <c r="B33" i="1"/>
  <c r="B27" i="1"/>
  <c r="B21" i="1"/>
  <c r="W45" i="1"/>
  <c r="AX42" i="1"/>
  <c r="B75" i="1"/>
  <c r="B51" i="1"/>
  <c r="B63" i="1"/>
  <c r="AD83" i="1"/>
  <c r="AD71" i="1"/>
  <c r="AD59" i="1"/>
  <c r="AD47" i="1"/>
  <c r="V39" i="1"/>
  <c r="V33" i="1"/>
  <c r="V27" i="1"/>
  <c r="V21" i="1"/>
  <c r="AD17" i="1"/>
  <c r="V82" i="1"/>
  <c r="V76" i="1"/>
  <c r="V58" i="1"/>
  <c r="V55" i="1"/>
  <c r="V52" i="1"/>
  <c r="V49" i="1"/>
  <c r="V46" i="1"/>
  <c r="V43" i="1"/>
  <c r="V40" i="1"/>
  <c r="V37" i="1"/>
  <c r="V34" i="1"/>
  <c r="V31" i="1"/>
  <c r="V28" i="1"/>
  <c r="V25" i="1"/>
  <c r="V22" i="1"/>
  <c r="V19" i="1"/>
  <c r="V16" i="1"/>
  <c r="V85" i="1"/>
  <c r="V79" i="1"/>
  <c r="V73" i="1"/>
  <c r="AX79" i="1"/>
  <c r="AX73" i="1"/>
  <c r="AX70" i="1"/>
  <c r="AX58" i="1"/>
  <c r="AX55" i="1"/>
  <c r="AX46" i="1"/>
  <c r="AX43" i="1"/>
  <c r="AX37" i="1"/>
  <c r="AX31" i="1"/>
  <c r="AX28" i="1"/>
  <c r="AX25" i="1"/>
  <c r="AX22" i="1"/>
  <c r="AX19" i="1"/>
  <c r="AX16" i="1"/>
  <c r="AX52" i="1"/>
  <c r="AX40" i="1"/>
  <c r="AX34" i="1"/>
  <c r="W86" i="1"/>
  <c r="W83" i="1"/>
  <c r="W80" i="1"/>
  <c r="W77" i="1"/>
  <c r="W74" i="1"/>
  <c r="W71" i="1"/>
  <c r="W68" i="1"/>
  <c r="W65" i="1"/>
  <c r="W62" i="1"/>
  <c r="W59" i="1"/>
  <c r="W56" i="1"/>
  <c r="W53" i="1"/>
  <c r="W50" i="1"/>
  <c r="W47" i="1"/>
  <c r="W44" i="1"/>
  <c r="W41" i="1"/>
  <c r="W38" i="1"/>
  <c r="W35" i="1"/>
  <c r="W32" i="1"/>
  <c r="W29" i="1"/>
  <c r="W26" i="1"/>
  <c r="W23" i="1"/>
  <c r="W20" i="1"/>
  <c r="W17" i="1"/>
  <c r="B18" i="1"/>
  <c r="AX85" i="1"/>
  <c r="B85" i="1"/>
  <c r="B76" i="1"/>
  <c r="B58" i="1"/>
  <c r="B46" i="1"/>
  <c r="B43" i="1"/>
  <c r="B40" i="1"/>
  <c r="B37" i="1"/>
  <c r="B34" i="1"/>
  <c r="B31" i="1"/>
  <c r="B28" i="1"/>
  <c r="B25" i="1"/>
  <c r="B22" i="1"/>
  <c r="B19" i="1"/>
  <c r="B16" i="1"/>
  <c r="B79" i="1"/>
  <c r="B61" i="1"/>
  <c r="B55" i="1"/>
  <c r="B52" i="1"/>
  <c r="P50" i="7"/>
  <c r="P51" i="7"/>
  <c r="P52" i="7"/>
  <c r="P53" i="7"/>
  <c r="P54" i="7"/>
  <c r="P55" i="7"/>
  <c r="P56" i="7"/>
  <c r="P57" i="7"/>
  <c r="P58" i="7"/>
  <c r="A58" i="7" s="1"/>
  <c r="P59" i="7"/>
  <c r="A59" i="7" s="1"/>
  <c r="P60" i="7"/>
  <c r="A60" i="7" s="1"/>
  <c r="S14" i="1"/>
  <c r="S15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13" i="1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T592" i="9"/>
  <c r="T593" i="9"/>
  <c r="T594" i="9"/>
  <c r="T595" i="9"/>
  <c r="T596" i="9"/>
  <c r="T597" i="9"/>
  <c r="T598" i="9"/>
  <c r="T599" i="9"/>
  <c r="T600" i="9"/>
  <c r="T601" i="9"/>
  <c r="T602" i="9"/>
  <c r="T603" i="9"/>
  <c r="T604" i="9"/>
  <c r="T605" i="9"/>
  <c r="T606" i="9"/>
  <c r="T607" i="9"/>
  <c r="T608" i="9"/>
  <c r="T609" i="9"/>
  <c r="T610" i="9"/>
  <c r="T611" i="9"/>
  <c r="T612" i="9"/>
  <c r="T613" i="9"/>
  <c r="T614" i="9"/>
  <c r="T615" i="9"/>
  <c r="T616" i="9"/>
  <c r="T617" i="9"/>
  <c r="T618" i="9"/>
  <c r="T619" i="9"/>
  <c r="T620" i="9"/>
  <c r="T621" i="9"/>
  <c r="T622" i="9"/>
  <c r="T623" i="9"/>
  <c r="T624" i="9"/>
  <c r="T625" i="9"/>
  <c r="T626" i="9"/>
  <c r="T627" i="9"/>
  <c r="T628" i="9"/>
  <c r="T629" i="9"/>
  <c r="T630" i="9"/>
  <c r="T631" i="9"/>
  <c r="T632" i="9"/>
  <c r="T633" i="9"/>
  <c r="T634" i="9"/>
  <c r="T635" i="9"/>
  <c r="T636" i="9"/>
  <c r="T637" i="9"/>
  <c r="T638" i="9"/>
  <c r="T639" i="9"/>
  <c r="T640" i="9"/>
  <c r="T641" i="9"/>
  <c r="T642" i="9"/>
  <c r="T643" i="9"/>
  <c r="T644" i="9"/>
  <c r="T645" i="9"/>
  <c r="T646" i="9"/>
  <c r="T647" i="9"/>
  <c r="T648" i="9"/>
  <c r="T649" i="9"/>
  <c r="T650" i="9"/>
  <c r="T651" i="9"/>
  <c r="T652" i="9"/>
  <c r="T653" i="9"/>
  <c r="T654" i="9"/>
  <c r="T655" i="9"/>
  <c r="T656" i="9"/>
  <c r="T657" i="9"/>
  <c r="T658" i="9"/>
  <c r="T659" i="9"/>
  <c r="T660" i="9"/>
  <c r="T661" i="9"/>
  <c r="T662" i="9"/>
  <c r="T663" i="9"/>
  <c r="T664" i="9"/>
  <c r="T665" i="9"/>
  <c r="T666" i="9"/>
  <c r="T667" i="9"/>
  <c r="T668" i="9"/>
  <c r="T669" i="9"/>
  <c r="T670" i="9"/>
  <c r="T671" i="9"/>
  <c r="T672" i="9"/>
  <c r="T673" i="9"/>
  <c r="T674" i="9"/>
  <c r="T675" i="9"/>
  <c r="T676" i="9"/>
  <c r="T677" i="9"/>
  <c r="T678" i="9"/>
  <c r="T679" i="9"/>
  <c r="T680" i="9"/>
  <c r="T681" i="9"/>
  <c r="T682" i="9"/>
  <c r="T683" i="9"/>
  <c r="T684" i="9"/>
  <c r="T685" i="9"/>
  <c r="T686" i="9"/>
  <c r="T687" i="9"/>
  <c r="T688" i="9"/>
  <c r="T689" i="9"/>
  <c r="T690" i="9"/>
  <c r="T691" i="9"/>
  <c r="T692" i="9"/>
  <c r="T693" i="9"/>
  <c r="T694" i="9"/>
  <c r="T695" i="9"/>
  <c r="T696" i="9"/>
  <c r="T697" i="9"/>
  <c r="T698" i="9"/>
  <c r="T699" i="9"/>
  <c r="T700" i="9"/>
  <c r="T701" i="9"/>
  <c r="T702" i="9"/>
  <c r="T703" i="9"/>
  <c r="T704" i="9"/>
  <c r="T705" i="9"/>
  <c r="T706" i="9"/>
  <c r="T707" i="9"/>
  <c r="T708" i="9"/>
  <c r="T709" i="9"/>
  <c r="T710" i="9"/>
  <c r="T711" i="9"/>
  <c r="T712" i="9"/>
  <c r="T713" i="9"/>
  <c r="T714" i="9"/>
  <c r="T715" i="9"/>
  <c r="T716" i="9"/>
  <c r="T717" i="9"/>
  <c r="T718" i="9"/>
  <c r="T719" i="9"/>
  <c r="T720" i="9"/>
  <c r="T721" i="9"/>
  <c r="T722" i="9"/>
  <c r="T723" i="9"/>
  <c r="T724" i="9"/>
  <c r="T725" i="9"/>
  <c r="T726" i="9"/>
  <c r="T727" i="9"/>
  <c r="T728" i="9"/>
  <c r="T729" i="9"/>
  <c r="T730" i="9"/>
  <c r="T731" i="9"/>
  <c r="T732" i="9"/>
  <c r="T733" i="9"/>
  <c r="T734" i="9"/>
  <c r="T735" i="9"/>
  <c r="T736" i="9"/>
  <c r="T737" i="9"/>
  <c r="T738" i="9"/>
  <c r="T739" i="9"/>
  <c r="T740" i="9"/>
  <c r="T741" i="9"/>
  <c r="T742" i="9"/>
  <c r="T743" i="9"/>
  <c r="T744" i="9"/>
  <c r="T745" i="9"/>
  <c r="T746" i="9"/>
  <c r="T747" i="9"/>
  <c r="T748" i="9"/>
  <c r="T749" i="9"/>
  <c r="T750" i="9"/>
  <c r="T751" i="9"/>
  <c r="T752" i="9"/>
  <c r="T753" i="9"/>
  <c r="T754" i="9"/>
  <c r="T755" i="9"/>
  <c r="T756" i="9"/>
  <c r="T757" i="9"/>
  <c r="T758" i="9"/>
  <c r="T759" i="9"/>
  <c r="T760" i="9"/>
  <c r="T761" i="9"/>
  <c r="T762" i="9"/>
  <c r="T763" i="9"/>
  <c r="T764" i="9"/>
  <c r="T765" i="9"/>
  <c r="T766" i="9"/>
  <c r="T767" i="9"/>
  <c r="T768" i="9"/>
  <c r="T769" i="9"/>
  <c r="T770" i="9"/>
  <c r="T771" i="9"/>
  <c r="T772" i="9"/>
  <c r="T773" i="9"/>
  <c r="T774" i="9"/>
  <c r="T775" i="9"/>
  <c r="T776" i="9"/>
  <c r="T777" i="9"/>
  <c r="T778" i="9"/>
  <c r="T779" i="9"/>
  <c r="T780" i="9"/>
  <c r="T781" i="9"/>
  <c r="T782" i="9"/>
  <c r="T783" i="9"/>
  <c r="T784" i="9"/>
  <c r="T785" i="9"/>
  <c r="T786" i="9"/>
  <c r="T787" i="9"/>
  <c r="T788" i="9"/>
  <c r="T789" i="9"/>
  <c r="T790" i="9"/>
  <c r="T791" i="9"/>
  <c r="T792" i="9"/>
  <c r="T793" i="9"/>
  <c r="T794" i="9"/>
  <c r="T795" i="9"/>
  <c r="T796" i="9"/>
  <c r="T797" i="9"/>
  <c r="T798" i="9"/>
  <c r="T799" i="9"/>
  <c r="T800" i="9"/>
  <c r="T801" i="9"/>
  <c r="T802" i="9"/>
  <c r="T803" i="9"/>
  <c r="T804" i="9"/>
  <c r="T805" i="9"/>
  <c r="T806" i="9"/>
  <c r="T807" i="9"/>
  <c r="T808" i="9"/>
  <c r="T809" i="9"/>
  <c r="T810" i="9"/>
  <c r="T811" i="9"/>
  <c r="T812" i="9"/>
  <c r="T813" i="9"/>
  <c r="T814" i="9"/>
  <c r="T815" i="9"/>
  <c r="T816" i="9"/>
  <c r="T817" i="9"/>
  <c r="T818" i="9"/>
  <c r="T819" i="9"/>
  <c r="T820" i="9"/>
  <c r="T821" i="9"/>
  <c r="T822" i="9"/>
  <c r="T823" i="9"/>
  <c r="T824" i="9"/>
  <c r="T825" i="9"/>
  <c r="T826" i="9"/>
  <c r="T827" i="9"/>
  <c r="T828" i="9"/>
  <c r="T829" i="9"/>
  <c r="T830" i="9"/>
  <c r="T831" i="9"/>
  <c r="T832" i="9"/>
  <c r="T833" i="9"/>
  <c r="T834" i="9"/>
  <c r="T835" i="9"/>
  <c r="T13" i="9"/>
  <c r="P36" i="7"/>
  <c r="AX36" i="7"/>
  <c r="P37" i="7"/>
  <c r="A37" i="7" s="1"/>
  <c r="P38" i="7"/>
  <c r="AX38" i="7" s="1"/>
  <c r="P39" i="7"/>
  <c r="A39" i="7" s="1"/>
  <c r="P40" i="7"/>
  <c r="AX40" i="7" s="1"/>
  <c r="P41" i="7"/>
  <c r="A41" i="7" s="1"/>
  <c r="P42" i="7"/>
  <c r="AX42" i="7" s="1"/>
  <c r="L7" i="20"/>
  <c r="C15" i="1"/>
  <c r="W15" i="1" s="1"/>
  <c r="P15" i="1"/>
  <c r="Q15" i="1"/>
  <c r="R15" i="1" s="1"/>
  <c r="T15" i="1"/>
  <c r="U15" i="1"/>
  <c r="Y15" i="1"/>
  <c r="AA15" i="1"/>
  <c r="AI15" i="1" a="1"/>
  <c r="AI15" i="1" s="1"/>
  <c r="AM15" i="1"/>
  <c r="AN15" i="1" s="1"/>
  <c r="Z15" i="1"/>
  <c r="A81" i="1" l="1"/>
  <c r="V70" i="1"/>
  <c r="B82" i="1"/>
  <c r="B49" i="1"/>
  <c r="B70" i="1"/>
  <c r="AX82" i="1"/>
  <c r="AX76" i="1"/>
  <c r="AX49" i="1"/>
  <c r="V69" i="1"/>
  <c r="AX61" i="1"/>
  <c r="V61" i="1"/>
  <c r="B64" i="1"/>
  <c r="B69" i="1"/>
  <c r="V64" i="1"/>
  <c r="B73" i="1"/>
  <c r="AX75" i="1"/>
  <c r="AX64" i="1"/>
  <c r="B67" i="1"/>
  <c r="AX67" i="1"/>
  <c r="V67" i="1"/>
  <c r="AX45" i="1"/>
  <c r="A45" i="1"/>
  <c r="B45" i="1"/>
  <c r="V45" i="1"/>
  <c r="AX23" i="1"/>
  <c r="V23" i="1"/>
  <c r="A23" i="1"/>
  <c r="B23" i="1"/>
  <c r="AX59" i="1"/>
  <c r="V59" i="1"/>
  <c r="A59" i="1"/>
  <c r="B59" i="1"/>
  <c r="AX26" i="1"/>
  <c r="V26" i="1"/>
  <c r="A26" i="1"/>
  <c r="B26" i="1"/>
  <c r="AX62" i="1"/>
  <c r="V62" i="1"/>
  <c r="A62" i="1"/>
  <c r="B62" i="1"/>
  <c r="AX86" i="1"/>
  <c r="V86" i="1"/>
  <c r="A86" i="1"/>
  <c r="B86" i="1"/>
  <c r="AX56" i="1"/>
  <c r="V56" i="1"/>
  <c r="A56" i="1"/>
  <c r="B56" i="1"/>
  <c r="AX29" i="1"/>
  <c r="V29" i="1"/>
  <c r="A29" i="1"/>
  <c r="B29" i="1"/>
  <c r="AX65" i="1"/>
  <c r="V65" i="1"/>
  <c r="A65" i="1"/>
  <c r="B65" i="1"/>
  <c r="AX32" i="1"/>
  <c r="V32" i="1"/>
  <c r="A32" i="1"/>
  <c r="B32" i="1"/>
  <c r="AX68" i="1"/>
  <c r="V68" i="1"/>
  <c r="A68" i="1"/>
  <c r="B68" i="1"/>
  <c r="AX35" i="1"/>
  <c r="V35" i="1"/>
  <c r="A35" i="1"/>
  <c r="B35" i="1"/>
  <c r="AX71" i="1"/>
  <c r="V71" i="1"/>
  <c r="A71" i="1"/>
  <c r="B71" i="1"/>
  <c r="AX38" i="1"/>
  <c r="V38" i="1"/>
  <c r="A38" i="1"/>
  <c r="B38" i="1"/>
  <c r="AX74" i="1"/>
  <c r="V74" i="1"/>
  <c r="A74" i="1"/>
  <c r="B74" i="1"/>
  <c r="AX17" i="1"/>
  <c r="V17" i="1"/>
  <c r="A17" i="1"/>
  <c r="B17" i="1"/>
  <c r="AX41" i="1"/>
  <c r="V41" i="1"/>
  <c r="A41" i="1"/>
  <c r="B41" i="1"/>
  <c r="AX77" i="1"/>
  <c r="V77" i="1"/>
  <c r="A77" i="1"/>
  <c r="B77" i="1"/>
  <c r="AX53" i="1"/>
  <c r="V53" i="1"/>
  <c r="A53" i="1"/>
  <c r="B53" i="1"/>
  <c r="AX20" i="1"/>
  <c r="V20" i="1"/>
  <c r="A20" i="1"/>
  <c r="B20" i="1"/>
  <c r="AX44" i="1"/>
  <c r="V44" i="1"/>
  <c r="A44" i="1"/>
  <c r="B44" i="1"/>
  <c r="AX80" i="1"/>
  <c r="V80" i="1"/>
  <c r="A80" i="1"/>
  <c r="B80" i="1"/>
  <c r="AX50" i="1"/>
  <c r="V50" i="1"/>
  <c r="A50" i="1"/>
  <c r="B50" i="1"/>
  <c r="AX47" i="1"/>
  <c r="V47" i="1"/>
  <c r="A47" i="1"/>
  <c r="B47" i="1"/>
  <c r="AX83" i="1"/>
  <c r="V83" i="1"/>
  <c r="A83" i="1"/>
  <c r="B83" i="1"/>
  <c r="C58" i="7"/>
  <c r="B58" i="7"/>
  <c r="C60" i="7"/>
  <c r="B60" i="7"/>
  <c r="AX59" i="7"/>
  <c r="AX57" i="7"/>
  <c r="AX55" i="7"/>
  <c r="AX53" i="7"/>
  <c r="AX51" i="7"/>
  <c r="O59" i="7"/>
  <c r="O57" i="7"/>
  <c r="O55" i="7"/>
  <c r="O53" i="7"/>
  <c r="O51" i="7"/>
  <c r="C59" i="7"/>
  <c r="B59" i="7"/>
  <c r="AX60" i="7"/>
  <c r="AX58" i="7"/>
  <c r="AX56" i="7"/>
  <c r="AX54" i="7"/>
  <c r="AX52" i="7"/>
  <c r="AX50" i="7"/>
  <c r="O60" i="7"/>
  <c r="O58" i="7"/>
  <c r="O56" i="7"/>
  <c r="O54" i="7"/>
  <c r="O52" i="7"/>
  <c r="O50" i="7"/>
  <c r="AD15" i="1"/>
  <c r="AX41" i="7"/>
  <c r="AX39" i="7"/>
  <c r="A36" i="7"/>
  <c r="B36" i="7"/>
  <c r="C36" i="7"/>
  <c r="O36" i="7"/>
  <c r="A38" i="7"/>
  <c r="B38" i="7"/>
  <c r="C38" i="7"/>
  <c r="O38" i="7"/>
  <c r="O40" i="7"/>
  <c r="A40" i="7"/>
  <c r="B40" i="7"/>
  <c r="C40" i="7"/>
  <c r="C42" i="7"/>
  <c r="A42" i="7"/>
  <c r="B42" i="7"/>
  <c r="O42" i="7"/>
  <c r="AX37" i="7"/>
  <c r="O41" i="7"/>
  <c r="C41" i="7"/>
  <c r="C39" i="7"/>
  <c r="C37" i="7"/>
  <c r="O37" i="7"/>
  <c r="B41" i="7"/>
  <c r="B39" i="7"/>
  <c r="B37" i="7"/>
  <c r="O39" i="7"/>
  <c r="A15" i="1"/>
  <c r="B15" i="1"/>
  <c r="AX15" i="1"/>
  <c r="V15" i="1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S500" i="9" s="1"/>
  <c r="R500" i="9" s="1"/>
  <c r="E501" i="9"/>
  <c r="S501" i="9" s="1"/>
  <c r="R501" i="9" s="1"/>
  <c r="E502" i="9"/>
  <c r="S502" i="9" s="1"/>
  <c r="R502" i="9" s="1"/>
  <c r="E503" i="9"/>
  <c r="S503" i="9" s="1"/>
  <c r="R503" i="9" s="1"/>
  <c r="E504" i="9"/>
  <c r="S504" i="9" s="1"/>
  <c r="R504" i="9" s="1"/>
  <c r="E505" i="9"/>
  <c r="S505" i="9" s="1"/>
  <c r="R505" i="9" s="1"/>
  <c r="E506" i="9"/>
  <c r="S506" i="9" s="1"/>
  <c r="R506" i="9" s="1"/>
  <c r="E507" i="9"/>
  <c r="E508" i="9"/>
  <c r="S508" i="9" s="1"/>
  <c r="R508" i="9" s="1"/>
  <c r="E509" i="9"/>
  <c r="S509" i="9" s="1"/>
  <c r="R509" i="9" s="1"/>
  <c r="E510" i="9"/>
  <c r="S510" i="9" s="1"/>
  <c r="R510" i="9" s="1"/>
  <c r="E511" i="9"/>
  <c r="S511" i="9" s="1"/>
  <c r="R511" i="9" s="1"/>
  <c r="E512" i="9"/>
  <c r="S512" i="9" s="1"/>
  <c r="R512" i="9" s="1"/>
  <c r="E513" i="9"/>
  <c r="S513" i="9" s="1"/>
  <c r="R513" i="9" s="1"/>
  <c r="E514" i="9"/>
  <c r="S514" i="9" s="1"/>
  <c r="R514" i="9" s="1"/>
  <c r="E515" i="9"/>
  <c r="S515" i="9" s="1"/>
  <c r="R515" i="9" s="1"/>
  <c r="E516" i="9"/>
  <c r="S516" i="9" s="1"/>
  <c r="R516" i="9" s="1"/>
  <c r="E517" i="9"/>
  <c r="S517" i="9" s="1"/>
  <c r="R517" i="9" s="1"/>
  <c r="E518" i="9"/>
  <c r="S518" i="9" s="1"/>
  <c r="R518" i="9" s="1"/>
  <c r="E519" i="9"/>
  <c r="S519" i="9" s="1"/>
  <c r="R519" i="9" s="1"/>
  <c r="E520" i="9"/>
  <c r="S520" i="9" s="1"/>
  <c r="R520" i="9" s="1"/>
  <c r="E521" i="9"/>
  <c r="S521" i="9" s="1"/>
  <c r="R521" i="9" s="1"/>
  <c r="E522" i="9"/>
  <c r="S522" i="9" s="1"/>
  <c r="R522" i="9" s="1"/>
  <c r="E523" i="9"/>
  <c r="S523" i="9" s="1"/>
  <c r="R523" i="9" s="1"/>
  <c r="E524" i="9"/>
  <c r="S524" i="9" s="1"/>
  <c r="R524" i="9" s="1"/>
  <c r="E525" i="9"/>
  <c r="S525" i="9" s="1"/>
  <c r="R525" i="9" s="1"/>
  <c r="E526" i="9"/>
  <c r="S526" i="9" s="1"/>
  <c r="R526" i="9" s="1"/>
  <c r="E527" i="9"/>
  <c r="S527" i="9" s="1"/>
  <c r="R527" i="9" s="1"/>
  <c r="E528" i="9"/>
  <c r="S528" i="9" s="1"/>
  <c r="R528" i="9" s="1"/>
  <c r="E529" i="9"/>
  <c r="S529" i="9" s="1"/>
  <c r="R529" i="9" s="1"/>
  <c r="E530" i="9"/>
  <c r="S530" i="9" s="1"/>
  <c r="R530" i="9" s="1"/>
  <c r="E531" i="9"/>
  <c r="E532" i="9"/>
  <c r="S532" i="9" s="1"/>
  <c r="R532" i="9" s="1"/>
  <c r="E533" i="9"/>
  <c r="S533" i="9" s="1"/>
  <c r="R533" i="9" s="1"/>
  <c r="E534" i="9"/>
  <c r="S534" i="9" s="1"/>
  <c r="R534" i="9" s="1"/>
  <c r="E535" i="9"/>
  <c r="S535" i="9" s="1"/>
  <c r="R535" i="9" s="1"/>
  <c r="E536" i="9"/>
  <c r="S536" i="9" s="1"/>
  <c r="R536" i="9" s="1"/>
  <c r="E537" i="9"/>
  <c r="S537" i="9" s="1"/>
  <c r="R537" i="9" s="1"/>
  <c r="E538" i="9"/>
  <c r="S538" i="9" s="1"/>
  <c r="R538" i="9" s="1"/>
  <c r="E539" i="9"/>
  <c r="S539" i="9" s="1"/>
  <c r="R539" i="9" s="1"/>
  <c r="E540" i="9"/>
  <c r="S540" i="9" s="1"/>
  <c r="R540" i="9" s="1"/>
  <c r="E541" i="9"/>
  <c r="S541" i="9" s="1"/>
  <c r="R541" i="9" s="1"/>
  <c r="E542" i="9"/>
  <c r="S542" i="9" s="1"/>
  <c r="R542" i="9" s="1"/>
  <c r="E543" i="9"/>
  <c r="S543" i="9" s="1"/>
  <c r="R543" i="9" s="1"/>
  <c r="E544" i="9"/>
  <c r="S544" i="9" s="1"/>
  <c r="R544" i="9" s="1"/>
  <c r="E545" i="9"/>
  <c r="S545" i="9" s="1"/>
  <c r="R545" i="9" s="1"/>
  <c r="E546" i="9"/>
  <c r="S546" i="9" s="1"/>
  <c r="R546" i="9" s="1"/>
  <c r="E547" i="9"/>
  <c r="S547" i="9" s="1"/>
  <c r="R547" i="9" s="1"/>
  <c r="E548" i="9"/>
  <c r="S548" i="9" s="1"/>
  <c r="R548" i="9" s="1"/>
  <c r="E549" i="9"/>
  <c r="S549" i="9" s="1"/>
  <c r="R549" i="9" s="1"/>
  <c r="E550" i="9"/>
  <c r="S550" i="9" s="1"/>
  <c r="R550" i="9" s="1"/>
  <c r="E551" i="9"/>
  <c r="S551" i="9" s="1"/>
  <c r="R551" i="9" s="1"/>
  <c r="E552" i="9"/>
  <c r="S552" i="9" s="1"/>
  <c r="R552" i="9" s="1"/>
  <c r="E553" i="9"/>
  <c r="S553" i="9" s="1"/>
  <c r="R553" i="9" s="1"/>
  <c r="E554" i="9"/>
  <c r="S554" i="9" s="1"/>
  <c r="R554" i="9" s="1"/>
  <c r="E555" i="9"/>
  <c r="E556" i="9"/>
  <c r="S556" i="9" s="1"/>
  <c r="R556" i="9" s="1"/>
  <c r="E557" i="9"/>
  <c r="S557" i="9" s="1"/>
  <c r="R557" i="9" s="1"/>
  <c r="E558" i="9"/>
  <c r="S558" i="9" s="1"/>
  <c r="R558" i="9" s="1"/>
  <c r="E559" i="9"/>
  <c r="S559" i="9" s="1"/>
  <c r="R559" i="9" s="1"/>
  <c r="E560" i="9"/>
  <c r="S560" i="9" s="1"/>
  <c r="R560" i="9" s="1"/>
  <c r="E561" i="9"/>
  <c r="S561" i="9" s="1"/>
  <c r="R561" i="9" s="1"/>
  <c r="E562" i="9"/>
  <c r="S562" i="9" s="1"/>
  <c r="R562" i="9" s="1"/>
  <c r="E563" i="9"/>
  <c r="S563" i="9" s="1"/>
  <c r="R563" i="9" s="1"/>
  <c r="E564" i="9"/>
  <c r="S564" i="9" s="1"/>
  <c r="R564" i="9" s="1"/>
  <c r="E565" i="9"/>
  <c r="S565" i="9" s="1"/>
  <c r="R565" i="9" s="1"/>
  <c r="E566" i="9"/>
  <c r="S566" i="9" s="1"/>
  <c r="R566" i="9" s="1"/>
  <c r="E567" i="9"/>
  <c r="S567" i="9" s="1"/>
  <c r="R567" i="9" s="1"/>
  <c r="E568" i="9"/>
  <c r="S568" i="9" s="1"/>
  <c r="R568" i="9" s="1"/>
  <c r="E569" i="9"/>
  <c r="S569" i="9" s="1"/>
  <c r="R569" i="9" s="1"/>
  <c r="E570" i="9"/>
  <c r="S570" i="9" s="1"/>
  <c r="R570" i="9" s="1"/>
  <c r="E571" i="9"/>
  <c r="S571" i="9" s="1"/>
  <c r="R571" i="9" s="1"/>
  <c r="E572" i="9"/>
  <c r="S572" i="9" s="1"/>
  <c r="R572" i="9" s="1"/>
  <c r="E573" i="9"/>
  <c r="S573" i="9" s="1"/>
  <c r="R573" i="9" s="1"/>
  <c r="E574" i="9"/>
  <c r="S574" i="9" s="1"/>
  <c r="R574" i="9" s="1"/>
  <c r="E575" i="9"/>
  <c r="S575" i="9" s="1"/>
  <c r="R575" i="9" s="1"/>
  <c r="E576" i="9"/>
  <c r="S576" i="9" s="1"/>
  <c r="R576" i="9" s="1"/>
  <c r="E577" i="9"/>
  <c r="S577" i="9" s="1"/>
  <c r="R577" i="9" s="1"/>
  <c r="E578" i="9"/>
  <c r="S578" i="9" s="1"/>
  <c r="R578" i="9" s="1"/>
  <c r="E579" i="9"/>
  <c r="E580" i="9"/>
  <c r="S580" i="9" s="1"/>
  <c r="R580" i="9" s="1"/>
  <c r="E581" i="9"/>
  <c r="S581" i="9" s="1"/>
  <c r="R581" i="9" s="1"/>
  <c r="E582" i="9"/>
  <c r="S582" i="9" s="1"/>
  <c r="R582" i="9" s="1"/>
  <c r="E583" i="9"/>
  <c r="S583" i="9" s="1"/>
  <c r="R583" i="9" s="1"/>
  <c r="E584" i="9"/>
  <c r="S584" i="9" s="1"/>
  <c r="R584" i="9" s="1"/>
  <c r="E585" i="9"/>
  <c r="S585" i="9" s="1"/>
  <c r="R585" i="9" s="1"/>
  <c r="E586" i="9"/>
  <c r="S586" i="9" s="1"/>
  <c r="R586" i="9" s="1"/>
  <c r="E587" i="9"/>
  <c r="S587" i="9" s="1"/>
  <c r="R587" i="9" s="1"/>
  <c r="E588" i="9"/>
  <c r="S588" i="9" s="1"/>
  <c r="R588" i="9" s="1"/>
  <c r="E589" i="9"/>
  <c r="S589" i="9" s="1"/>
  <c r="R589" i="9" s="1"/>
  <c r="E590" i="9"/>
  <c r="S590" i="9" s="1"/>
  <c r="R590" i="9" s="1"/>
  <c r="E591" i="9"/>
  <c r="S591" i="9" s="1"/>
  <c r="R591" i="9" s="1"/>
  <c r="E592" i="9"/>
  <c r="S592" i="9" s="1"/>
  <c r="R592" i="9" s="1"/>
  <c r="E593" i="9"/>
  <c r="S593" i="9" s="1"/>
  <c r="R593" i="9" s="1"/>
  <c r="E594" i="9"/>
  <c r="S594" i="9" s="1"/>
  <c r="R594" i="9" s="1"/>
  <c r="E595" i="9"/>
  <c r="S595" i="9" s="1"/>
  <c r="R595" i="9" s="1"/>
  <c r="E596" i="9"/>
  <c r="S596" i="9" s="1"/>
  <c r="R596" i="9" s="1"/>
  <c r="E597" i="9"/>
  <c r="S597" i="9" s="1"/>
  <c r="R597" i="9" s="1"/>
  <c r="E598" i="9"/>
  <c r="S598" i="9" s="1"/>
  <c r="R598" i="9" s="1"/>
  <c r="E599" i="9"/>
  <c r="S599" i="9" s="1"/>
  <c r="R599" i="9" s="1"/>
  <c r="E600" i="9"/>
  <c r="S600" i="9" s="1"/>
  <c r="R600" i="9" s="1"/>
  <c r="E601" i="9"/>
  <c r="S601" i="9" s="1"/>
  <c r="R601" i="9" s="1"/>
  <c r="E602" i="9"/>
  <c r="S602" i="9" s="1"/>
  <c r="R602" i="9" s="1"/>
  <c r="E603" i="9"/>
  <c r="E604" i="9"/>
  <c r="S604" i="9" s="1"/>
  <c r="R604" i="9" s="1"/>
  <c r="E605" i="9"/>
  <c r="S605" i="9" s="1"/>
  <c r="R605" i="9" s="1"/>
  <c r="E606" i="9"/>
  <c r="S606" i="9" s="1"/>
  <c r="R606" i="9" s="1"/>
  <c r="E607" i="9"/>
  <c r="S607" i="9" s="1"/>
  <c r="R607" i="9" s="1"/>
  <c r="E608" i="9"/>
  <c r="S608" i="9" s="1"/>
  <c r="R608" i="9" s="1"/>
  <c r="E609" i="9"/>
  <c r="S609" i="9" s="1"/>
  <c r="R609" i="9" s="1"/>
  <c r="E610" i="9"/>
  <c r="S610" i="9" s="1"/>
  <c r="R610" i="9" s="1"/>
  <c r="E611" i="9"/>
  <c r="S611" i="9" s="1"/>
  <c r="R611" i="9" s="1"/>
  <c r="E612" i="9"/>
  <c r="S612" i="9" s="1"/>
  <c r="R612" i="9" s="1"/>
  <c r="E613" i="9"/>
  <c r="S613" i="9" s="1"/>
  <c r="R613" i="9" s="1"/>
  <c r="E614" i="9"/>
  <c r="S614" i="9" s="1"/>
  <c r="R614" i="9" s="1"/>
  <c r="E615" i="9"/>
  <c r="S615" i="9" s="1"/>
  <c r="R615" i="9" s="1"/>
  <c r="E616" i="9"/>
  <c r="S616" i="9" s="1"/>
  <c r="R616" i="9" s="1"/>
  <c r="E617" i="9"/>
  <c r="S617" i="9" s="1"/>
  <c r="R617" i="9" s="1"/>
  <c r="E618" i="9"/>
  <c r="S618" i="9" s="1"/>
  <c r="R618" i="9" s="1"/>
  <c r="E619" i="9"/>
  <c r="S619" i="9" s="1"/>
  <c r="R619" i="9" s="1"/>
  <c r="E620" i="9"/>
  <c r="S620" i="9" s="1"/>
  <c r="R620" i="9" s="1"/>
  <c r="E621" i="9"/>
  <c r="S621" i="9" s="1"/>
  <c r="R621" i="9" s="1"/>
  <c r="E622" i="9"/>
  <c r="S622" i="9" s="1"/>
  <c r="R622" i="9" s="1"/>
  <c r="E623" i="9"/>
  <c r="S623" i="9" s="1"/>
  <c r="R623" i="9" s="1"/>
  <c r="E624" i="9"/>
  <c r="S624" i="9" s="1"/>
  <c r="R624" i="9" s="1"/>
  <c r="E625" i="9"/>
  <c r="S625" i="9" s="1"/>
  <c r="R625" i="9" s="1"/>
  <c r="E626" i="9"/>
  <c r="S626" i="9" s="1"/>
  <c r="R626" i="9" s="1"/>
  <c r="E627" i="9"/>
  <c r="S627" i="9" s="1"/>
  <c r="R627" i="9" s="1"/>
  <c r="E628" i="9"/>
  <c r="S628" i="9" s="1"/>
  <c r="R628" i="9" s="1"/>
  <c r="E629" i="9"/>
  <c r="S629" i="9" s="1"/>
  <c r="R629" i="9" s="1"/>
  <c r="E630" i="9"/>
  <c r="S630" i="9" s="1"/>
  <c r="R630" i="9" s="1"/>
  <c r="E631" i="9"/>
  <c r="S631" i="9" s="1"/>
  <c r="R631" i="9" s="1"/>
  <c r="E632" i="9"/>
  <c r="S632" i="9" s="1"/>
  <c r="R632" i="9" s="1"/>
  <c r="E633" i="9"/>
  <c r="S633" i="9" s="1"/>
  <c r="R633" i="9" s="1"/>
  <c r="E634" i="9"/>
  <c r="S634" i="9" s="1"/>
  <c r="R634" i="9" s="1"/>
  <c r="E635" i="9"/>
  <c r="S635" i="9" s="1"/>
  <c r="R635" i="9" s="1"/>
  <c r="E636" i="9"/>
  <c r="S636" i="9" s="1"/>
  <c r="R636" i="9" s="1"/>
  <c r="E637" i="9"/>
  <c r="S637" i="9" s="1"/>
  <c r="R637" i="9" s="1"/>
  <c r="E638" i="9"/>
  <c r="S638" i="9" s="1"/>
  <c r="R638" i="9" s="1"/>
  <c r="E639" i="9"/>
  <c r="S639" i="9" s="1"/>
  <c r="R639" i="9" s="1"/>
  <c r="E640" i="9"/>
  <c r="S640" i="9" s="1"/>
  <c r="R640" i="9" s="1"/>
  <c r="E641" i="9"/>
  <c r="S641" i="9" s="1"/>
  <c r="R641" i="9" s="1"/>
  <c r="E642" i="9"/>
  <c r="S642" i="9" s="1"/>
  <c r="R642" i="9" s="1"/>
  <c r="E643" i="9"/>
  <c r="S643" i="9" s="1"/>
  <c r="R643" i="9" s="1"/>
  <c r="E644" i="9"/>
  <c r="S644" i="9" s="1"/>
  <c r="R644" i="9" s="1"/>
  <c r="E645" i="9"/>
  <c r="S645" i="9" s="1"/>
  <c r="R645" i="9" s="1"/>
  <c r="E646" i="9"/>
  <c r="S646" i="9" s="1"/>
  <c r="R646" i="9" s="1"/>
  <c r="E647" i="9"/>
  <c r="S647" i="9" s="1"/>
  <c r="R647" i="9" s="1"/>
  <c r="E648" i="9"/>
  <c r="S648" i="9" s="1"/>
  <c r="R648" i="9" s="1"/>
  <c r="E649" i="9"/>
  <c r="S649" i="9" s="1"/>
  <c r="R649" i="9" s="1"/>
  <c r="E650" i="9"/>
  <c r="S650" i="9" s="1"/>
  <c r="R650" i="9" s="1"/>
  <c r="E651" i="9"/>
  <c r="E652" i="9"/>
  <c r="S652" i="9" s="1"/>
  <c r="R652" i="9" s="1"/>
  <c r="E653" i="9"/>
  <c r="S653" i="9" s="1"/>
  <c r="R653" i="9" s="1"/>
  <c r="E654" i="9"/>
  <c r="S654" i="9" s="1"/>
  <c r="R654" i="9" s="1"/>
  <c r="E655" i="9"/>
  <c r="S655" i="9" s="1"/>
  <c r="R655" i="9" s="1"/>
  <c r="E656" i="9"/>
  <c r="S656" i="9" s="1"/>
  <c r="R656" i="9" s="1"/>
  <c r="E657" i="9"/>
  <c r="S657" i="9" s="1"/>
  <c r="R657" i="9" s="1"/>
  <c r="E658" i="9"/>
  <c r="S658" i="9" s="1"/>
  <c r="R658" i="9" s="1"/>
  <c r="E659" i="9"/>
  <c r="S659" i="9" s="1"/>
  <c r="R659" i="9" s="1"/>
  <c r="E660" i="9"/>
  <c r="S660" i="9" s="1"/>
  <c r="R660" i="9" s="1"/>
  <c r="E661" i="9"/>
  <c r="S661" i="9" s="1"/>
  <c r="R661" i="9" s="1"/>
  <c r="E662" i="9"/>
  <c r="S662" i="9" s="1"/>
  <c r="R662" i="9" s="1"/>
  <c r="E663" i="9"/>
  <c r="S663" i="9" s="1"/>
  <c r="R663" i="9" s="1"/>
  <c r="E664" i="9"/>
  <c r="S664" i="9" s="1"/>
  <c r="R664" i="9" s="1"/>
  <c r="E665" i="9"/>
  <c r="S665" i="9" s="1"/>
  <c r="R665" i="9" s="1"/>
  <c r="E666" i="9"/>
  <c r="S666" i="9" s="1"/>
  <c r="R666" i="9" s="1"/>
  <c r="E667" i="9"/>
  <c r="S667" i="9" s="1"/>
  <c r="R667" i="9" s="1"/>
  <c r="E668" i="9"/>
  <c r="S668" i="9" s="1"/>
  <c r="R668" i="9" s="1"/>
  <c r="E669" i="9"/>
  <c r="S669" i="9" s="1"/>
  <c r="R669" i="9" s="1"/>
  <c r="E670" i="9"/>
  <c r="S670" i="9" s="1"/>
  <c r="R670" i="9" s="1"/>
  <c r="E671" i="9"/>
  <c r="S671" i="9" s="1"/>
  <c r="R671" i="9" s="1"/>
  <c r="E672" i="9"/>
  <c r="S672" i="9" s="1"/>
  <c r="R672" i="9" s="1"/>
  <c r="E673" i="9"/>
  <c r="S673" i="9" s="1"/>
  <c r="R673" i="9" s="1"/>
  <c r="E674" i="9"/>
  <c r="S674" i="9" s="1"/>
  <c r="R674" i="9" s="1"/>
  <c r="E675" i="9"/>
  <c r="E676" i="9"/>
  <c r="S676" i="9" s="1"/>
  <c r="R676" i="9" s="1"/>
  <c r="E677" i="9"/>
  <c r="S677" i="9" s="1"/>
  <c r="R677" i="9" s="1"/>
  <c r="E678" i="9"/>
  <c r="S678" i="9" s="1"/>
  <c r="R678" i="9" s="1"/>
  <c r="E679" i="9"/>
  <c r="S679" i="9" s="1"/>
  <c r="R679" i="9" s="1"/>
  <c r="E680" i="9"/>
  <c r="S680" i="9" s="1"/>
  <c r="R680" i="9" s="1"/>
  <c r="E681" i="9"/>
  <c r="S681" i="9" s="1"/>
  <c r="R681" i="9" s="1"/>
  <c r="E682" i="9"/>
  <c r="S682" i="9" s="1"/>
  <c r="R682" i="9" s="1"/>
  <c r="E683" i="9"/>
  <c r="S683" i="9" s="1"/>
  <c r="R683" i="9" s="1"/>
  <c r="E684" i="9"/>
  <c r="S684" i="9" s="1"/>
  <c r="R684" i="9" s="1"/>
  <c r="E685" i="9"/>
  <c r="S685" i="9" s="1"/>
  <c r="R685" i="9" s="1"/>
  <c r="E686" i="9"/>
  <c r="S686" i="9" s="1"/>
  <c r="R686" i="9" s="1"/>
  <c r="E687" i="9"/>
  <c r="S687" i="9" s="1"/>
  <c r="R687" i="9" s="1"/>
  <c r="E688" i="9"/>
  <c r="S688" i="9" s="1"/>
  <c r="R688" i="9" s="1"/>
  <c r="E689" i="9"/>
  <c r="S689" i="9" s="1"/>
  <c r="R689" i="9" s="1"/>
  <c r="E690" i="9"/>
  <c r="S690" i="9" s="1"/>
  <c r="R690" i="9" s="1"/>
  <c r="E691" i="9"/>
  <c r="S691" i="9" s="1"/>
  <c r="R691" i="9" s="1"/>
  <c r="E692" i="9"/>
  <c r="S692" i="9" s="1"/>
  <c r="R692" i="9" s="1"/>
  <c r="E693" i="9"/>
  <c r="S693" i="9" s="1"/>
  <c r="R693" i="9" s="1"/>
  <c r="E694" i="9"/>
  <c r="S694" i="9" s="1"/>
  <c r="R694" i="9" s="1"/>
  <c r="E695" i="9"/>
  <c r="S695" i="9" s="1"/>
  <c r="R695" i="9" s="1"/>
  <c r="E696" i="9"/>
  <c r="S696" i="9" s="1"/>
  <c r="R696" i="9" s="1"/>
  <c r="E697" i="9"/>
  <c r="S697" i="9" s="1"/>
  <c r="R697" i="9" s="1"/>
  <c r="E698" i="9"/>
  <c r="S698" i="9" s="1"/>
  <c r="R698" i="9" s="1"/>
  <c r="E699" i="9"/>
  <c r="E700" i="9"/>
  <c r="S700" i="9" s="1"/>
  <c r="R700" i="9" s="1"/>
  <c r="E701" i="9"/>
  <c r="S701" i="9" s="1"/>
  <c r="R701" i="9" s="1"/>
  <c r="E702" i="9"/>
  <c r="S702" i="9" s="1"/>
  <c r="R702" i="9" s="1"/>
  <c r="E703" i="9"/>
  <c r="S703" i="9" s="1"/>
  <c r="R703" i="9" s="1"/>
  <c r="E704" i="9"/>
  <c r="S704" i="9" s="1"/>
  <c r="R704" i="9" s="1"/>
  <c r="E705" i="9"/>
  <c r="S705" i="9" s="1"/>
  <c r="R705" i="9" s="1"/>
  <c r="E706" i="9"/>
  <c r="S706" i="9" s="1"/>
  <c r="R706" i="9" s="1"/>
  <c r="E707" i="9"/>
  <c r="S707" i="9" s="1"/>
  <c r="R707" i="9" s="1"/>
  <c r="E708" i="9"/>
  <c r="S708" i="9" s="1"/>
  <c r="R708" i="9" s="1"/>
  <c r="E709" i="9"/>
  <c r="S709" i="9" s="1"/>
  <c r="R709" i="9" s="1"/>
  <c r="E710" i="9"/>
  <c r="S710" i="9" s="1"/>
  <c r="R710" i="9" s="1"/>
  <c r="E711" i="9"/>
  <c r="S711" i="9" s="1"/>
  <c r="R711" i="9" s="1"/>
  <c r="E712" i="9"/>
  <c r="S712" i="9" s="1"/>
  <c r="R712" i="9" s="1"/>
  <c r="E713" i="9"/>
  <c r="S713" i="9" s="1"/>
  <c r="R713" i="9" s="1"/>
  <c r="E714" i="9"/>
  <c r="S714" i="9" s="1"/>
  <c r="R714" i="9" s="1"/>
  <c r="E715" i="9"/>
  <c r="S715" i="9" s="1"/>
  <c r="R715" i="9" s="1"/>
  <c r="E716" i="9"/>
  <c r="S716" i="9" s="1"/>
  <c r="R716" i="9" s="1"/>
  <c r="E717" i="9"/>
  <c r="S717" i="9" s="1"/>
  <c r="R717" i="9" s="1"/>
  <c r="E718" i="9"/>
  <c r="S718" i="9" s="1"/>
  <c r="R718" i="9" s="1"/>
  <c r="E719" i="9"/>
  <c r="S719" i="9" s="1"/>
  <c r="R719" i="9" s="1"/>
  <c r="E720" i="9"/>
  <c r="S720" i="9" s="1"/>
  <c r="R720" i="9" s="1"/>
  <c r="E721" i="9"/>
  <c r="S721" i="9" s="1"/>
  <c r="R721" i="9" s="1"/>
  <c r="E722" i="9"/>
  <c r="S722" i="9" s="1"/>
  <c r="R722" i="9" s="1"/>
  <c r="E723" i="9"/>
  <c r="S723" i="9" s="1"/>
  <c r="R723" i="9" s="1"/>
  <c r="E724" i="9"/>
  <c r="S724" i="9" s="1"/>
  <c r="R724" i="9" s="1"/>
  <c r="E725" i="9"/>
  <c r="S725" i="9" s="1"/>
  <c r="R725" i="9" s="1"/>
  <c r="E726" i="9"/>
  <c r="S726" i="9" s="1"/>
  <c r="R726" i="9" s="1"/>
  <c r="E727" i="9"/>
  <c r="S727" i="9" s="1"/>
  <c r="R727" i="9" s="1"/>
  <c r="E728" i="9"/>
  <c r="S728" i="9" s="1"/>
  <c r="R728" i="9" s="1"/>
  <c r="E729" i="9"/>
  <c r="S729" i="9" s="1"/>
  <c r="R729" i="9" s="1"/>
  <c r="E730" i="9"/>
  <c r="S730" i="9" s="1"/>
  <c r="R730" i="9" s="1"/>
  <c r="E731" i="9"/>
  <c r="S731" i="9" s="1"/>
  <c r="R731" i="9" s="1"/>
  <c r="E732" i="9"/>
  <c r="S732" i="9" s="1"/>
  <c r="R732" i="9" s="1"/>
  <c r="E733" i="9"/>
  <c r="S733" i="9" s="1"/>
  <c r="R733" i="9" s="1"/>
  <c r="E734" i="9"/>
  <c r="S734" i="9" s="1"/>
  <c r="R734" i="9" s="1"/>
  <c r="E735" i="9"/>
  <c r="E736" i="9"/>
  <c r="S736" i="9" s="1"/>
  <c r="R736" i="9" s="1"/>
  <c r="E737" i="9"/>
  <c r="S737" i="9" s="1"/>
  <c r="R737" i="9" s="1"/>
  <c r="E738" i="9"/>
  <c r="S738" i="9" s="1"/>
  <c r="R738" i="9" s="1"/>
  <c r="E739" i="9"/>
  <c r="S739" i="9" s="1"/>
  <c r="R739" i="9" s="1"/>
  <c r="E740" i="9"/>
  <c r="S740" i="9" s="1"/>
  <c r="R740" i="9" s="1"/>
  <c r="E741" i="9"/>
  <c r="S741" i="9" s="1"/>
  <c r="R741" i="9" s="1"/>
  <c r="E742" i="9"/>
  <c r="S742" i="9" s="1"/>
  <c r="R742" i="9" s="1"/>
  <c r="E743" i="9"/>
  <c r="S743" i="9" s="1"/>
  <c r="R743" i="9" s="1"/>
  <c r="E744" i="9"/>
  <c r="S744" i="9" s="1"/>
  <c r="R744" i="9" s="1"/>
  <c r="E745" i="9"/>
  <c r="S745" i="9" s="1"/>
  <c r="R745" i="9" s="1"/>
  <c r="E746" i="9"/>
  <c r="S746" i="9" s="1"/>
  <c r="R746" i="9" s="1"/>
  <c r="E747" i="9"/>
  <c r="S747" i="9" s="1"/>
  <c r="R747" i="9" s="1"/>
  <c r="E748" i="9"/>
  <c r="S748" i="9" s="1"/>
  <c r="R748" i="9" s="1"/>
  <c r="E749" i="9"/>
  <c r="S749" i="9" s="1"/>
  <c r="R749" i="9" s="1"/>
  <c r="E750" i="9"/>
  <c r="S750" i="9" s="1"/>
  <c r="R750" i="9" s="1"/>
  <c r="E751" i="9"/>
  <c r="S751" i="9" s="1"/>
  <c r="R751" i="9" s="1"/>
  <c r="E752" i="9"/>
  <c r="S752" i="9" s="1"/>
  <c r="R752" i="9" s="1"/>
  <c r="E753" i="9"/>
  <c r="S753" i="9" s="1"/>
  <c r="R753" i="9" s="1"/>
  <c r="E754" i="9"/>
  <c r="S754" i="9" s="1"/>
  <c r="R754" i="9" s="1"/>
  <c r="E755" i="9"/>
  <c r="S755" i="9" s="1"/>
  <c r="R755" i="9" s="1"/>
  <c r="E756" i="9"/>
  <c r="S756" i="9" s="1"/>
  <c r="R756" i="9" s="1"/>
  <c r="E757" i="9"/>
  <c r="S757" i="9" s="1"/>
  <c r="R757" i="9" s="1"/>
  <c r="E758" i="9"/>
  <c r="S758" i="9" s="1"/>
  <c r="R758" i="9" s="1"/>
  <c r="E759" i="9"/>
  <c r="S759" i="9" s="1"/>
  <c r="R759" i="9" s="1"/>
  <c r="E760" i="9"/>
  <c r="S760" i="9" s="1"/>
  <c r="R760" i="9" s="1"/>
  <c r="E761" i="9"/>
  <c r="S761" i="9" s="1"/>
  <c r="R761" i="9" s="1"/>
  <c r="E762" i="9"/>
  <c r="S762" i="9" s="1"/>
  <c r="R762" i="9" s="1"/>
  <c r="E763" i="9"/>
  <c r="S763" i="9" s="1"/>
  <c r="R763" i="9" s="1"/>
  <c r="E764" i="9"/>
  <c r="S764" i="9" s="1"/>
  <c r="R764" i="9" s="1"/>
  <c r="E765" i="9"/>
  <c r="S765" i="9" s="1"/>
  <c r="R765" i="9" s="1"/>
  <c r="E766" i="9"/>
  <c r="S766" i="9" s="1"/>
  <c r="R766" i="9" s="1"/>
  <c r="E767" i="9"/>
  <c r="S767" i="9" s="1"/>
  <c r="R767" i="9" s="1"/>
  <c r="E768" i="9"/>
  <c r="S768" i="9" s="1"/>
  <c r="R768" i="9" s="1"/>
  <c r="E769" i="9"/>
  <c r="S769" i="9" s="1"/>
  <c r="R769" i="9" s="1"/>
  <c r="E770" i="9"/>
  <c r="S770" i="9" s="1"/>
  <c r="R770" i="9" s="1"/>
  <c r="E771" i="9"/>
  <c r="E772" i="9"/>
  <c r="S772" i="9" s="1"/>
  <c r="R772" i="9" s="1"/>
  <c r="E773" i="9"/>
  <c r="S773" i="9" s="1"/>
  <c r="R773" i="9" s="1"/>
  <c r="E774" i="9"/>
  <c r="S774" i="9" s="1"/>
  <c r="R774" i="9" s="1"/>
  <c r="E775" i="9"/>
  <c r="S775" i="9" s="1"/>
  <c r="R775" i="9" s="1"/>
  <c r="E776" i="9"/>
  <c r="S776" i="9" s="1"/>
  <c r="R776" i="9" s="1"/>
  <c r="E777" i="9"/>
  <c r="S777" i="9" s="1"/>
  <c r="R777" i="9" s="1"/>
  <c r="E778" i="9"/>
  <c r="S778" i="9" s="1"/>
  <c r="R778" i="9" s="1"/>
  <c r="E779" i="9"/>
  <c r="S779" i="9" s="1"/>
  <c r="R779" i="9" s="1"/>
  <c r="E780" i="9"/>
  <c r="S780" i="9" s="1"/>
  <c r="R780" i="9" s="1"/>
  <c r="E781" i="9"/>
  <c r="S781" i="9" s="1"/>
  <c r="R781" i="9" s="1"/>
  <c r="E782" i="9"/>
  <c r="S782" i="9" s="1"/>
  <c r="R782" i="9" s="1"/>
  <c r="E783" i="9"/>
  <c r="S783" i="9" s="1"/>
  <c r="R783" i="9" s="1"/>
  <c r="E784" i="9"/>
  <c r="S784" i="9" s="1"/>
  <c r="R784" i="9" s="1"/>
  <c r="E785" i="9"/>
  <c r="S785" i="9" s="1"/>
  <c r="R785" i="9" s="1"/>
  <c r="E786" i="9"/>
  <c r="S786" i="9" s="1"/>
  <c r="R786" i="9" s="1"/>
  <c r="E787" i="9"/>
  <c r="S787" i="9" s="1"/>
  <c r="R787" i="9" s="1"/>
  <c r="E788" i="9"/>
  <c r="S788" i="9" s="1"/>
  <c r="R788" i="9" s="1"/>
  <c r="E789" i="9"/>
  <c r="S789" i="9" s="1"/>
  <c r="R789" i="9" s="1"/>
  <c r="E790" i="9"/>
  <c r="S790" i="9" s="1"/>
  <c r="R790" i="9" s="1"/>
  <c r="E791" i="9"/>
  <c r="S791" i="9" s="1"/>
  <c r="R791" i="9" s="1"/>
  <c r="E792" i="9"/>
  <c r="S792" i="9" s="1"/>
  <c r="R792" i="9" s="1"/>
  <c r="E793" i="9"/>
  <c r="S793" i="9" s="1"/>
  <c r="R793" i="9" s="1"/>
  <c r="E794" i="9"/>
  <c r="S794" i="9" s="1"/>
  <c r="R794" i="9" s="1"/>
  <c r="E795" i="9"/>
  <c r="S795" i="9" s="1"/>
  <c r="R795" i="9" s="1"/>
  <c r="E796" i="9"/>
  <c r="S796" i="9" s="1"/>
  <c r="R796" i="9" s="1"/>
  <c r="E797" i="9"/>
  <c r="S797" i="9" s="1"/>
  <c r="R797" i="9" s="1"/>
  <c r="E798" i="9"/>
  <c r="S798" i="9" s="1"/>
  <c r="R798" i="9" s="1"/>
  <c r="E799" i="9"/>
  <c r="S799" i="9" s="1"/>
  <c r="R799" i="9" s="1"/>
  <c r="E800" i="9"/>
  <c r="S800" i="9" s="1"/>
  <c r="R800" i="9" s="1"/>
  <c r="E801" i="9"/>
  <c r="S801" i="9" s="1"/>
  <c r="R801" i="9" s="1"/>
  <c r="E802" i="9"/>
  <c r="S802" i="9" s="1"/>
  <c r="R802" i="9" s="1"/>
  <c r="E803" i="9"/>
  <c r="S803" i="9" s="1"/>
  <c r="R803" i="9" s="1"/>
  <c r="E804" i="9"/>
  <c r="S804" i="9" s="1"/>
  <c r="R804" i="9" s="1"/>
  <c r="E805" i="9"/>
  <c r="S805" i="9" s="1"/>
  <c r="R805" i="9" s="1"/>
  <c r="E806" i="9"/>
  <c r="S806" i="9" s="1"/>
  <c r="R806" i="9" s="1"/>
  <c r="E807" i="9"/>
  <c r="S807" i="9" s="1"/>
  <c r="R807" i="9" s="1"/>
  <c r="E808" i="9"/>
  <c r="S808" i="9" s="1"/>
  <c r="R808" i="9" s="1"/>
  <c r="E809" i="9"/>
  <c r="S809" i="9" s="1"/>
  <c r="R809" i="9" s="1"/>
  <c r="E810" i="9"/>
  <c r="S810" i="9" s="1"/>
  <c r="R810" i="9" s="1"/>
  <c r="E811" i="9"/>
  <c r="S811" i="9" s="1"/>
  <c r="R811" i="9" s="1"/>
  <c r="E812" i="9"/>
  <c r="S812" i="9" s="1"/>
  <c r="R812" i="9" s="1"/>
  <c r="E813" i="9"/>
  <c r="S813" i="9" s="1"/>
  <c r="R813" i="9" s="1"/>
  <c r="E814" i="9"/>
  <c r="S814" i="9" s="1"/>
  <c r="R814" i="9" s="1"/>
  <c r="E815" i="9"/>
  <c r="S815" i="9" s="1"/>
  <c r="R815" i="9" s="1"/>
  <c r="E816" i="9"/>
  <c r="S816" i="9" s="1"/>
  <c r="R816" i="9" s="1"/>
  <c r="E817" i="9"/>
  <c r="S817" i="9" s="1"/>
  <c r="R817" i="9" s="1"/>
  <c r="E818" i="9"/>
  <c r="S818" i="9" s="1"/>
  <c r="R818" i="9" s="1"/>
  <c r="E819" i="9"/>
  <c r="S819" i="9" s="1"/>
  <c r="R819" i="9" s="1"/>
  <c r="E820" i="9"/>
  <c r="S820" i="9" s="1"/>
  <c r="R820" i="9" s="1"/>
  <c r="E821" i="9"/>
  <c r="S821" i="9" s="1"/>
  <c r="R821" i="9" s="1"/>
  <c r="E822" i="9"/>
  <c r="S822" i="9" s="1"/>
  <c r="R822" i="9" s="1"/>
  <c r="E823" i="9"/>
  <c r="S823" i="9" s="1"/>
  <c r="R823" i="9" s="1"/>
  <c r="E824" i="9"/>
  <c r="S824" i="9" s="1"/>
  <c r="R824" i="9" s="1"/>
  <c r="E825" i="9"/>
  <c r="S825" i="9" s="1"/>
  <c r="R825" i="9" s="1"/>
  <c r="E826" i="9"/>
  <c r="S826" i="9" s="1"/>
  <c r="R826" i="9" s="1"/>
  <c r="E827" i="9"/>
  <c r="S827" i="9" s="1"/>
  <c r="R827" i="9" s="1"/>
  <c r="E828" i="9"/>
  <c r="S828" i="9" s="1"/>
  <c r="R828" i="9" s="1"/>
  <c r="E829" i="9"/>
  <c r="S829" i="9" s="1"/>
  <c r="R829" i="9" s="1"/>
  <c r="E830" i="9"/>
  <c r="S830" i="9" s="1"/>
  <c r="R830" i="9" s="1"/>
  <c r="E831" i="9"/>
  <c r="S831" i="9" s="1"/>
  <c r="R831" i="9" s="1"/>
  <c r="E832" i="9"/>
  <c r="S832" i="9" s="1"/>
  <c r="R832" i="9" s="1"/>
  <c r="E833" i="9"/>
  <c r="S833" i="9" s="1"/>
  <c r="R833" i="9" s="1"/>
  <c r="E834" i="9"/>
  <c r="S834" i="9" s="1"/>
  <c r="R834" i="9" s="1"/>
  <c r="E835" i="9"/>
  <c r="S835" i="9" s="1"/>
  <c r="R835" i="9" s="1"/>
  <c r="S836" i="9"/>
  <c r="S837" i="9"/>
  <c r="S839" i="9"/>
  <c r="S840" i="9"/>
  <c r="S841" i="9"/>
  <c r="W13" i="9" a="1"/>
  <c r="X13" i="9" a="1"/>
  <c r="AA13" i="9" a="1"/>
  <c r="C500" i="9" a="1"/>
  <c r="C501" i="9" a="1"/>
  <c r="C502" i="9" a="1"/>
  <c r="C503" i="9" a="1"/>
  <c r="C504" i="9" a="1"/>
  <c r="C505" i="9" a="1"/>
  <c r="C506" i="9" a="1"/>
  <c r="C507" i="9" a="1"/>
  <c r="C508" i="9" a="1"/>
  <c r="C509" i="9" a="1"/>
  <c r="C510" i="9" a="1"/>
  <c r="C511" i="9" a="1"/>
  <c r="C512" i="9" a="1"/>
  <c r="C513" i="9" a="1"/>
  <c r="C514" i="9" a="1"/>
  <c r="C515" i="9" a="1"/>
  <c r="C516" i="9" a="1"/>
  <c r="C517" i="9" a="1"/>
  <c r="C518" i="9" a="1"/>
  <c r="C519" i="9" a="1"/>
  <c r="C520" i="9" a="1"/>
  <c r="C521" i="9" a="1"/>
  <c r="C522" i="9" a="1"/>
  <c r="C523" i="9" a="1"/>
  <c r="C524" i="9" a="1"/>
  <c r="C525" i="9" a="1"/>
  <c r="C526" i="9" a="1"/>
  <c r="C527" i="9" a="1"/>
  <c r="C528" i="9" a="1"/>
  <c r="C529" i="9" a="1"/>
  <c r="C530" i="9" a="1"/>
  <c r="C531" i="9" a="1"/>
  <c r="C532" i="9" a="1"/>
  <c r="C533" i="9" a="1"/>
  <c r="C534" i="9" a="1"/>
  <c r="C535" i="9" a="1"/>
  <c r="C536" i="9" a="1"/>
  <c r="C537" i="9" a="1"/>
  <c r="C538" i="9" a="1"/>
  <c r="C539" i="9" a="1"/>
  <c r="C540" i="9" a="1"/>
  <c r="C541" i="9" a="1"/>
  <c r="C542" i="9" a="1"/>
  <c r="C543" i="9" a="1"/>
  <c r="C544" i="9" a="1"/>
  <c r="C545" i="9" a="1"/>
  <c r="C546" i="9" a="1"/>
  <c r="C547" i="9" a="1"/>
  <c r="C548" i="9" a="1"/>
  <c r="C549" i="9" a="1"/>
  <c r="C550" i="9" a="1"/>
  <c r="C551" i="9" a="1"/>
  <c r="C552" i="9" a="1"/>
  <c r="C553" i="9" a="1"/>
  <c r="C554" i="9" a="1"/>
  <c r="C555" i="9" a="1"/>
  <c r="C556" i="9" a="1"/>
  <c r="C557" i="9" a="1"/>
  <c r="C558" i="9" a="1"/>
  <c r="C559" i="9" a="1"/>
  <c r="C560" i="9" a="1"/>
  <c r="C561" i="9" a="1"/>
  <c r="C562" i="9" a="1"/>
  <c r="C563" i="9" a="1"/>
  <c r="C564" i="9" a="1"/>
  <c r="C565" i="9" a="1"/>
  <c r="C566" i="9" a="1"/>
  <c r="C567" i="9" a="1"/>
  <c r="C568" i="9" a="1"/>
  <c r="C569" i="9" a="1"/>
  <c r="C570" i="9" a="1"/>
  <c r="C571" i="9" a="1"/>
  <c r="C572" i="9" a="1"/>
  <c r="C573" i="9" a="1"/>
  <c r="C574" i="9" a="1"/>
  <c r="C575" i="9" a="1"/>
  <c r="C576" i="9" a="1"/>
  <c r="C577" i="9" a="1"/>
  <c r="C578" i="9" a="1"/>
  <c r="C579" i="9" a="1"/>
  <c r="C580" i="9" a="1"/>
  <c r="C581" i="9" a="1"/>
  <c r="C582" i="9" a="1"/>
  <c r="C583" i="9" a="1"/>
  <c r="C584" i="9" a="1"/>
  <c r="C585" i="9" a="1"/>
  <c r="C586" i="9" a="1"/>
  <c r="C587" i="9" a="1"/>
  <c r="C588" i="9" a="1"/>
  <c r="C589" i="9" a="1"/>
  <c r="C590" i="9" a="1"/>
  <c r="C591" i="9" a="1"/>
  <c r="C592" i="9" a="1"/>
  <c r="C593" i="9" a="1"/>
  <c r="C594" i="9" a="1"/>
  <c r="C595" i="9" a="1"/>
  <c r="C596" i="9" a="1"/>
  <c r="C597" i="9" a="1"/>
  <c r="C598" i="9" a="1"/>
  <c r="C599" i="9" a="1"/>
  <c r="C600" i="9" a="1"/>
  <c r="C601" i="9" a="1"/>
  <c r="C602" i="9" a="1"/>
  <c r="C603" i="9" a="1"/>
  <c r="C604" i="9" a="1"/>
  <c r="C605" i="9" a="1"/>
  <c r="C606" i="9" a="1"/>
  <c r="C607" i="9" a="1"/>
  <c r="C608" i="9" a="1"/>
  <c r="C609" i="9" a="1"/>
  <c r="C610" i="9" a="1"/>
  <c r="C611" i="9" a="1"/>
  <c r="C612" i="9" a="1"/>
  <c r="C613" i="9" a="1"/>
  <c r="C614" i="9" a="1"/>
  <c r="C615" i="9" a="1"/>
  <c r="C616" i="9" a="1"/>
  <c r="C617" i="9" a="1"/>
  <c r="C618" i="9" a="1"/>
  <c r="C619" i="9" a="1"/>
  <c r="C620" i="9" a="1"/>
  <c r="C621" i="9" a="1"/>
  <c r="C622" i="9" a="1"/>
  <c r="C623" i="9" a="1"/>
  <c r="C624" i="9" a="1"/>
  <c r="C625" i="9" a="1"/>
  <c r="C626" i="9" a="1"/>
  <c r="C627" i="9" a="1"/>
  <c r="C628" i="9" a="1"/>
  <c r="C629" i="9" a="1"/>
  <c r="C630" i="9" a="1"/>
  <c r="C631" i="9" a="1"/>
  <c r="C632" i="9" a="1"/>
  <c r="C633" i="9" a="1"/>
  <c r="C634" i="9" a="1"/>
  <c r="C635" i="9" a="1"/>
  <c r="C636" i="9" a="1"/>
  <c r="C637" i="9" a="1"/>
  <c r="C638" i="9" a="1"/>
  <c r="C639" i="9" a="1"/>
  <c r="C640" i="9" a="1"/>
  <c r="C641" i="9" a="1"/>
  <c r="C642" i="9" a="1"/>
  <c r="C643" i="9" a="1"/>
  <c r="C644" i="9" a="1"/>
  <c r="C645" i="9" a="1"/>
  <c r="C646" i="9" a="1"/>
  <c r="C647" i="9" a="1"/>
  <c r="C648" i="9" a="1"/>
  <c r="C649" i="9" a="1"/>
  <c r="C650" i="9" a="1"/>
  <c r="C651" i="9" a="1"/>
  <c r="C652" i="9" a="1"/>
  <c r="C653" i="9" a="1"/>
  <c r="C654" i="9" a="1"/>
  <c r="C655" i="9" a="1"/>
  <c r="C656" i="9" a="1"/>
  <c r="C657" i="9" a="1"/>
  <c r="C658" i="9" a="1"/>
  <c r="C659" i="9" a="1"/>
  <c r="C660" i="9" a="1"/>
  <c r="C661" i="9" a="1"/>
  <c r="C662" i="9" a="1"/>
  <c r="C663" i="9" a="1"/>
  <c r="C664" i="9" a="1"/>
  <c r="C665" i="9" a="1"/>
  <c r="C666" i="9" a="1"/>
  <c r="C667" i="9" a="1"/>
  <c r="C668" i="9" a="1"/>
  <c r="C669" i="9" a="1"/>
  <c r="C670" i="9" a="1"/>
  <c r="C671" i="9" a="1"/>
  <c r="C672" i="9" a="1"/>
  <c r="C673" i="9" a="1"/>
  <c r="C674" i="9" a="1"/>
  <c r="C675" i="9" a="1"/>
  <c r="C676" i="9" a="1"/>
  <c r="C677" i="9" a="1"/>
  <c r="C678" i="9" a="1"/>
  <c r="C679" i="9" a="1"/>
  <c r="C680" i="9" a="1"/>
  <c r="C681" i="9" a="1"/>
  <c r="C682" i="9" a="1"/>
  <c r="C683" i="9" a="1"/>
  <c r="C684" i="9" a="1"/>
  <c r="C685" i="9" a="1"/>
  <c r="C686" i="9" a="1"/>
  <c r="C687" i="9" a="1"/>
  <c r="C688" i="9" a="1"/>
  <c r="C689" i="9" a="1"/>
  <c r="C690" i="9" a="1"/>
  <c r="C691" i="9" a="1"/>
  <c r="C692" i="9" a="1"/>
  <c r="C693" i="9" a="1"/>
  <c r="C694" i="9" a="1"/>
  <c r="C695" i="9" a="1"/>
  <c r="C696" i="9" a="1"/>
  <c r="C697" i="9" a="1"/>
  <c r="C698" i="9" a="1"/>
  <c r="C699" i="9" a="1"/>
  <c r="C700" i="9" a="1"/>
  <c r="C701" i="9" a="1"/>
  <c r="C702" i="9" a="1"/>
  <c r="C703" i="9" a="1"/>
  <c r="C704" i="9" a="1"/>
  <c r="C705" i="9" a="1"/>
  <c r="C706" i="9" a="1"/>
  <c r="C707" i="9" a="1"/>
  <c r="C708" i="9" a="1"/>
  <c r="C709" i="9" a="1"/>
  <c r="C710" i="9" a="1"/>
  <c r="C711" i="9" a="1"/>
  <c r="C712" i="9" a="1"/>
  <c r="C713" i="9" a="1"/>
  <c r="C714" i="9" a="1"/>
  <c r="C715" i="9" a="1"/>
  <c r="C716" i="9" a="1"/>
  <c r="C717" i="9" a="1"/>
  <c r="C718" i="9" a="1"/>
  <c r="C719" i="9" a="1"/>
  <c r="C720" i="9" a="1"/>
  <c r="C721" i="9" a="1"/>
  <c r="C722" i="9" a="1"/>
  <c r="C723" i="9" a="1"/>
  <c r="C724" i="9" a="1"/>
  <c r="C725" i="9" a="1"/>
  <c r="C726" i="9" a="1"/>
  <c r="C727" i="9" a="1"/>
  <c r="C728" i="9" a="1"/>
  <c r="C729" i="9" a="1"/>
  <c r="C730" i="9" a="1"/>
  <c r="C731" i="9" a="1"/>
  <c r="C732" i="9" a="1"/>
  <c r="C733" i="9" a="1"/>
  <c r="C734" i="9" a="1"/>
  <c r="C735" i="9" a="1"/>
  <c r="C736" i="9" a="1"/>
  <c r="C737" i="9" a="1"/>
  <c r="C738" i="9" a="1"/>
  <c r="C739" i="9" a="1"/>
  <c r="C740" i="9" a="1"/>
  <c r="C741" i="9" a="1"/>
  <c r="C742" i="9" a="1"/>
  <c r="C743" i="9" a="1"/>
  <c r="C744" i="9" a="1"/>
  <c r="C745" i="9" a="1"/>
  <c r="C746" i="9" a="1"/>
  <c r="C747" i="9" a="1"/>
  <c r="C748" i="9" a="1"/>
  <c r="C749" i="9" a="1"/>
  <c r="C750" i="9" a="1"/>
  <c r="C751" i="9" a="1"/>
  <c r="C752" i="9" a="1"/>
  <c r="C753" i="9" a="1"/>
  <c r="C754" i="9" a="1"/>
  <c r="C755" i="9" a="1"/>
  <c r="C756" i="9" a="1"/>
  <c r="C757" i="9" a="1"/>
  <c r="C758" i="9" a="1"/>
  <c r="C759" i="9" a="1"/>
  <c r="C760" i="9" a="1"/>
  <c r="C761" i="9" a="1"/>
  <c r="C762" i="9" a="1"/>
  <c r="C763" i="9" a="1"/>
  <c r="C764" i="9" a="1"/>
  <c r="C765" i="9" a="1"/>
  <c r="C766" i="9" a="1"/>
  <c r="C767" i="9" a="1"/>
  <c r="C768" i="9" a="1"/>
  <c r="C769" i="9" a="1"/>
  <c r="C770" i="9" a="1"/>
  <c r="C771" i="9" a="1"/>
  <c r="C772" i="9" a="1"/>
  <c r="C773" i="9" a="1"/>
  <c r="C774" i="9" a="1"/>
  <c r="C775" i="9" a="1"/>
  <c r="C776" i="9" a="1"/>
  <c r="C777" i="9" a="1"/>
  <c r="C778" i="9" a="1"/>
  <c r="C779" i="9" a="1"/>
  <c r="C780" i="9" a="1"/>
  <c r="C781" i="9" a="1"/>
  <c r="C782" i="9" a="1"/>
  <c r="C783" i="9" a="1"/>
  <c r="C784" i="9" a="1"/>
  <c r="C785" i="9" a="1"/>
  <c r="C786" i="9" a="1"/>
  <c r="C787" i="9" a="1"/>
  <c r="C788" i="9" a="1"/>
  <c r="C789" i="9" a="1"/>
  <c r="C790" i="9" a="1"/>
  <c r="C791" i="9" a="1"/>
  <c r="C792" i="9" a="1"/>
  <c r="C793" i="9" a="1"/>
  <c r="C794" i="9" a="1"/>
  <c r="C795" i="9" a="1"/>
  <c r="C796" i="9" a="1"/>
  <c r="C797" i="9" a="1"/>
  <c r="C798" i="9" a="1"/>
  <c r="C799" i="9" a="1"/>
  <c r="C800" i="9" a="1"/>
  <c r="C801" i="9" a="1"/>
  <c r="C802" i="9" a="1"/>
  <c r="C803" i="9" a="1"/>
  <c r="C804" i="9" a="1"/>
  <c r="C805" i="9" a="1"/>
  <c r="C806" i="9" a="1"/>
  <c r="C807" i="9" a="1"/>
  <c r="C808" i="9" a="1"/>
  <c r="C809" i="9" a="1"/>
  <c r="C810" i="9" a="1"/>
  <c r="C811" i="9" a="1"/>
  <c r="C812" i="9" a="1"/>
  <c r="C813" i="9" a="1"/>
  <c r="C814" i="9" a="1"/>
  <c r="C815" i="9" a="1"/>
  <c r="C816" i="9" a="1"/>
  <c r="C817" i="9" a="1"/>
  <c r="C818" i="9" a="1"/>
  <c r="C819" i="9" a="1"/>
  <c r="C820" i="9" a="1"/>
  <c r="C821" i="9" a="1"/>
  <c r="C822" i="9" a="1"/>
  <c r="C823" i="9" a="1"/>
  <c r="C824" i="9" a="1"/>
  <c r="C825" i="9" a="1"/>
  <c r="C826" i="9" a="1"/>
  <c r="C827" i="9" a="1"/>
  <c r="C828" i="9" a="1"/>
  <c r="C829" i="9" a="1"/>
  <c r="C830" i="9" a="1"/>
  <c r="C831" i="9" a="1"/>
  <c r="C832" i="9" a="1"/>
  <c r="C833" i="9" a="1"/>
  <c r="C834" i="9" a="1"/>
  <c r="C835" i="9" a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14" i="1"/>
  <c r="Y13" i="1"/>
  <c r="S675" i="9" l="1"/>
  <c r="R675" i="9" s="1"/>
  <c r="S507" i="9"/>
  <c r="R507" i="9" s="1"/>
  <c r="S531" i="9"/>
  <c r="R531" i="9" s="1"/>
  <c r="S555" i="9"/>
  <c r="R555" i="9" s="1"/>
  <c r="S579" i="9"/>
  <c r="R579" i="9" s="1"/>
  <c r="S603" i="9"/>
  <c r="R603" i="9" s="1"/>
  <c r="S651" i="9"/>
  <c r="R651" i="9" s="1"/>
  <c r="S699" i="9"/>
  <c r="R699" i="9" s="1"/>
  <c r="S735" i="9"/>
  <c r="R735" i="9" s="1"/>
  <c r="S771" i="9"/>
  <c r="R771" i="9" s="1"/>
  <c r="C87" i="1" l="1"/>
  <c r="P87" i="1"/>
  <c r="Q87" i="1"/>
  <c r="R87" i="1" s="1"/>
  <c r="T87" i="1"/>
  <c r="U87" i="1"/>
  <c r="AA87" i="1"/>
  <c r="AI87" i="1" a="1"/>
  <c r="AI87" i="1" s="1"/>
  <c r="AM87" i="1"/>
  <c r="AN87" i="1" s="1"/>
  <c r="C88" i="1"/>
  <c r="Z87" i="1" s="1"/>
  <c r="P88" i="1"/>
  <c r="Q88" i="1"/>
  <c r="R88" i="1" s="1"/>
  <c r="T88" i="1"/>
  <c r="U88" i="1"/>
  <c r="AA88" i="1"/>
  <c r="AI88" i="1" a="1"/>
  <c r="AI88" i="1" s="1"/>
  <c r="AM88" i="1"/>
  <c r="AN88" i="1" s="1"/>
  <c r="C89" i="1"/>
  <c r="Z88" i="1" s="1"/>
  <c r="P89" i="1"/>
  <c r="Q89" i="1"/>
  <c r="R89" i="1" s="1"/>
  <c r="T89" i="1"/>
  <c r="U89" i="1"/>
  <c r="AA89" i="1"/>
  <c r="AI89" i="1" a="1"/>
  <c r="AI89" i="1" s="1"/>
  <c r="AM89" i="1"/>
  <c r="AN89" i="1" s="1"/>
  <c r="C90" i="1"/>
  <c r="W90" i="1" s="1"/>
  <c r="V90" i="1" s="1"/>
  <c r="P90" i="1"/>
  <c r="Q90" i="1"/>
  <c r="R90" i="1" s="1"/>
  <c r="T90" i="1"/>
  <c r="U90" i="1"/>
  <c r="AA90" i="1"/>
  <c r="AI90" i="1" a="1"/>
  <c r="AI90" i="1" s="1"/>
  <c r="AM90" i="1"/>
  <c r="AN90" i="1" s="1"/>
  <c r="C91" i="1"/>
  <c r="Z90" i="1" s="1"/>
  <c r="P91" i="1"/>
  <c r="Q91" i="1"/>
  <c r="R91" i="1" s="1"/>
  <c r="T91" i="1"/>
  <c r="U91" i="1"/>
  <c r="AA91" i="1"/>
  <c r="AI91" i="1" a="1"/>
  <c r="AI91" i="1" s="1"/>
  <c r="AM91" i="1"/>
  <c r="AN91" i="1" s="1"/>
  <c r="C92" i="1"/>
  <c r="Z91" i="1" s="1"/>
  <c r="P92" i="1"/>
  <c r="Q92" i="1"/>
  <c r="R92" i="1" s="1"/>
  <c r="T92" i="1"/>
  <c r="U92" i="1"/>
  <c r="AA92" i="1"/>
  <c r="AI92" i="1" a="1"/>
  <c r="AI92" i="1" s="1"/>
  <c r="AM92" i="1"/>
  <c r="AN92" i="1" s="1"/>
  <c r="C93" i="1"/>
  <c r="P93" i="1"/>
  <c r="Q93" i="1"/>
  <c r="R93" i="1" s="1"/>
  <c r="T93" i="1"/>
  <c r="U93" i="1"/>
  <c r="AA93" i="1"/>
  <c r="AI93" i="1" a="1"/>
  <c r="AI93" i="1" s="1"/>
  <c r="AM93" i="1"/>
  <c r="AN93" i="1" s="1"/>
  <c r="C94" i="1"/>
  <c r="Z93" i="1" s="1"/>
  <c r="P94" i="1"/>
  <c r="Q94" i="1"/>
  <c r="R94" i="1" s="1"/>
  <c r="T94" i="1"/>
  <c r="U94" i="1"/>
  <c r="AA94" i="1"/>
  <c r="AI94" i="1" a="1"/>
  <c r="AI94" i="1" s="1"/>
  <c r="AM94" i="1"/>
  <c r="AN94" i="1" s="1"/>
  <c r="C95" i="1"/>
  <c r="Z94" i="1" s="1"/>
  <c r="P95" i="1"/>
  <c r="Q95" i="1"/>
  <c r="R95" i="1" s="1"/>
  <c r="T95" i="1"/>
  <c r="U95" i="1"/>
  <c r="AA95" i="1"/>
  <c r="AI95" i="1" a="1"/>
  <c r="AI95" i="1" s="1"/>
  <c r="AM95" i="1"/>
  <c r="AN95" i="1" s="1"/>
  <c r="C96" i="1"/>
  <c r="W96" i="1" s="1"/>
  <c r="A96" i="1" s="1"/>
  <c r="P96" i="1"/>
  <c r="Q96" i="1"/>
  <c r="R96" i="1" s="1"/>
  <c r="T96" i="1"/>
  <c r="U96" i="1"/>
  <c r="AA96" i="1"/>
  <c r="AI96" i="1" a="1"/>
  <c r="AI96" i="1" s="1"/>
  <c r="AM96" i="1"/>
  <c r="AN96" i="1" s="1"/>
  <c r="C97" i="1"/>
  <c r="Z96" i="1" s="1"/>
  <c r="P97" i="1"/>
  <c r="Q97" i="1"/>
  <c r="R97" i="1" s="1"/>
  <c r="T97" i="1"/>
  <c r="U97" i="1"/>
  <c r="AA97" i="1"/>
  <c r="AI97" i="1" a="1"/>
  <c r="AI97" i="1" s="1"/>
  <c r="AM97" i="1"/>
  <c r="AN97" i="1" s="1"/>
  <c r="C98" i="1"/>
  <c r="Z97" i="1" s="1"/>
  <c r="P98" i="1"/>
  <c r="Q98" i="1"/>
  <c r="R98" i="1" s="1"/>
  <c r="T98" i="1"/>
  <c r="U98" i="1"/>
  <c r="AA98" i="1"/>
  <c r="AI98" i="1" a="1"/>
  <c r="AI98" i="1" s="1"/>
  <c r="AM98" i="1"/>
  <c r="AN98" i="1" s="1"/>
  <c r="C99" i="1"/>
  <c r="AD99" i="1" s="1"/>
  <c r="P99" i="1"/>
  <c r="Q99" i="1"/>
  <c r="R99" i="1" s="1"/>
  <c r="T99" i="1"/>
  <c r="U99" i="1"/>
  <c r="AA99" i="1"/>
  <c r="AI99" i="1" a="1"/>
  <c r="AI99" i="1" s="1"/>
  <c r="AM99" i="1"/>
  <c r="AN99" i="1" s="1"/>
  <c r="C100" i="1"/>
  <c r="Z99" i="1" s="1"/>
  <c r="P100" i="1"/>
  <c r="Q100" i="1"/>
  <c r="R100" i="1" s="1"/>
  <c r="T100" i="1"/>
  <c r="U100" i="1"/>
  <c r="AA100" i="1"/>
  <c r="AI100" i="1" a="1"/>
  <c r="AI100" i="1" s="1"/>
  <c r="AM100" i="1"/>
  <c r="AN100" i="1" s="1"/>
  <c r="C101" i="1"/>
  <c r="AD101" i="1" s="1"/>
  <c r="P101" i="1"/>
  <c r="Q101" i="1"/>
  <c r="R101" i="1" s="1"/>
  <c r="T101" i="1"/>
  <c r="U101" i="1"/>
  <c r="AA101" i="1"/>
  <c r="AI101" i="1" a="1"/>
  <c r="AI101" i="1" s="1"/>
  <c r="AM101" i="1"/>
  <c r="AN101" i="1" s="1"/>
  <c r="C102" i="1"/>
  <c r="Z101" i="1" s="1"/>
  <c r="P102" i="1"/>
  <c r="Q102" i="1"/>
  <c r="R102" i="1" s="1"/>
  <c r="T102" i="1"/>
  <c r="U102" i="1"/>
  <c r="AA102" i="1"/>
  <c r="AI102" i="1" a="1"/>
  <c r="AI102" i="1" s="1"/>
  <c r="AM102" i="1"/>
  <c r="AN102" i="1" s="1"/>
  <c r="C103" i="1"/>
  <c r="Z102" i="1" s="1"/>
  <c r="P103" i="1"/>
  <c r="Q103" i="1"/>
  <c r="R103" i="1" s="1"/>
  <c r="T103" i="1"/>
  <c r="U103" i="1"/>
  <c r="AA103" i="1"/>
  <c r="AI103" i="1" a="1"/>
  <c r="AI103" i="1" s="1"/>
  <c r="AM103" i="1"/>
  <c r="AN103" i="1" s="1"/>
  <c r="C104" i="1"/>
  <c r="Z103" i="1" s="1"/>
  <c r="P104" i="1"/>
  <c r="Q104" i="1"/>
  <c r="R104" i="1" s="1"/>
  <c r="T104" i="1"/>
  <c r="U104" i="1"/>
  <c r="AA104" i="1"/>
  <c r="AI104" i="1" a="1"/>
  <c r="AI104" i="1" s="1"/>
  <c r="AM104" i="1"/>
  <c r="AN104" i="1" s="1"/>
  <c r="C105" i="1"/>
  <c r="Z104" i="1" s="1"/>
  <c r="P105" i="1"/>
  <c r="Q105" i="1"/>
  <c r="R105" i="1" s="1"/>
  <c r="T105" i="1"/>
  <c r="U105" i="1"/>
  <c r="AA105" i="1"/>
  <c r="AI105" i="1" a="1"/>
  <c r="AI105" i="1" s="1"/>
  <c r="AM105" i="1"/>
  <c r="AN105" i="1" s="1"/>
  <c r="C106" i="1"/>
  <c r="Z105" i="1" s="1"/>
  <c r="P106" i="1"/>
  <c r="Q106" i="1"/>
  <c r="R106" i="1" s="1"/>
  <c r="T106" i="1"/>
  <c r="U106" i="1"/>
  <c r="AA106" i="1"/>
  <c r="AI106" i="1" a="1"/>
  <c r="AI106" i="1" s="1"/>
  <c r="AM106" i="1"/>
  <c r="AN106" i="1" s="1"/>
  <c r="C107" i="1"/>
  <c r="Z106" i="1" s="1"/>
  <c r="P107" i="1"/>
  <c r="Q107" i="1"/>
  <c r="R107" i="1" s="1"/>
  <c r="T107" i="1"/>
  <c r="U107" i="1"/>
  <c r="AA107" i="1"/>
  <c r="AI107" i="1" a="1"/>
  <c r="AI107" i="1" s="1"/>
  <c r="AM107" i="1"/>
  <c r="AN107" i="1" s="1"/>
  <c r="C108" i="1"/>
  <c r="Z107" i="1" s="1"/>
  <c r="P108" i="1"/>
  <c r="Q108" i="1"/>
  <c r="R108" i="1" s="1"/>
  <c r="T108" i="1"/>
  <c r="U108" i="1"/>
  <c r="AA108" i="1"/>
  <c r="AI108" i="1" a="1"/>
  <c r="AI108" i="1" s="1"/>
  <c r="AM108" i="1"/>
  <c r="AN108" i="1" s="1"/>
  <c r="C109" i="1"/>
  <c r="Z108" i="1" s="1"/>
  <c r="P109" i="1"/>
  <c r="Q109" i="1"/>
  <c r="R109" i="1" s="1"/>
  <c r="T109" i="1"/>
  <c r="U109" i="1"/>
  <c r="AA109" i="1"/>
  <c r="AI109" i="1" a="1"/>
  <c r="AI109" i="1" s="1"/>
  <c r="AM109" i="1"/>
  <c r="AN109" i="1" s="1"/>
  <c r="C110" i="1"/>
  <c r="AD110" i="1" s="1"/>
  <c r="P110" i="1"/>
  <c r="Q110" i="1"/>
  <c r="R110" i="1" s="1"/>
  <c r="T110" i="1"/>
  <c r="U110" i="1"/>
  <c r="AA110" i="1"/>
  <c r="AI110" i="1" a="1"/>
  <c r="AI110" i="1" s="1"/>
  <c r="AM110" i="1"/>
  <c r="AN110" i="1" s="1"/>
  <c r="C111" i="1"/>
  <c r="Z110" i="1" s="1"/>
  <c r="P111" i="1"/>
  <c r="Q111" i="1"/>
  <c r="R111" i="1" s="1"/>
  <c r="T111" i="1"/>
  <c r="U111" i="1"/>
  <c r="AA111" i="1"/>
  <c r="AI111" i="1" a="1"/>
  <c r="AI111" i="1" s="1"/>
  <c r="AM111" i="1"/>
  <c r="AN111" i="1" s="1"/>
  <c r="C112" i="1"/>
  <c r="Z111" i="1" s="1"/>
  <c r="P112" i="1"/>
  <c r="Q112" i="1"/>
  <c r="R112" i="1" s="1"/>
  <c r="T112" i="1"/>
  <c r="U112" i="1"/>
  <c r="AA112" i="1"/>
  <c r="AI112" i="1" a="1"/>
  <c r="AI112" i="1" s="1"/>
  <c r="AM112" i="1"/>
  <c r="AN112" i="1" s="1"/>
  <c r="C113" i="1"/>
  <c r="Z112" i="1" s="1"/>
  <c r="P113" i="1"/>
  <c r="Q113" i="1"/>
  <c r="R113" i="1" s="1"/>
  <c r="T113" i="1"/>
  <c r="U113" i="1"/>
  <c r="AA113" i="1"/>
  <c r="AI113" i="1" a="1"/>
  <c r="AI113" i="1" s="1"/>
  <c r="AM113" i="1"/>
  <c r="AN113" i="1" s="1"/>
  <c r="C114" i="1"/>
  <c r="Z113" i="1" s="1"/>
  <c r="P114" i="1"/>
  <c r="Q114" i="1"/>
  <c r="R114" i="1" s="1"/>
  <c r="T114" i="1"/>
  <c r="U114" i="1"/>
  <c r="AA114" i="1"/>
  <c r="AI114" i="1" a="1"/>
  <c r="AI114" i="1" s="1"/>
  <c r="AM114" i="1"/>
  <c r="AN114" i="1" s="1"/>
  <c r="C115" i="1"/>
  <c r="Z114" i="1" s="1"/>
  <c r="P115" i="1"/>
  <c r="Q115" i="1"/>
  <c r="R115" i="1" s="1"/>
  <c r="T115" i="1"/>
  <c r="U115" i="1"/>
  <c r="AA115" i="1"/>
  <c r="AI115" i="1" a="1"/>
  <c r="AI115" i="1" s="1"/>
  <c r="AM115" i="1"/>
  <c r="AN115" i="1" s="1"/>
  <c r="C116" i="1"/>
  <c r="Z115" i="1" s="1"/>
  <c r="P116" i="1"/>
  <c r="Q116" i="1"/>
  <c r="R116" i="1" s="1"/>
  <c r="T116" i="1"/>
  <c r="U116" i="1"/>
  <c r="AA116" i="1"/>
  <c r="AI116" i="1" a="1"/>
  <c r="AI116" i="1" s="1"/>
  <c r="AM116" i="1"/>
  <c r="AN116" i="1" s="1"/>
  <c r="C117" i="1"/>
  <c r="Z116" i="1" s="1"/>
  <c r="P117" i="1"/>
  <c r="Q117" i="1"/>
  <c r="R117" i="1" s="1"/>
  <c r="T117" i="1"/>
  <c r="U117" i="1"/>
  <c r="AA117" i="1"/>
  <c r="AI117" i="1" a="1"/>
  <c r="AI117" i="1" s="1"/>
  <c r="AM117" i="1"/>
  <c r="AN117" i="1" s="1"/>
  <c r="C118" i="1"/>
  <c r="Z117" i="1" s="1"/>
  <c r="P118" i="1"/>
  <c r="Q118" i="1"/>
  <c r="R118" i="1" s="1"/>
  <c r="T118" i="1"/>
  <c r="U118" i="1"/>
  <c r="AA118" i="1"/>
  <c r="AI118" i="1" a="1"/>
  <c r="AI118" i="1" s="1"/>
  <c r="AM118" i="1"/>
  <c r="AN118" i="1" s="1"/>
  <c r="C119" i="1"/>
  <c r="AD119" i="1" s="1"/>
  <c r="P119" i="1"/>
  <c r="Q119" i="1"/>
  <c r="R119" i="1" s="1"/>
  <c r="T119" i="1"/>
  <c r="U119" i="1"/>
  <c r="AA119" i="1"/>
  <c r="AI119" i="1" a="1"/>
  <c r="AI119" i="1" s="1"/>
  <c r="AM119" i="1"/>
  <c r="AN119" i="1" s="1"/>
  <c r="C120" i="1"/>
  <c r="Z119" i="1" s="1"/>
  <c r="P120" i="1"/>
  <c r="Q120" i="1"/>
  <c r="R120" i="1" s="1"/>
  <c r="T120" i="1"/>
  <c r="U120" i="1"/>
  <c r="AA120" i="1"/>
  <c r="AI120" i="1" a="1"/>
  <c r="AI120" i="1" s="1"/>
  <c r="AM120" i="1"/>
  <c r="AN120" i="1" s="1"/>
  <c r="C121" i="1"/>
  <c r="Z120" i="1" s="1"/>
  <c r="P121" i="1"/>
  <c r="Q121" i="1"/>
  <c r="R121" i="1" s="1"/>
  <c r="T121" i="1"/>
  <c r="U121" i="1"/>
  <c r="AA121" i="1"/>
  <c r="AI121" i="1" a="1"/>
  <c r="AI121" i="1" s="1"/>
  <c r="AM121" i="1"/>
  <c r="AN121" i="1" s="1"/>
  <c r="C122" i="1"/>
  <c r="W122" i="1" s="1"/>
  <c r="P122" i="1"/>
  <c r="Q122" i="1"/>
  <c r="R122" i="1" s="1"/>
  <c r="T122" i="1"/>
  <c r="U122" i="1"/>
  <c r="AA122" i="1"/>
  <c r="AI122" i="1" a="1"/>
  <c r="AI122" i="1" s="1"/>
  <c r="AM122" i="1"/>
  <c r="AN122" i="1" s="1"/>
  <c r="C123" i="1"/>
  <c r="Z122" i="1" s="1"/>
  <c r="P123" i="1"/>
  <c r="Q123" i="1"/>
  <c r="R123" i="1" s="1"/>
  <c r="T123" i="1"/>
  <c r="U123" i="1"/>
  <c r="AA123" i="1"/>
  <c r="AI123" i="1" a="1"/>
  <c r="AI123" i="1" s="1"/>
  <c r="AM123" i="1"/>
  <c r="AN123" i="1" s="1"/>
  <c r="C124" i="1"/>
  <c r="Z123" i="1" s="1"/>
  <c r="P124" i="1"/>
  <c r="Q124" i="1"/>
  <c r="R124" i="1" s="1"/>
  <c r="T124" i="1"/>
  <c r="U124" i="1"/>
  <c r="AA124" i="1"/>
  <c r="AI124" i="1" a="1"/>
  <c r="AI124" i="1" s="1"/>
  <c r="AM124" i="1"/>
  <c r="AN124" i="1" s="1"/>
  <c r="C125" i="1"/>
  <c r="AD125" i="1" s="1"/>
  <c r="P125" i="1"/>
  <c r="Q125" i="1"/>
  <c r="R125" i="1" s="1"/>
  <c r="T125" i="1"/>
  <c r="U125" i="1"/>
  <c r="AA125" i="1"/>
  <c r="AI125" i="1" a="1"/>
  <c r="AI125" i="1" s="1"/>
  <c r="AM125" i="1"/>
  <c r="AN125" i="1" s="1"/>
  <c r="C126" i="1"/>
  <c r="Z125" i="1" s="1"/>
  <c r="P126" i="1"/>
  <c r="Q126" i="1"/>
  <c r="R126" i="1" s="1"/>
  <c r="T126" i="1"/>
  <c r="U126" i="1"/>
  <c r="AA126" i="1"/>
  <c r="AI126" i="1" a="1"/>
  <c r="AI126" i="1" s="1"/>
  <c r="AM126" i="1"/>
  <c r="AN126" i="1" s="1"/>
  <c r="C127" i="1"/>
  <c r="Z126" i="1" s="1"/>
  <c r="P127" i="1"/>
  <c r="Q127" i="1"/>
  <c r="R127" i="1" s="1"/>
  <c r="T127" i="1"/>
  <c r="U127" i="1"/>
  <c r="AA127" i="1"/>
  <c r="AI127" i="1" a="1"/>
  <c r="AI127" i="1" s="1"/>
  <c r="AM127" i="1"/>
  <c r="AN127" i="1" s="1"/>
  <c r="C128" i="1"/>
  <c r="AD128" i="1" s="1"/>
  <c r="P128" i="1"/>
  <c r="Q128" i="1"/>
  <c r="R128" i="1" s="1"/>
  <c r="T128" i="1"/>
  <c r="U128" i="1"/>
  <c r="AA128" i="1"/>
  <c r="AI128" i="1" a="1"/>
  <c r="AI128" i="1" s="1"/>
  <c r="AM128" i="1"/>
  <c r="AN128" i="1" s="1"/>
  <c r="C129" i="1"/>
  <c r="Z128" i="1" s="1"/>
  <c r="P129" i="1"/>
  <c r="Q129" i="1"/>
  <c r="R129" i="1" s="1"/>
  <c r="T129" i="1"/>
  <c r="U129" i="1"/>
  <c r="AA129" i="1"/>
  <c r="AI129" i="1" a="1"/>
  <c r="AI129" i="1" s="1"/>
  <c r="AM129" i="1"/>
  <c r="AN129" i="1" s="1"/>
  <c r="C130" i="1"/>
  <c r="Z129" i="1" s="1"/>
  <c r="P130" i="1"/>
  <c r="Q130" i="1"/>
  <c r="R130" i="1" s="1"/>
  <c r="T130" i="1"/>
  <c r="U130" i="1"/>
  <c r="AA130" i="1"/>
  <c r="AI130" i="1" a="1"/>
  <c r="AI130" i="1" s="1"/>
  <c r="AM130" i="1"/>
  <c r="AN130" i="1" s="1"/>
  <c r="C131" i="1"/>
  <c r="W131" i="1" s="1"/>
  <c r="P131" i="1"/>
  <c r="Q131" i="1"/>
  <c r="R131" i="1" s="1"/>
  <c r="T131" i="1"/>
  <c r="U131" i="1"/>
  <c r="AA131" i="1"/>
  <c r="AI131" i="1" a="1"/>
  <c r="AI131" i="1" s="1"/>
  <c r="AM131" i="1"/>
  <c r="AN131" i="1" s="1"/>
  <c r="C132" i="1"/>
  <c r="Z131" i="1" s="1"/>
  <c r="P132" i="1"/>
  <c r="Q132" i="1"/>
  <c r="R132" i="1" s="1"/>
  <c r="T132" i="1"/>
  <c r="U132" i="1"/>
  <c r="AA132" i="1"/>
  <c r="AI132" i="1" a="1"/>
  <c r="AI132" i="1" s="1"/>
  <c r="AM132" i="1"/>
  <c r="AN132" i="1" s="1"/>
  <c r="C133" i="1"/>
  <c r="Z132" i="1" s="1"/>
  <c r="P133" i="1"/>
  <c r="Q133" i="1"/>
  <c r="R133" i="1" s="1"/>
  <c r="T133" i="1"/>
  <c r="U133" i="1"/>
  <c r="AA133" i="1"/>
  <c r="AI133" i="1" a="1"/>
  <c r="AI133" i="1" s="1"/>
  <c r="AM133" i="1"/>
  <c r="AN133" i="1" s="1"/>
  <c r="C134" i="1"/>
  <c r="W134" i="1" s="1"/>
  <c r="P134" i="1"/>
  <c r="Q134" i="1"/>
  <c r="R134" i="1" s="1"/>
  <c r="T134" i="1"/>
  <c r="U134" i="1"/>
  <c r="AA134" i="1"/>
  <c r="AI134" i="1" a="1"/>
  <c r="AI134" i="1" s="1"/>
  <c r="AM134" i="1"/>
  <c r="AN134" i="1" s="1"/>
  <c r="C135" i="1"/>
  <c r="Z134" i="1" s="1"/>
  <c r="P135" i="1"/>
  <c r="Q135" i="1"/>
  <c r="R135" i="1" s="1"/>
  <c r="T135" i="1"/>
  <c r="U135" i="1"/>
  <c r="AA135" i="1"/>
  <c r="AI135" i="1" a="1"/>
  <c r="AI135" i="1" s="1"/>
  <c r="AM135" i="1"/>
  <c r="AN135" i="1" s="1"/>
  <c r="C136" i="1"/>
  <c r="Z135" i="1" s="1"/>
  <c r="P136" i="1"/>
  <c r="Q136" i="1"/>
  <c r="R136" i="1" s="1"/>
  <c r="T136" i="1"/>
  <c r="U136" i="1"/>
  <c r="AA136" i="1"/>
  <c r="AI136" i="1" a="1"/>
  <c r="AI136" i="1" s="1"/>
  <c r="AM136" i="1"/>
  <c r="AN136" i="1" s="1"/>
  <c r="C137" i="1"/>
  <c r="Z136" i="1" s="1"/>
  <c r="P137" i="1"/>
  <c r="Q137" i="1"/>
  <c r="R137" i="1" s="1"/>
  <c r="T137" i="1"/>
  <c r="U137" i="1"/>
  <c r="AA137" i="1"/>
  <c r="AI137" i="1" a="1"/>
  <c r="AI137" i="1" s="1"/>
  <c r="AM137" i="1"/>
  <c r="AN137" i="1" s="1"/>
  <c r="C138" i="1"/>
  <c r="Z137" i="1" s="1"/>
  <c r="P138" i="1"/>
  <c r="Q138" i="1"/>
  <c r="R138" i="1" s="1"/>
  <c r="T138" i="1"/>
  <c r="U138" i="1"/>
  <c r="AA138" i="1"/>
  <c r="AI138" i="1" a="1"/>
  <c r="AI138" i="1" s="1"/>
  <c r="AM138" i="1"/>
  <c r="AN138" i="1" s="1"/>
  <c r="C139" i="1"/>
  <c r="Z138" i="1" s="1"/>
  <c r="P139" i="1"/>
  <c r="Q139" i="1"/>
  <c r="R139" i="1" s="1"/>
  <c r="T139" i="1"/>
  <c r="U139" i="1"/>
  <c r="AA139" i="1"/>
  <c r="AI139" i="1" a="1"/>
  <c r="AI139" i="1" s="1"/>
  <c r="AM139" i="1"/>
  <c r="AN139" i="1" s="1"/>
  <c r="C140" i="1"/>
  <c r="AD140" i="1" s="1"/>
  <c r="P140" i="1"/>
  <c r="Q140" i="1"/>
  <c r="R140" i="1" s="1"/>
  <c r="T140" i="1"/>
  <c r="U140" i="1"/>
  <c r="AA140" i="1"/>
  <c r="AI140" i="1" a="1"/>
  <c r="AI140" i="1" s="1"/>
  <c r="AM140" i="1"/>
  <c r="AN140" i="1" s="1"/>
  <c r="C141" i="1"/>
  <c r="Z140" i="1" s="1"/>
  <c r="P141" i="1"/>
  <c r="Q141" i="1"/>
  <c r="R141" i="1" s="1"/>
  <c r="T141" i="1"/>
  <c r="U141" i="1"/>
  <c r="AA141" i="1"/>
  <c r="AI141" i="1" a="1"/>
  <c r="AI141" i="1" s="1"/>
  <c r="AM141" i="1"/>
  <c r="AN141" i="1" s="1"/>
  <c r="C142" i="1"/>
  <c r="Z141" i="1" s="1"/>
  <c r="P142" i="1"/>
  <c r="Q142" i="1"/>
  <c r="R142" i="1" s="1"/>
  <c r="T142" i="1"/>
  <c r="U142" i="1"/>
  <c r="AA142" i="1"/>
  <c r="AI142" i="1" a="1"/>
  <c r="AI142" i="1" s="1"/>
  <c r="AM142" i="1"/>
  <c r="AN142" i="1" s="1"/>
  <c r="C143" i="1"/>
  <c r="Z142" i="1" s="1"/>
  <c r="P143" i="1"/>
  <c r="Q143" i="1"/>
  <c r="R143" i="1" s="1"/>
  <c r="T143" i="1"/>
  <c r="U143" i="1"/>
  <c r="AA143" i="1"/>
  <c r="AI143" i="1" a="1"/>
  <c r="AI143" i="1" s="1"/>
  <c r="AM143" i="1"/>
  <c r="AN143" i="1" s="1"/>
  <c r="C144" i="1"/>
  <c r="Z143" i="1" s="1"/>
  <c r="P144" i="1"/>
  <c r="Q144" i="1"/>
  <c r="R144" i="1" s="1"/>
  <c r="T144" i="1"/>
  <c r="U144" i="1"/>
  <c r="AA144" i="1"/>
  <c r="AI144" i="1" a="1"/>
  <c r="AI144" i="1" s="1"/>
  <c r="AM144" i="1"/>
  <c r="AN144" i="1" s="1"/>
  <c r="C145" i="1"/>
  <c r="Z144" i="1" s="1"/>
  <c r="P145" i="1"/>
  <c r="Q145" i="1"/>
  <c r="R145" i="1" s="1"/>
  <c r="T145" i="1"/>
  <c r="U145" i="1"/>
  <c r="AA145" i="1"/>
  <c r="AI145" i="1" a="1"/>
  <c r="AI145" i="1" s="1"/>
  <c r="AM145" i="1"/>
  <c r="AN145" i="1" s="1"/>
  <c r="C146" i="1"/>
  <c r="W146" i="1" s="1"/>
  <c r="P146" i="1"/>
  <c r="Q146" i="1"/>
  <c r="R146" i="1" s="1"/>
  <c r="T146" i="1"/>
  <c r="U146" i="1"/>
  <c r="AA146" i="1"/>
  <c r="AI146" i="1" a="1"/>
  <c r="AI146" i="1" s="1"/>
  <c r="AM146" i="1"/>
  <c r="AN146" i="1" s="1"/>
  <c r="C147" i="1"/>
  <c r="Z146" i="1" s="1"/>
  <c r="P147" i="1"/>
  <c r="Q147" i="1"/>
  <c r="R147" i="1" s="1"/>
  <c r="T147" i="1"/>
  <c r="U147" i="1"/>
  <c r="AA147" i="1"/>
  <c r="AI147" i="1" a="1"/>
  <c r="AI147" i="1" s="1"/>
  <c r="AM147" i="1"/>
  <c r="AN147" i="1" s="1"/>
  <c r="C148" i="1"/>
  <c r="Z147" i="1" s="1"/>
  <c r="P148" i="1"/>
  <c r="Q148" i="1"/>
  <c r="R148" i="1" s="1"/>
  <c r="T148" i="1"/>
  <c r="U148" i="1"/>
  <c r="AA148" i="1"/>
  <c r="AI148" i="1" a="1"/>
  <c r="AI148" i="1" s="1"/>
  <c r="AM148" i="1"/>
  <c r="AN148" i="1" s="1"/>
  <c r="C149" i="1"/>
  <c r="Z148" i="1" s="1"/>
  <c r="P149" i="1"/>
  <c r="Q149" i="1"/>
  <c r="R149" i="1" s="1"/>
  <c r="T149" i="1"/>
  <c r="U149" i="1"/>
  <c r="AA149" i="1"/>
  <c r="AI149" i="1" a="1"/>
  <c r="AI149" i="1" s="1"/>
  <c r="AM149" i="1"/>
  <c r="AN149" i="1" s="1"/>
  <c r="C150" i="1"/>
  <c r="Z149" i="1" s="1"/>
  <c r="P150" i="1"/>
  <c r="Q150" i="1"/>
  <c r="R150" i="1" s="1"/>
  <c r="T150" i="1"/>
  <c r="U150" i="1"/>
  <c r="AA150" i="1"/>
  <c r="AI150" i="1" a="1"/>
  <c r="AI150" i="1" s="1"/>
  <c r="AM150" i="1"/>
  <c r="AN150" i="1" s="1"/>
  <c r="C151" i="1"/>
  <c r="Z150" i="1" s="1"/>
  <c r="P151" i="1"/>
  <c r="Q151" i="1"/>
  <c r="R151" i="1" s="1"/>
  <c r="T151" i="1"/>
  <c r="U151" i="1"/>
  <c r="AA151" i="1"/>
  <c r="AI151" i="1" a="1"/>
  <c r="AI151" i="1" s="1"/>
  <c r="AM151" i="1"/>
  <c r="AN151" i="1" s="1"/>
  <c r="C152" i="1"/>
  <c r="Z151" i="1" s="1"/>
  <c r="P152" i="1"/>
  <c r="Q152" i="1"/>
  <c r="R152" i="1" s="1"/>
  <c r="T152" i="1"/>
  <c r="U152" i="1"/>
  <c r="AA152" i="1"/>
  <c r="AI152" i="1" a="1"/>
  <c r="AI152" i="1" s="1"/>
  <c r="AM152" i="1"/>
  <c r="AN152" i="1" s="1"/>
  <c r="C153" i="1"/>
  <c r="Z152" i="1" s="1"/>
  <c r="P153" i="1"/>
  <c r="Q153" i="1"/>
  <c r="R153" i="1" s="1"/>
  <c r="T153" i="1"/>
  <c r="U153" i="1"/>
  <c r="AA153" i="1"/>
  <c r="AI153" i="1" a="1"/>
  <c r="AI153" i="1" s="1"/>
  <c r="AM153" i="1"/>
  <c r="AN153" i="1" s="1"/>
  <c r="C154" i="1"/>
  <c r="Z153" i="1" s="1"/>
  <c r="P154" i="1"/>
  <c r="Q154" i="1"/>
  <c r="R154" i="1" s="1"/>
  <c r="T154" i="1"/>
  <c r="U154" i="1"/>
  <c r="AA154" i="1"/>
  <c r="AI154" i="1" a="1"/>
  <c r="AI154" i="1" s="1"/>
  <c r="AM154" i="1"/>
  <c r="AN154" i="1" s="1"/>
  <c r="C155" i="1"/>
  <c r="AD155" i="1" s="1"/>
  <c r="P155" i="1"/>
  <c r="Q155" i="1"/>
  <c r="R155" i="1" s="1"/>
  <c r="T155" i="1"/>
  <c r="U155" i="1"/>
  <c r="AA155" i="1"/>
  <c r="AI155" i="1" a="1"/>
  <c r="AI155" i="1" s="1"/>
  <c r="AM155" i="1"/>
  <c r="AN155" i="1" s="1"/>
  <c r="C156" i="1"/>
  <c r="Z155" i="1" s="1"/>
  <c r="P156" i="1"/>
  <c r="Q156" i="1"/>
  <c r="R156" i="1" s="1"/>
  <c r="T156" i="1"/>
  <c r="U156" i="1"/>
  <c r="AA156" i="1"/>
  <c r="AI156" i="1" a="1"/>
  <c r="AI156" i="1" s="1"/>
  <c r="AM156" i="1"/>
  <c r="AN156" i="1" s="1"/>
  <c r="C157" i="1"/>
  <c r="Z156" i="1" s="1"/>
  <c r="P157" i="1"/>
  <c r="Q157" i="1"/>
  <c r="R157" i="1" s="1"/>
  <c r="T157" i="1"/>
  <c r="U157" i="1"/>
  <c r="AA157" i="1"/>
  <c r="AI157" i="1" a="1"/>
  <c r="AI157" i="1" s="1"/>
  <c r="AM157" i="1"/>
  <c r="AN157" i="1" s="1"/>
  <c r="W87" i="1" l="1"/>
  <c r="AX87" i="1" s="1"/>
  <c r="Z86" i="1"/>
  <c r="W93" i="1"/>
  <c r="AX93" i="1" s="1"/>
  <c r="Z92" i="1"/>
  <c r="AD134" i="1"/>
  <c r="AD94" i="1"/>
  <c r="Z133" i="1"/>
  <c r="Z145" i="1"/>
  <c r="AD116" i="1"/>
  <c r="AD103" i="1"/>
  <c r="AD100" i="1"/>
  <c r="W95" i="1"/>
  <c r="B95" i="1" s="1"/>
  <c r="W105" i="1"/>
  <c r="A105" i="1" s="1"/>
  <c r="AD115" i="1"/>
  <c r="W110" i="1"/>
  <c r="Z95" i="1"/>
  <c r="V96" i="1"/>
  <c r="AD151" i="1"/>
  <c r="Z139" i="1"/>
  <c r="Z121" i="1"/>
  <c r="W119" i="1"/>
  <c r="A119" i="1" s="1"/>
  <c r="Z118" i="1"/>
  <c r="W140" i="1"/>
  <c r="B140" i="1" s="1"/>
  <c r="Z124" i="1"/>
  <c r="Z98" i="1"/>
  <c r="AD95" i="1"/>
  <c r="W125" i="1"/>
  <c r="A125" i="1" s="1"/>
  <c r="Z130" i="1"/>
  <c r="AD89" i="1"/>
  <c r="AD92" i="1"/>
  <c r="Z109" i="1"/>
  <c r="W92" i="1"/>
  <c r="AD138" i="1"/>
  <c r="AD118" i="1"/>
  <c r="AD124" i="1"/>
  <c r="AD122" i="1"/>
  <c r="A134" i="1"/>
  <c r="B134" i="1"/>
  <c r="V134" i="1"/>
  <c r="W129" i="1"/>
  <c r="A129" i="1" s="1"/>
  <c r="W99" i="1"/>
  <c r="A99" i="1" s="1"/>
  <c r="AD88" i="1"/>
  <c r="AD123" i="1"/>
  <c r="AD106" i="1"/>
  <c r="W97" i="1"/>
  <c r="A97" i="1" s="1"/>
  <c r="W88" i="1"/>
  <c r="AX88" i="1" s="1"/>
  <c r="W123" i="1"/>
  <c r="A123" i="1" s="1"/>
  <c r="AD144" i="1"/>
  <c r="AD139" i="1"/>
  <c r="AD135" i="1"/>
  <c r="AD154" i="1"/>
  <c r="W144" i="1"/>
  <c r="A144" i="1" s="1"/>
  <c r="W135" i="1"/>
  <c r="A135" i="1" s="1"/>
  <c r="W114" i="1"/>
  <c r="A114" i="1" s="1"/>
  <c r="W101" i="1"/>
  <c r="AD149" i="1"/>
  <c r="W155" i="1"/>
  <c r="A155" i="1" s="1"/>
  <c r="Z154" i="1"/>
  <c r="W150" i="1"/>
  <c r="A150" i="1" s="1"/>
  <c r="Z100" i="1"/>
  <c r="AD131" i="1"/>
  <c r="AD127" i="1"/>
  <c r="AX96" i="1"/>
  <c r="A122" i="1"/>
  <c r="AX122" i="1"/>
  <c r="V122" i="1"/>
  <c r="B122" i="1"/>
  <c r="A146" i="1"/>
  <c r="V146" i="1"/>
  <c r="B146" i="1"/>
  <c r="AX146" i="1"/>
  <c r="A131" i="1"/>
  <c r="V131" i="1"/>
  <c r="B131" i="1"/>
  <c r="AX131" i="1"/>
  <c r="AD153" i="1"/>
  <c r="AD143" i="1"/>
  <c r="AD133" i="1"/>
  <c r="AD113" i="1"/>
  <c r="AD108" i="1"/>
  <c r="AD104" i="1"/>
  <c r="AD98" i="1"/>
  <c r="AD91" i="1"/>
  <c r="AX90" i="1"/>
  <c r="AD147" i="1"/>
  <c r="W138" i="1"/>
  <c r="A138" i="1" s="1"/>
  <c r="AD137" i="1"/>
  <c r="W128" i="1"/>
  <c r="W149" i="1"/>
  <c r="AD132" i="1"/>
  <c r="W143" i="1"/>
  <c r="AD142" i="1"/>
  <c r="AD126" i="1"/>
  <c r="W113" i="1"/>
  <c r="A113" i="1" s="1"/>
  <c r="AD112" i="1"/>
  <c r="W108" i="1"/>
  <c r="A108" i="1" s="1"/>
  <c r="W104" i="1"/>
  <c r="B104" i="1" s="1"/>
  <c r="AD97" i="1"/>
  <c r="W91" i="1"/>
  <c r="V91" i="1" s="1"/>
  <c r="B90" i="1"/>
  <c r="AD117" i="1"/>
  <c r="W153" i="1"/>
  <c r="A153" i="1" s="1"/>
  <c r="AD152" i="1"/>
  <c r="AD141" i="1"/>
  <c r="W132" i="1"/>
  <c r="A132" i="1" s="1"/>
  <c r="Z127" i="1"/>
  <c r="AD121" i="1"/>
  <c r="W117" i="1"/>
  <c r="A117" i="1" s="1"/>
  <c r="AD107" i="1"/>
  <c r="AD102" i="1"/>
  <c r="AD90" i="1"/>
  <c r="AD148" i="1"/>
  <c r="AD157" i="1"/>
  <c r="AD156" i="1"/>
  <c r="W147" i="1"/>
  <c r="A147" i="1" s="1"/>
  <c r="AD146" i="1"/>
  <c r="W137" i="1"/>
  <c r="AD136" i="1"/>
  <c r="AX134" i="1"/>
  <c r="AD120" i="1"/>
  <c r="AD111" i="1"/>
  <c r="W94" i="1"/>
  <c r="V94" i="1" s="1"/>
  <c r="AD93" i="1"/>
  <c r="W126" i="1"/>
  <c r="A126" i="1" s="1"/>
  <c r="W152" i="1"/>
  <c r="AD150" i="1"/>
  <c r="W141" i="1"/>
  <c r="A141" i="1" s="1"/>
  <c r="AD130" i="1"/>
  <c r="W116" i="1"/>
  <c r="W107" i="1"/>
  <c r="A107" i="1" s="1"/>
  <c r="W102" i="1"/>
  <c r="A102" i="1" s="1"/>
  <c r="W156" i="1"/>
  <c r="A156" i="1" s="1"/>
  <c r="AD145" i="1"/>
  <c r="AD129" i="1"/>
  <c r="W120" i="1"/>
  <c r="A120" i="1" s="1"/>
  <c r="AD114" i="1"/>
  <c r="W111" i="1"/>
  <c r="A111" i="1" s="1"/>
  <c r="AD105" i="1"/>
  <c r="Z89" i="1"/>
  <c r="AD87" i="1"/>
  <c r="A87" i="1"/>
  <c r="AD109" i="1"/>
  <c r="W89" i="1"/>
  <c r="W157" i="1"/>
  <c r="W154" i="1"/>
  <c r="W151" i="1"/>
  <c r="W148" i="1"/>
  <c r="W145" i="1"/>
  <c r="W142" i="1"/>
  <c r="W139" i="1"/>
  <c r="W136" i="1"/>
  <c r="W133" i="1"/>
  <c r="W130" i="1"/>
  <c r="W127" i="1"/>
  <c r="W124" i="1"/>
  <c r="W121" i="1"/>
  <c r="W118" i="1"/>
  <c r="W115" i="1"/>
  <c r="W112" i="1"/>
  <c r="W109" i="1"/>
  <c r="W106" i="1"/>
  <c r="W103" i="1"/>
  <c r="W100" i="1"/>
  <c r="AD96" i="1"/>
  <c r="B96" i="1"/>
  <c r="V87" i="1"/>
  <c r="W98" i="1"/>
  <c r="A90" i="1"/>
  <c r="B87" i="1" l="1"/>
  <c r="V93" i="1"/>
  <c r="A93" i="1"/>
  <c r="B93" i="1"/>
  <c r="AX110" i="1"/>
  <c r="B110" i="1"/>
  <c r="V110" i="1"/>
  <c r="A110" i="1"/>
  <c r="A140" i="1"/>
  <c r="AX140" i="1"/>
  <c r="B92" i="1"/>
  <c r="A92" i="1"/>
  <c r="V101" i="1"/>
  <c r="B101" i="1"/>
  <c r="A101" i="1"/>
  <c r="B150" i="1"/>
  <c r="V99" i="1"/>
  <c r="B105" i="1"/>
  <c r="AX99" i="1"/>
  <c r="B99" i="1"/>
  <c r="B155" i="1"/>
  <c r="AX138" i="1"/>
  <c r="V95" i="1"/>
  <c r="B132" i="1"/>
  <c r="B138" i="1"/>
  <c r="B147" i="1"/>
  <c r="V155" i="1"/>
  <c r="AX108" i="1"/>
  <c r="V135" i="1"/>
  <c r="A95" i="1"/>
  <c r="B88" i="1"/>
  <c r="AX95" i="1"/>
  <c r="B102" i="1"/>
  <c r="AX135" i="1"/>
  <c r="V138" i="1"/>
  <c r="B135" i="1"/>
  <c r="B111" i="1"/>
  <c r="V140" i="1"/>
  <c r="B153" i="1"/>
  <c r="B108" i="1"/>
  <c r="V153" i="1"/>
  <c r="B117" i="1"/>
  <c r="AX150" i="1"/>
  <c r="A104" i="1"/>
  <c r="V150" i="1"/>
  <c r="AX105" i="1"/>
  <c r="V129" i="1"/>
  <c r="V105" i="1"/>
  <c r="B97" i="1"/>
  <c r="AX117" i="1"/>
  <c r="B125" i="1"/>
  <c r="B120" i="1"/>
  <c r="B129" i="1"/>
  <c r="AX129" i="1"/>
  <c r="AX155" i="1"/>
  <c r="B141" i="1"/>
  <c r="B94" i="1"/>
  <c r="B144" i="1"/>
  <c r="AX97" i="1"/>
  <c r="AX111" i="1"/>
  <c r="AX91" i="1"/>
  <c r="V97" i="1"/>
  <c r="AX125" i="1"/>
  <c r="B156" i="1"/>
  <c r="AX123" i="1"/>
  <c r="V123" i="1"/>
  <c r="AX119" i="1"/>
  <c r="B119" i="1"/>
  <c r="V125" i="1"/>
  <c r="AX141" i="1"/>
  <c r="B123" i="1"/>
  <c r="V119" i="1"/>
  <c r="AX120" i="1"/>
  <c r="AX101" i="1"/>
  <c r="B107" i="1"/>
  <c r="AX114" i="1"/>
  <c r="V102" i="1"/>
  <c r="V114" i="1"/>
  <c r="AX126" i="1"/>
  <c r="V120" i="1"/>
  <c r="B114" i="1"/>
  <c r="V92" i="1"/>
  <c r="AX92" i="1"/>
  <c r="AX132" i="1"/>
  <c r="V132" i="1"/>
  <c r="V126" i="1"/>
  <c r="AX102" i="1"/>
  <c r="AX144" i="1"/>
  <c r="V141" i="1"/>
  <c r="V144" i="1"/>
  <c r="B126" i="1"/>
  <c r="AX153" i="1"/>
  <c r="V147" i="1"/>
  <c r="A88" i="1"/>
  <c r="V88" i="1"/>
  <c r="V117" i="1"/>
  <c r="V104" i="1"/>
  <c r="AX104" i="1"/>
  <c r="A137" i="1"/>
  <c r="AX137" i="1"/>
  <c r="V137" i="1"/>
  <c r="B137" i="1"/>
  <c r="V113" i="1"/>
  <c r="AX113" i="1"/>
  <c r="B113" i="1"/>
  <c r="A152" i="1"/>
  <c r="V152" i="1"/>
  <c r="B152" i="1"/>
  <c r="AX152" i="1"/>
  <c r="A128" i="1"/>
  <c r="AX128" i="1"/>
  <c r="B128" i="1"/>
  <c r="V128" i="1"/>
  <c r="V156" i="1"/>
  <c r="V116" i="1"/>
  <c r="B116" i="1"/>
  <c r="AX116" i="1"/>
  <c r="AX156" i="1"/>
  <c r="A143" i="1"/>
  <c r="AX143" i="1"/>
  <c r="V143" i="1"/>
  <c r="B143" i="1"/>
  <c r="A116" i="1"/>
  <c r="V108" i="1"/>
  <c r="V111" i="1"/>
  <c r="A94" i="1"/>
  <c r="AX94" i="1"/>
  <c r="A149" i="1"/>
  <c r="AX149" i="1"/>
  <c r="V149" i="1"/>
  <c r="B149" i="1"/>
  <c r="AX147" i="1"/>
  <c r="V107" i="1"/>
  <c r="AX107" i="1"/>
  <c r="A91" i="1"/>
  <c r="B91" i="1"/>
  <c r="A100" i="1"/>
  <c r="AX100" i="1"/>
  <c r="V100" i="1"/>
  <c r="B100" i="1"/>
  <c r="AX136" i="1"/>
  <c r="V136" i="1"/>
  <c r="A136" i="1"/>
  <c r="B136" i="1"/>
  <c r="AX89" i="1"/>
  <c r="V89" i="1"/>
  <c r="B89" i="1"/>
  <c r="A89" i="1"/>
  <c r="AX130" i="1"/>
  <c r="V130" i="1"/>
  <c r="A130" i="1"/>
  <c r="B130" i="1"/>
  <c r="AX103" i="1"/>
  <c r="V103" i="1"/>
  <c r="A103" i="1"/>
  <c r="B103" i="1"/>
  <c r="AX139" i="1"/>
  <c r="V139" i="1"/>
  <c r="A139" i="1"/>
  <c r="B139" i="1"/>
  <c r="AX106" i="1"/>
  <c r="V106" i="1"/>
  <c r="A106" i="1"/>
  <c r="B106" i="1"/>
  <c r="AX142" i="1"/>
  <c r="V142" i="1"/>
  <c r="A142" i="1"/>
  <c r="B142" i="1"/>
  <c r="AX109" i="1"/>
  <c r="V109" i="1"/>
  <c r="A109" i="1"/>
  <c r="B109" i="1"/>
  <c r="AX145" i="1"/>
  <c r="V145" i="1"/>
  <c r="A145" i="1"/>
  <c r="B145" i="1"/>
  <c r="AX112" i="1"/>
  <c r="V112" i="1"/>
  <c r="A112" i="1"/>
  <c r="B112" i="1"/>
  <c r="AX148" i="1"/>
  <c r="V148" i="1"/>
  <c r="A148" i="1"/>
  <c r="B148" i="1"/>
  <c r="AX115" i="1"/>
  <c r="V115" i="1"/>
  <c r="A115" i="1"/>
  <c r="B115" i="1"/>
  <c r="AX151" i="1"/>
  <c r="B151" i="1"/>
  <c r="V151" i="1"/>
  <c r="A151" i="1"/>
  <c r="AX133" i="1"/>
  <c r="V133" i="1"/>
  <c r="A133" i="1"/>
  <c r="B133" i="1"/>
  <c r="AX98" i="1"/>
  <c r="V98" i="1"/>
  <c r="A98" i="1"/>
  <c r="B98" i="1"/>
  <c r="AX118" i="1"/>
  <c r="V118" i="1"/>
  <c r="A118" i="1"/>
  <c r="B118" i="1"/>
  <c r="AX154" i="1"/>
  <c r="V154" i="1"/>
  <c r="A154" i="1"/>
  <c r="B154" i="1"/>
  <c r="AX121" i="1"/>
  <c r="V121" i="1"/>
  <c r="A121" i="1"/>
  <c r="B121" i="1"/>
  <c r="AX157" i="1"/>
  <c r="V157" i="1"/>
  <c r="A157" i="1"/>
  <c r="B157" i="1"/>
  <c r="AX124" i="1"/>
  <c r="V124" i="1"/>
  <c r="A124" i="1"/>
  <c r="B124" i="1"/>
  <c r="AX127" i="1"/>
  <c r="V127" i="1"/>
  <c r="A127" i="1"/>
  <c r="B127" i="1"/>
  <c r="Q13" i="9" l="1" a="1"/>
  <c r="I13" i="9" a="1"/>
  <c r="H13" i="9" a="1"/>
  <c r="G13" i="9" a="1"/>
  <c r="F13" i="9" a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13" i="1"/>
  <c r="AA14" i="1"/>
  <c r="Z482" i="1" l="1"/>
  <c r="C14" i="1"/>
  <c r="Z13" i="1" s="1"/>
  <c r="C158" i="1"/>
  <c r="Z157" i="1" s="1"/>
  <c r="C159" i="1"/>
  <c r="Z158" i="1" s="1"/>
  <c r="C160" i="1"/>
  <c r="Z159" i="1" s="1"/>
  <c r="C161" i="1"/>
  <c r="Z160" i="1" s="1"/>
  <c r="C162" i="1"/>
  <c r="Z161" i="1" s="1"/>
  <c r="C163" i="1"/>
  <c r="Z162" i="1" s="1"/>
  <c r="C164" i="1"/>
  <c r="Z163" i="1" s="1"/>
  <c r="C165" i="1"/>
  <c r="Z164" i="1" s="1"/>
  <c r="C166" i="1"/>
  <c r="Z165" i="1" s="1"/>
  <c r="C167" i="1"/>
  <c r="Z166" i="1" s="1"/>
  <c r="C168" i="1"/>
  <c r="Z167" i="1" s="1"/>
  <c r="C169" i="1"/>
  <c r="Z168" i="1" s="1"/>
  <c r="C170" i="1"/>
  <c r="Z169" i="1" s="1"/>
  <c r="C171" i="1"/>
  <c r="Z170" i="1" s="1"/>
  <c r="C172" i="1"/>
  <c r="Z171" i="1" s="1"/>
  <c r="C173" i="1"/>
  <c r="Z172" i="1" s="1"/>
  <c r="C174" i="1"/>
  <c r="Z173" i="1" s="1"/>
  <c r="C175" i="1"/>
  <c r="Z174" i="1" s="1"/>
  <c r="C176" i="1"/>
  <c r="Z175" i="1" s="1"/>
  <c r="C177" i="1"/>
  <c r="Z176" i="1" s="1"/>
  <c r="C178" i="1"/>
  <c r="Z177" i="1" s="1"/>
  <c r="C179" i="1"/>
  <c r="Z178" i="1" s="1"/>
  <c r="C180" i="1"/>
  <c r="Z179" i="1" s="1"/>
  <c r="C181" i="1"/>
  <c r="Z180" i="1" s="1"/>
  <c r="C182" i="1"/>
  <c r="Z181" i="1" s="1"/>
  <c r="C183" i="1"/>
  <c r="Z182" i="1" s="1"/>
  <c r="C184" i="1"/>
  <c r="Z183" i="1" s="1"/>
  <c r="C185" i="1"/>
  <c r="Z184" i="1" s="1"/>
  <c r="C186" i="1"/>
  <c r="Z185" i="1" s="1"/>
  <c r="C187" i="1"/>
  <c r="Z186" i="1" s="1"/>
  <c r="C188" i="1"/>
  <c r="Z187" i="1" s="1"/>
  <c r="C189" i="1"/>
  <c r="Z188" i="1" s="1"/>
  <c r="C190" i="1"/>
  <c r="Z189" i="1" s="1"/>
  <c r="C191" i="1"/>
  <c r="Z190" i="1" s="1"/>
  <c r="C192" i="1"/>
  <c r="Z191" i="1" s="1"/>
  <c r="C193" i="1"/>
  <c r="Z192" i="1" s="1"/>
  <c r="C194" i="1"/>
  <c r="Z193" i="1" s="1"/>
  <c r="C195" i="1"/>
  <c r="Z194" i="1" s="1"/>
  <c r="C196" i="1"/>
  <c r="Z195" i="1" s="1"/>
  <c r="C197" i="1"/>
  <c r="Z196" i="1" s="1"/>
  <c r="C198" i="1"/>
  <c r="Z197" i="1" s="1"/>
  <c r="C199" i="1"/>
  <c r="Z198" i="1" s="1"/>
  <c r="C200" i="1"/>
  <c r="Z199" i="1" s="1"/>
  <c r="C201" i="1"/>
  <c r="Z200" i="1" s="1"/>
  <c r="C202" i="1"/>
  <c r="Z201" i="1" s="1"/>
  <c r="C203" i="1"/>
  <c r="Z202" i="1" s="1"/>
  <c r="C204" i="1"/>
  <c r="Z203" i="1" s="1"/>
  <c r="C205" i="1"/>
  <c r="Z204" i="1" s="1"/>
  <c r="C206" i="1"/>
  <c r="Z205" i="1" s="1"/>
  <c r="C207" i="1"/>
  <c r="Z206" i="1" s="1"/>
  <c r="C208" i="1"/>
  <c r="Z207" i="1" s="1"/>
  <c r="C209" i="1"/>
  <c r="Z208" i="1" s="1"/>
  <c r="C210" i="1"/>
  <c r="Z209" i="1" s="1"/>
  <c r="C211" i="1"/>
  <c r="Z210" i="1" s="1"/>
  <c r="C212" i="1"/>
  <c r="Z211" i="1" s="1"/>
  <c r="C213" i="1"/>
  <c r="Z212" i="1" s="1"/>
  <c r="C214" i="1"/>
  <c r="Z213" i="1" s="1"/>
  <c r="C215" i="1"/>
  <c r="Z214" i="1" s="1"/>
  <c r="C216" i="1"/>
  <c r="Z215" i="1" s="1"/>
  <c r="C217" i="1"/>
  <c r="Z216" i="1" s="1"/>
  <c r="C218" i="1"/>
  <c r="Z217" i="1" s="1"/>
  <c r="C219" i="1"/>
  <c r="Z218" i="1" s="1"/>
  <c r="C220" i="1"/>
  <c r="Z219" i="1" s="1"/>
  <c r="C221" i="1"/>
  <c r="Z220" i="1" s="1"/>
  <c r="C222" i="1"/>
  <c r="Z221" i="1" s="1"/>
  <c r="C223" i="1"/>
  <c r="Z222" i="1" s="1"/>
  <c r="C224" i="1"/>
  <c r="Z223" i="1" s="1"/>
  <c r="C225" i="1"/>
  <c r="Z224" i="1" s="1"/>
  <c r="C226" i="1"/>
  <c r="Z225" i="1" s="1"/>
  <c r="C227" i="1"/>
  <c r="Z226" i="1" s="1"/>
  <c r="C228" i="1"/>
  <c r="Z227" i="1" s="1"/>
  <c r="C229" i="1"/>
  <c r="Z228" i="1" s="1"/>
  <c r="C230" i="1"/>
  <c r="Z229" i="1" s="1"/>
  <c r="C231" i="1"/>
  <c r="Z230" i="1" s="1"/>
  <c r="C232" i="1"/>
  <c r="Z231" i="1" s="1"/>
  <c r="C233" i="1"/>
  <c r="Z232" i="1" s="1"/>
  <c r="C234" i="1"/>
  <c r="Z233" i="1" s="1"/>
  <c r="C235" i="1"/>
  <c r="Z234" i="1" s="1"/>
  <c r="C236" i="1"/>
  <c r="Z235" i="1" s="1"/>
  <c r="C237" i="1"/>
  <c r="Z236" i="1" s="1"/>
  <c r="C238" i="1"/>
  <c r="Z237" i="1" s="1"/>
  <c r="C239" i="1"/>
  <c r="Z238" i="1" s="1"/>
  <c r="C240" i="1"/>
  <c r="Z239" i="1" s="1"/>
  <c r="C241" i="1"/>
  <c r="Z240" i="1" s="1"/>
  <c r="C242" i="1"/>
  <c r="Z241" i="1" s="1"/>
  <c r="C243" i="1"/>
  <c r="Z242" i="1" s="1"/>
  <c r="C244" i="1"/>
  <c r="Z243" i="1" s="1"/>
  <c r="C245" i="1"/>
  <c r="Z244" i="1" s="1"/>
  <c r="C246" i="1"/>
  <c r="Z245" i="1" s="1"/>
  <c r="C247" i="1"/>
  <c r="Z246" i="1" s="1"/>
  <c r="C248" i="1"/>
  <c r="Z247" i="1" s="1"/>
  <c r="C249" i="1"/>
  <c r="Z248" i="1" s="1"/>
  <c r="C250" i="1"/>
  <c r="Z249" i="1" s="1"/>
  <c r="C251" i="1"/>
  <c r="Z250" i="1" s="1"/>
  <c r="C252" i="1"/>
  <c r="Z251" i="1" s="1"/>
  <c r="C253" i="1"/>
  <c r="Z252" i="1" s="1"/>
  <c r="C254" i="1"/>
  <c r="Z253" i="1" s="1"/>
  <c r="C255" i="1"/>
  <c r="Z254" i="1" s="1"/>
  <c r="C256" i="1"/>
  <c r="Z255" i="1" s="1"/>
  <c r="C257" i="1"/>
  <c r="Z256" i="1" s="1"/>
  <c r="C258" i="1"/>
  <c r="Z257" i="1" s="1"/>
  <c r="C259" i="1"/>
  <c r="Z258" i="1" s="1"/>
  <c r="C260" i="1"/>
  <c r="Z259" i="1" s="1"/>
  <c r="C261" i="1"/>
  <c r="Z260" i="1" s="1"/>
  <c r="C262" i="1"/>
  <c r="Z261" i="1" s="1"/>
  <c r="C263" i="1"/>
  <c r="Z262" i="1" s="1"/>
  <c r="C264" i="1"/>
  <c r="Z263" i="1" s="1"/>
  <c r="C265" i="1"/>
  <c r="Z264" i="1" s="1"/>
  <c r="C266" i="1"/>
  <c r="Z265" i="1" s="1"/>
  <c r="C267" i="1"/>
  <c r="Z266" i="1" s="1"/>
  <c r="C268" i="1"/>
  <c r="Z267" i="1" s="1"/>
  <c r="C269" i="1"/>
  <c r="Z268" i="1" s="1"/>
  <c r="C270" i="1"/>
  <c r="Z269" i="1" s="1"/>
  <c r="C271" i="1"/>
  <c r="Z270" i="1" s="1"/>
  <c r="C272" i="1"/>
  <c r="Z271" i="1" s="1"/>
  <c r="C273" i="1"/>
  <c r="Z272" i="1" s="1"/>
  <c r="C274" i="1"/>
  <c r="Z273" i="1" s="1"/>
  <c r="C275" i="1"/>
  <c r="Z274" i="1" s="1"/>
  <c r="C276" i="1"/>
  <c r="Z275" i="1" s="1"/>
  <c r="C277" i="1"/>
  <c r="Z276" i="1" s="1"/>
  <c r="C278" i="1"/>
  <c r="Z277" i="1" s="1"/>
  <c r="C279" i="1"/>
  <c r="Z278" i="1" s="1"/>
  <c r="C280" i="1"/>
  <c r="Z279" i="1" s="1"/>
  <c r="C281" i="1"/>
  <c r="Z280" i="1" s="1"/>
  <c r="C282" i="1"/>
  <c r="Z281" i="1" s="1"/>
  <c r="C283" i="1"/>
  <c r="Z282" i="1" s="1"/>
  <c r="C284" i="1"/>
  <c r="Z283" i="1" s="1"/>
  <c r="C285" i="1"/>
  <c r="Z284" i="1" s="1"/>
  <c r="C286" i="1"/>
  <c r="Z285" i="1" s="1"/>
  <c r="C287" i="1"/>
  <c r="Z286" i="1" s="1"/>
  <c r="C288" i="1"/>
  <c r="Z287" i="1" s="1"/>
  <c r="C289" i="1"/>
  <c r="Z288" i="1" s="1"/>
  <c r="C290" i="1"/>
  <c r="Z289" i="1" s="1"/>
  <c r="C291" i="1"/>
  <c r="Z290" i="1" s="1"/>
  <c r="C292" i="1"/>
  <c r="Z291" i="1" s="1"/>
  <c r="C293" i="1"/>
  <c r="Z292" i="1" s="1"/>
  <c r="C294" i="1"/>
  <c r="Z293" i="1" s="1"/>
  <c r="C295" i="1"/>
  <c r="Z294" i="1" s="1"/>
  <c r="C296" i="1"/>
  <c r="Z295" i="1" s="1"/>
  <c r="C297" i="1"/>
  <c r="Z296" i="1" s="1"/>
  <c r="C298" i="1"/>
  <c r="Z297" i="1" s="1"/>
  <c r="C299" i="1"/>
  <c r="Z298" i="1" s="1"/>
  <c r="C300" i="1"/>
  <c r="Z299" i="1" s="1"/>
  <c r="C301" i="1"/>
  <c r="Z300" i="1" s="1"/>
  <c r="C302" i="1"/>
  <c r="Z301" i="1" s="1"/>
  <c r="C303" i="1"/>
  <c r="Z302" i="1" s="1"/>
  <c r="C304" i="1"/>
  <c r="Z303" i="1" s="1"/>
  <c r="C305" i="1"/>
  <c r="Z304" i="1" s="1"/>
  <c r="C306" i="1"/>
  <c r="Z305" i="1" s="1"/>
  <c r="C307" i="1"/>
  <c r="Z306" i="1" s="1"/>
  <c r="C308" i="1"/>
  <c r="Z307" i="1" s="1"/>
  <c r="C309" i="1"/>
  <c r="Z308" i="1" s="1"/>
  <c r="C310" i="1"/>
  <c r="Z309" i="1" s="1"/>
  <c r="C311" i="1"/>
  <c r="Z310" i="1" s="1"/>
  <c r="C312" i="1"/>
  <c r="Z311" i="1" s="1"/>
  <c r="C313" i="1"/>
  <c r="Z312" i="1" s="1"/>
  <c r="C314" i="1"/>
  <c r="Z313" i="1" s="1"/>
  <c r="C315" i="1"/>
  <c r="Z314" i="1" s="1"/>
  <c r="C316" i="1"/>
  <c r="Z315" i="1" s="1"/>
  <c r="C317" i="1"/>
  <c r="Z316" i="1" s="1"/>
  <c r="C318" i="1"/>
  <c r="Z317" i="1" s="1"/>
  <c r="C319" i="1"/>
  <c r="Z318" i="1" s="1"/>
  <c r="C320" i="1"/>
  <c r="Z319" i="1" s="1"/>
  <c r="C321" i="1"/>
  <c r="Z320" i="1" s="1"/>
  <c r="C322" i="1"/>
  <c r="Z321" i="1" s="1"/>
  <c r="C323" i="1"/>
  <c r="Z322" i="1" s="1"/>
  <c r="C324" i="1"/>
  <c r="Z323" i="1" s="1"/>
  <c r="C325" i="1"/>
  <c r="Z324" i="1" s="1"/>
  <c r="C326" i="1"/>
  <c r="Z325" i="1" s="1"/>
  <c r="C327" i="1"/>
  <c r="Z326" i="1" s="1"/>
  <c r="C328" i="1"/>
  <c r="Z327" i="1" s="1"/>
  <c r="C329" i="1"/>
  <c r="Z328" i="1" s="1"/>
  <c r="C330" i="1"/>
  <c r="Z329" i="1" s="1"/>
  <c r="C331" i="1"/>
  <c r="Z330" i="1" s="1"/>
  <c r="C332" i="1"/>
  <c r="Z331" i="1" s="1"/>
  <c r="C333" i="1"/>
  <c r="Z332" i="1" s="1"/>
  <c r="C334" i="1"/>
  <c r="Z333" i="1" s="1"/>
  <c r="C335" i="1"/>
  <c r="Z334" i="1" s="1"/>
  <c r="C336" i="1"/>
  <c r="Z335" i="1" s="1"/>
  <c r="C337" i="1"/>
  <c r="Z336" i="1" s="1"/>
  <c r="C338" i="1"/>
  <c r="Z337" i="1" s="1"/>
  <c r="C339" i="1"/>
  <c r="Z338" i="1" s="1"/>
  <c r="C340" i="1"/>
  <c r="Z339" i="1" s="1"/>
  <c r="C341" i="1"/>
  <c r="Z340" i="1" s="1"/>
  <c r="C342" i="1"/>
  <c r="Z341" i="1" s="1"/>
  <c r="C343" i="1"/>
  <c r="Z342" i="1" s="1"/>
  <c r="C344" i="1"/>
  <c r="Z343" i="1" s="1"/>
  <c r="C345" i="1"/>
  <c r="Z344" i="1" s="1"/>
  <c r="C346" i="1"/>
  <c r="Z345" i="1" s="1"/>
  <c r="C347" i="1"/>
  <c r="Z346" i="1" s="1"/>
  <c r="C348" i="1"/>
  <c r="Z347" i="1" s="1"/>
  <c r="C349" i="1"/>
  <c r="Z348" i="1" s="1"/>
  <c r="C350" i="1"/>
  <c r="Z349" i="1" s="1"/>
  <c r="C351" i="1"/>
  <c r="Z350" i="1" s="1"/>
  <c r="C352" i="1"/>
  <c r="Z351" i="1" s="1"/>
  <c r="C353" i="1"/>
  <c r="Z352" i="1" s="1"/>
  <c r="C354" i="1"/>
  <c r="Z353" i="1" s="1"/>
  <c r="C355" i="1"/>
  <c r="Z354" i="1" s="1"/>
  <c r="C356" i="1"/>
  <c r="Z355" i="1" s="1"/>
  <c r="C357" i="1"/>
  <c r="Z356" i="1" s="1"/>
  <c r="C358" i="1"/>
  <c r="Z357" i="1" s="1"/>
  <c r="C359" i="1"/>
  <c r="Z358" i="1" s="1"/>
  <c r="C360" i="1"/>
  <c r="Z359" i="1" s="1"/>
  <c r="C361" i="1"/>
  <c r="Z360" i="1" s="1"/>
  <c r="C362" i="1"/>
  <c r="Z361" i="1" s="1"/>
  <c r="C363" i="1"/>
  <c r="Z362" i="1" s="1"/>
  <c r="C364" i="1"/>
  <c r="Z363" i="1" s="1"/>
  <c r="C365" i="1"/>
  <c r="Z364" i="1" s="1"/>
  <c r="C366" i="1"/>
  <c r="Z365" i="1" s="1"/>
  <c r="C367" i="1"/>
  <c r="Z366" i="1" s="1"/>
  <c r="C368" i="1"/>
  <c r="Z367" i="1" s="1"/>
  <c r="C369" i="1"/>
  <c r="Z368" i="1" s="1"/>
  <c r="C370" i="1"/>
  <c r="Z369" i="1" s="1"/>
  <c r="C371" i="1"/>
  <c r="Z370" i="1" s="1"/>
  <c r="C372" i="1"/>
  <c r="Z371" i="1" s="1"/>
  <c r="C373" i="1"/>
  <c r="Z372" i="1" s="1"/>
  <c r="C374" i="1"/>
  <c r="Z373" i="1" s="1"/>
  <c r="C375" i="1"/>
  <c r="Z374" i="1" s="1"/>
  <c r="C376" i="1"/>
  <c r="Z375" i="1" s="1"/>
  <c r="C377" i="1"/>
  <c r="Z376" i="1" s="1"/>
  <c r="C378" i="1"/>
  <c r="Z377" i="1" s="1"/>
  <c r="C379" i="1"/>
  <c r="Z378" i="1" s="1"/>
  <c r="C380" i="1"/>
  <c r="Z379" i="1" s="1"/>
  <c r="C381" i="1"/>
  <c r="Z380" i="1" s="1"/>
  <c r="C382" i="1"/>
  <c r="Z381" i="1" s="1"/>
  <c r="C383" i="1"/>
  <c r="Z382" i="1" s="1"/>
  <c r="C384" i="1"/>
  <c r="Z383" i="1" s="1"/>
  <c r="C385" i="1"/>
  <c r="Z384" i="1" s="1"/>
  <c r="C386" i="1"/>
  <c r="Z385" i="1" s="1"/>
  <c r="C387" i="1"/>
  <c r="Z386" i="1" s="1"/>
  <c r="C388" i="1"/>
  <c r="Z387" i="1" s="1"/>
  <c r="C389" i="1"/>
  <c r="Z388" i="1" s="1"/>
  <c r="C390" i="1"/>
  <c r="Z389" i="1" s="1"/>
  <c r="C391" i="1"/>
  <c r="Z390" i="1" s="1"/>
  <c r="C392" i="1"/>
  <c r="Z391" i="1" s="1"/>
  <c r="C393" i="1"/>
  <c r="Z392" i="1" s="1"/>
  <c r="C394" i="1"/>
  <c r="Z393" i="1" s="1"/>
  <c r="C395" i="1"/>
  <c r="Z394" i="1" s="1"/>
  <c r="C396" i="1"/>
  <c r="Z395" i="1" s="1"/>
  <c r="C397" i="1"/>
  <c r="Z396" i="1" s="1"/>
  <c r="C398" i="1"/>
  <c r="Z397" i="1" s="1"/>
  <c r="C399" i="1"/>
  <c r="Z398" i="1" s="1"/>
  <c r="C400" i="1"/>
  <c r="Z399" i="1" s="1"/>
  <c r="C401" i="1"/>
  <c r="Z400" i="1" s="1"/>
  <c r="C402" i="1"/>
  <c r="Z401" i="1" s="1"/>
  <c r="C403" i="1"/>
  <c r="Z402" i="1" s="1"/>
  <c r="C404" i="1"/>
  <c r="Z403" i="1" s="1"/>
  <c r="C405" i="1"/>
  <c r="Z404" i="1" s="1"/>
  <c r="C406" i="1"/>
  <c r="Z405" i="1" s="1"/>
  <c r="C407" i="1"/>
  <c r="Z406" i="1" s="1"/>
  <c r="C408" i="1"/>
  <c r="Z407" i="1" s="1"/>
  <c r="C409" i="1"/>
  <c r="Z408" i="1" s="1"/>
  <c r="C410" i="1"/>
  <c r="Z409" i="1" s="1"/>
  <c r="C411" i="1"/>
  <c r="Z410" i="1" s="1"/>
  <c r="C412" i="1"/>
  <c r="Z411" i="1" s="1"/>
  <c r="C413" i="1"/>
  <c r="Z412" i="1" s="1"/>
  <c r="C414" i="1"/>
  <c r="Z413" i="1" s="1"/>
  <c r="C415" i="1"/>
  <c r="Z414" i="1" s="1"/>
  <c r="C416" i="1"/>
  <c r="Z415" i="1" s="1"/>
  <c r="C417" i="1"/>
  <c r="Z416" i="1" s="1"/>
  <c r="C418" i="1"/>
  <c r="Z417" i="1" s="1"/>
  <c r="C419" i="1"/>
  <c r="Z418" i="1" s="1"/>
  <c r="C420" i="1"/>
  <c r="Z419" i="1" s="1"/>
  <c r="C421" i="1"/>
  <c r="Z420" i="1" s="1"/>
  <c r="C422" i="1"/>
  <c r="Z421" i="1" s="1"/>
  <c r="C423" i="1"/>
  <c r="Z422" i="1" s="1"/>
  <c r="C424" i="1"/>
  <c r="Z423" i="1" s="1"/>
  <c r="C425" i="1"/>
  <c r="Z424" i="1" s="1"/>
  <c r="C426" i="1"/>
  <c r="Z425" i="1" s="1"/>
  <c r="C427" i="1"/>
  <c r="Z426" i="1" s="1"/>
  <c r="C428" i="1"/>
  <c r="Z427" i="1" s="1"/>
  <c r="C429" i="1"/>
  <c r="Z428" i="1" s="1"/>
  <c r="C430" i="1"/>
  <c r="Z429" i="1" s="1"/>
  <c r="C431" i="1"/>
  <c r="Z430" i="1" s="1"/>
  <c r="C432" i="1"/>
  <c r="Z431" i="1" s="1"/>
  <c r="C433" i="1"/>
  <c r="Z432" i="1" s="1"/>
  <c r="C434" i="1"/>
  <c r="Z433" i="1" s="1"/>
  <c r="C435" i="1"/>
  <c r="Z434" i="1" s="1"/>
  <c r="C436" i="1"/>
  <c r="Z435" i="1" s="1"/>
  <c r="C437" i="1"/>
  <c r="Z436" i="1" s="1"/>
  <c r="C438" i="1"/>
  <c r="Z437" i="1" s="1"/>
  <c r="C439" i="1"/>
  <c r="Z438" i="1" s="1"/>
  <c r="C440" i="1"/>
  <c r="Z439" i="1" s="1"/>
  <c r="C441" i="1"/>
  <c r="Z440" i="1" s="1"/>
  <c r="C442" i="1"/>
  <c r="Z441" i="1" s="1"/>
  <c r="C443" i="1"/>
  <c r="Z442" i="1" s="1"/>
  <c r="C444" i="1"/>
  <c r="Z443" i="1" s="1"/>
  <c r="C445" i="1"/>
  <c r="Z444" i="1" s="1"/>
  <c r="C446" i="1"/>
  <c r="Z445" i="1" s="1"/>
  <c r="C447" i="1"/>
  <c r="Z446" i="1" s="1"/>
  <c r="C448" i="1"/>
  <c r="Z447" i="1" s="1"/>
  <c r="C449" i="1"/>
  <c r="Z448" i="1" s="1"/>
  <c r="C450" i="1"/>
  <c r="Z449" i="1" s="1"/>
  <c r="C451" i="1"/>
  <c r="Z450" i="1" s="1"/>
  <c r="C452" i="1"/>
  <c r="Z451" i="1" s="1"/>
  <c r="C453" i="1"/>
  <c r="Z452" i="1" s="1"/>
  <c r="C454" i="1"/>
  <c r="Z453" i="1" s="1"/>
  <c r="C455" i="1"/>
  <c r="Z454" i="1" s="1"/>
  <c r="C456" i="1"/>
  <c r="Z455" i="1" s="1"/>
  <c r="C457" i="1"/>
  <c r="Z456" i="1" s="1"/>
  <c r="C458" i="1"/>
  <c r="Z457" i="1" s="1"/>
  <c r="C459" i="1"/>
  <c r="Z458" i="1" s="1"/>
  <c r="C460" i="1"/>
  <c r="Z459" i="1" s="1"/>
  <c r="C461" i="1"/>
  <c r="Z460" i="1" s="1"/>
  <c r="C462" i="1"/>
  <c r="Z461" i="1" s="1"/>
  <c r="C463" i="1"/>
  <c r="Z462" i="1" s="1"/>
  <c r="C464" i="1"/>
  <c r="Z463" i="1" s="1"/>
  <c r="C465" i="1"/>
  <c r="Z464" i="1" s="1"/>
  <c r="C466" i="1"/>
  <c r="Z465" i="1" s="1"/>
  <c r="C467" i="1"/>
  <c r="Z466" i="1" s="1"/>
  <c r="C468" i="1"/>
  <c r="Z467" i="1" s="1"/>
  <c r="C469" i="1"/>
  <c r="Z468" i="1" s="1"/>
  <c r="C470" i="1"/>
  <c r="Z469" i="1" s="1"/>
  <c r="C471" i="1"/>
  <c r="Z470" i="1" s="1"/>
  <c r="C472" i="1"/>
  <c r="Z471" i="1" s="1"/>
  <c r="C473" i="1"/>
  <c r="Z472" i="1" s="1"/>
  <c r="C474" i="1"/>
  <c r="Z473" i="1" s="1"/>
  <c r="C475" i="1"/>
  <c r="Z474" i="1" s="1"/>
  <c r="C476" i="1"/>
  <c r="Z475" i="1" s="1"/>
  <c r="C477" i="1"/>
  <c r="Z476" i="1" s="1"/>
  <c r="C478" i="1"/>
  <c r="Z477" i="1" s="1"/>
  <c r="C479" i="1"/>
  <c r="Z478" i="1" s="1"/>
  <c r="C480" i="1"/>
  <c r="Z479" i="1" s="1"/>
  <c r="C481" i="1"/>
  <c r="Z480" i="1" s="1"/>
  <c r="C482" i="1"/>
  <c r="Z481" i="1" s="1"/>
  <c r="C13" i="1"/>
  <c r="K79" i="21"/>
  <c r="R77" i="21"/>
  <c r="T76" i="21"/>
  <c r="S76" i="21"/>
  <c r="P76" i="21"/>
  <c r="O76" i="21"/>
  <c r="N76" i="21"/>
  <c r="L76" i="21"/>
  <c r="M76" i="21" s="1"/>
  <c r="C76" i="21"/>
  <c r="S75" i="21" s="1"/>
  <c r="T75" i="21"/>
  <c r="P75" i="21"/>
  <c r="O75" i="21"/>
  <c r="N75" i="21"/>
  <c r="L75" i="21"/>
  <c r="M75" i="21" s="1"/>
  <c r="C75" i="21"/>
  <c r="R75" i="21" s="1"/>
  <c r="T74" i="21"/>
  <c r="P74" i="21"/>
  <c r="O74" i="21"/>
  <c r="N74" i="21"/>
  <c r="L74" i="21"/>
  <c r="M74" i="21" s="1"/>
  <c r="C74" i="21"/>
  <c r="Y74" i="21" s="1"/>
  <c r="T73" i="21"/>
  <c r="P73" i="21"/>
  <c r="O73" i="21"/>
  <c r="N73" i="21"/>
  <c r="L73" i="21"/>
  <c r="M73" i="21" s="1"/>
  <c r="C73" i="21"/>
  <c r="Y73" i="21" s="1"/>
  <c r="T72" i="21"/>
  <c r="P72" i="21"/>
  <c r="O72" i="21"/>
  <c r="N72" i="21"/>
  <c r="L72" i="21"/>
  <c r="M72" i="21" s="1"/>
  <c r="C72" i="21"/>
  <c r="R72" i="21" s="1"/>
  <c r="T71" i="21"/>
  <c r="P71" i="21"/>
  <c r="O71" i="21"/>
  <c r="N71" i="21"/>
  <c r="L71" i="21"/>
  <c r="M71" i="21" s="1"/>
  <c r="C71" i="21"/>
  <c r="Y71" i="21" s="1"/>
  <c r="T70" i="21"/>
  <c r="P70" i="21"/>
  <c r="O70" i="21"/>
  <c r="N70" i="21"/>
  <c r="L70" i="21"/>
  <c r="M70" i="21" s="1"/>
  <c r="C70" i="21"/>
  <c r="R70" i="21" s="1"/>
  <c r="T69" i="21"/>
  <c r="P69" i="21"/>
  <c r="O69" i="21"/>
  <c r="N69" i="21"/>
  <c r="L69" i="21"/>
  <c r="M69" i="21" s="1"/>
  <c r="C69" i="21"/>
  <c r="Y69" i="21" s="1"/>
  <c r="T68" i="21"/>
  <c r="P68" i="21"/>
  <c r="O68" i="21"/>
  <c r="N68" i="21"/>
  <c r="L68" i="21"/>
  <c r="M68" i="21" s="1"/>
  <c r="C68" i="21"/>
  <c r="Y68" i="21" s="1"/>
  <c r="T67" i="21"/>
  <c r="P67" i="21"/>
  <c r="O67" i="21"/>
  <c r="N67" i="21"/>
  <c r="L67" i="21"/>
  <c r="M67" i="21" s="1"/>
  <c r="C67" i="21"/>
  <c r="Y67" i="21" s="1"/>
  <c r="T66" i="21"/>
  <c r="P66" i="21"/>
  <c r="O66" i="21"/>
  <c r="N66" i="21"/>
  <c r="L66" i="21"/>
  <c r="M66" i="21" s="1"/>
  <c r="C66" i="21"/>
  <c r="Y66" i="21" s="1"/>
  <c r="T65" i="21"/>
  <c r="P65" i="21"/>
  <c r="O65" i="21"/>
  <c r="N65" i="21"/>
  <c r="L65" i="21"/>
  <c r="M65" i="21" s="1"/>
  <c r="C65" i="21"/>
  <c r="Y65" i="21" s="1"/>
  <c r="T64" i="21"/>
  <c r="P64" i="21"/>
  <c r="O64" i="21"/>
  <c r="N64" i="21"/>
  <c r="L64" i="21"/>
  <c r="M64" i="21" s="1"/>
  <c r="C64" i="21"/>
  <c r="Y64" i="21" s="1"/>
  <c r="T63" i="21"/>
  <c r="P63" i="21"/>
  <c r="O63" i="21"/>
  <c r="N63" i="21"/>
  <c r="L63" i="21"/>
  <c r="M63" i="21" s="1"/>
  <c r="C63" i="21"/>
  <c r="R63" i="21" s="1"/>
  <c r="T62" i="21"/>
  <c r="P62" i="21"/>
  <c r="O62" i="21"/>
  <c r="N62" i="21"/>
  <c r="L62" i="21"/>
  <c r="M62" i="21" s="1"/>
  <c r="C62" i="21"/>
  <c r="Y62" i="21" s="1"/>
  <c r="T61" i="21"/>
  <c r="P61" i="21"/>
  <c r="O61" i="21"/>
  <c r="N61" i="21"/>
  <c r="L61" i="21"/>
  <c r="M61" i="21" s="1"/>
  <c r="C61" i="21"/>
  <c r="Y61" i="21" s="1"/>
  <c r="T60" i="21"/>
  <c r="P60" i="21"/>
  <c r="O60" i="21"/>
  <c r="N60" i="21"/>
  <c r="L60" i="21"/>
  <c r="M60" i="21" s="1"/>
  <c r="C60" i="21"/>
  <c r="R60" i="21" s="1"/>
  <c r="T59" i="21"/>
  <c r="P59" i="21"/>
  <c r="O59" i="21"/>
  <c r="N59" i="21"/>
  <c r="L59" i="21"/>
  <c r="M59" i="21" s="1"/>
  <c r="C59" i="21"/>
  <c r="Y59" i="21" s="1"/>
  <c r="T58" i="21"/>
  <c r="P58" i="21"/>
  <c r="O58" i="21"/>
  <c r="N58" i="21"/>
  <c r="L58" i="21"/>
  <c r="M58" i="21" s="1"/>
  <c r="C58" i="21"/>
  <c r="R58" i="21" s="1"/>
  <c r="T57" i="21"/>
  <c r="P57" i="21"/>
  <c r="O57" i="21"/>
  <c r="N57" i="21"/>
  <c r="L57" i="21"/>
  <c r="M57" i="21" s="1"/>
  <c r="C57" i="21"/>
  <c r="Y57" i="21" s="1"/>
  <c r="T56" i="21"/>
  <c r="P56" i="21"/>
  <c r="O56" i="21"/>
  <c r="N56" i="21"/>
  <c r="L56" i="21"/>
  <c r="M56" i="21" s="1"/>
  <c r="C56" i="21"/>
  <c r="Y56" i="21" s="1"/>
  <c r="T55" i="21"/>
  <c r="P55" i="21"/>
  <c r="O55" i="21"/>
  <c r="N55" i="21"/>
  <c r="L55" i="21"/>
  <c r="M55" i="21" s="1"/>
  <c r="C55" i="21"/>
  <c r="Y55" i="21" s="1"/>
  <c r="T54" i="21"/>
  <c r="P54" i="21"/>
  <c r="O54" i="21"/>
  <c r="N54" i="21"/>
  <c r="L54" i="21"/>
  <c r="M54" i="21" s="1"/>
  <c r="C54" i="21"/>
  <c r="Y54" i="21" s="1"/>
  <c r="T53" i="21"/>
  <c r="P53" i="21"/>
  <c r="O53" i="21"/>
  <c r="N53" i="21"/>
  <c r="L53" i="21"/>
  <c r="M53" i="21" s="1"/>
  <c r="C53" i="21"/>
  <c r="R53" i="21" s="1"/>
  <c r="T52" i="21"/>
  <c r="P52" i="21"/>
  <c r="O52" i="21"/>
  <c r="N52" i="21"/>
  <c r="L52" i="21"/>
  <c r="M52" i="21" s="1"/>
  <c r="C52" i="21"/>
  <c r="R52" i="21" s="1"/>
  <c r="Q52" i="21" s="1"/>
  <c r="T51" i="21"/>
  <c r="P51" i="21"/>
  <c r="O51" i="21"/>
  <c r="N51" i="21"/>
  <c r="L51" i="21"/>
  <c r="M51" i="21" s="1"/>
  <c r="C51" i="21"/>
  <c r="R51" i="21" s="1"/>
  <c r="T50" i="21"/>
  <c r="P50" i="21"/>
  <c r="O50" i="21"/>
  <c r="N50" i="21"/>
  <c r="L50" i="21"/>
  <c r="M50" i="21" s="1"/>
  <c r="C50" i="21"/>
  <c r="R50" i="21" s="1"/>
  <c r="T49" i="21"/>
  <c r="P49" i="21"/>
  <c r="O49" i="21"/>
  <c r="N49" i="21"/>
  <c r="L49" i="21"/>
  <c r="M49" i="21" s="1"/>
  <c r="C49" i="21"/>
  <c r="R49" i="21" s="1"/>
  <c r="T48" i="21"/>
  <c r="S48" i="21"/>
  <c r="P48" i="21"/>
  <c r="O48" i="21"/>
  <c r="N48" i="21"/>
  <c r="L48" i="21"/>
  <c r="M48" i="21" s="1"/>
  <c r="C48" i="21"/>
  <c r="R48" i="21" s="1"/>
  <c r="T47" i="21"/>
  <c r="P47" i="21"/>
  <c r="O47" i="21"/>
  <c r="N47" i="21"/>
  <c r="L47" i="21"/>
  <c r="M47" i="21" s="1"/>
  <c r="C47" i="21"/>
  <c r="Y47" i="21" s="1"/>
  <c r="T46" i="21"/>
  <c r="P46" i="21"/>
  <c r="O46" i="21"/>
  <c r="N46" i="21"/>
  <c r="L46" i="21"/>
  <c r="M46" i="21" s="1"/>
  <c r="C46" i="21"/>
  <c r="R46" i="21" s="1"/>
  <c r="T45" i="21"/>
  <c r="P45" i="21"/>
  <c r="O45" i="21"/>
  <c r="N45" i="21"/>
  <c r="L45" i="21"/>
  <c r="M45" i="21" s="1"/>
  <c r="C45" i="21"/>
  <c r="Y45" i="21" s="1"/>
  <c r="T44" i="21"/>
  <c r="P44" i="21"/>
  <c r="O44" i="21"/>
  <c r="N44" i="21"/>
  <c r="L44" i="21"/>
  <c r="M44" i="21" s="1"/>
  <c r="C44" i="21"/>
  <c r="Y44" i="21" s="1"/>
  <c r="T43" i="21"/>
  <c r="P43" i="21"/>
  <c r="O43" i="21"/>
  <c r="N43" i="21"/>
  <c r="L43" i="21"/>
  <c r="M43" i="21" s="1"/>
  <c r="C43" i="21"/>
  <c r="Y43" i="21" s="1"/>
  <c r="T42" i="21"/>
  <c r="P42" i="21"/>
  <c r="O42" i="21"/>
  <c r="N42" i="21"/>
  <c r="L42" i="21"/>
  <c r="M42" i="21" s="1"/>
  <c r="C42" i="21"/>
  <c r="R42" i="21" s="1"/>
  <c r="B42" i="21" s="1"/>
  <c r="T41" i="21"/>
  <c r="P41" i="21"/>
  <c r="O41" i="21"/>
  <c r="N41" i="21"/>
  <c r="L41" i="21"/>
  <c r="M41" i="21" s="1"/>
  <c r="C41" i="21"/>
  <c r="Y41" i="21" s="1"/>
  <c r="T40" i="21"/>
  <c r="P40" i="21"/>
  <c r="O40" i="21"/>
  <c r="N40" i="21"/>
  <c r="L40" i="21"/>
  <c r="M40" i="21" s="1"/>
  <c r="C40" i="21"/>
  <c r="Y40" i="21" s="1"/>
  <c r="T39" i="21"/>
  <c r="P39" i="21"/>
  <c r="O39" i="21"/>
  <c r="N39" i="21"/>
  <c r="L39" i="21"/>
  <c r="M39" i="21" s="1"/>
  <c r="C39" i="21"/>
  <c r="R39" i="21" s="1"/>
  <c r="T38" i="21"/>
  <c r="P38" i="21"/>
  <c r="O38" i="21"/>
  <c r="N38" i="21"/>
  <c r="L38" i="21"/>
  <c r="M38" i="21" s="1"/>
  <c r="C38" i="21"/>
  <c r="R38" i="21" s="1"/>
  <c r="T37" i="21"/>
  <c r="P37" i="21"/>
  <c r="O37" i="21"/>
  <c r="N37" i="21"/>
  <c r="L37" i="21"/>
  <c r="M37" i="21" s="1"/>
  <c r="C37" i="21"/>
  <c r="Y37" i="21" s="1"/>
  <c r="T36" i="21"/>
  <c r="P36" i="21"/>
  <c r="O36" i="21"/>
  <c r="N36" i="21"/>
  <c r="L36" i="21"/>
  <c r="M36" i="21" s="1"/>
  <c r="C36" i="21"/>
  <c r="R36" i="21" s="1"/>
  <c r="T35" i="21"/>
  <c r="P35" i="21"/>
  <c r="O35" i="21"/>
  <c r="N35" i="21"/>
  <c r="L35" i="21"/>
  <c r="M35" i="21" s="1"/>
  <c r="C35" i="21"/>
  <c r="Y35" i="21" s="1"/>
  <c r="T34" i="21"/>
  <c r="P34" i="21"/>
  <c r="O34" i="21"/>
  <c r="N34" i="21"/>
  <c r="L34" i="21"/>
  <c r="M34" i="21" s="1"/>
  <c r="C34" i="21"/>
  <c r="R34" i="21" s="1"/>
  <c r="T33" i="21"/>
  <c r="P33" i="21"/>
  <c r="O33" i="21"/>
  <c r="N33" i="21"/>
  <c r="L33" i="21"/>
  <c r="M33" i="21" s="1"/>
  <c r="C33" i="21"/>
  <c r="Y33" i="21" s="1"/>
  <c r="T32" i="21"/>
  <c r="P32" i="21"/>
  <c r="O32" i="21"/>
  <c r="N32" i="21"/>
  <c r="L32" i="21"/>
  <c r="M32" i="21" s="1"/>
  <c r="C32" i="21"/>
  <c r="Y32" i="21" s="1"/>
  <c r="T31" i="21"/>
  <c r="P31" i="21"/>
  <c r="O31" i="21"/>
  <c r="N31" i="21"/>
  <c r="L31" i="21"/>
  <c r="M31" i="21" s="1"/>
  <c r="C31" i="21"/>
  <c r="Y31" i="21" s="1"/>
  <c r="T30" i="21"/>
  <c r="P30" i="21"/>
  <c r="O30" i="21"/>
  <c r="N30" i="21"/>
  <c r="L30" i="21"/>
  <c r="M30" i="21" s="1"/>
  <c r="C30" i="21"/>
  <c r="Y30" i="21" s="1"/>
  <c r="T29" i="21"/>
  <c r="P29" i="21"/>
  <c r="O29" i="21"/>
  <c r="N29" i="21"/>
  <c r="L29" i="21"/>
  <c r="M29" i="21" s="1"/>
  <c r="C29" i="21"/>
  <c r="S28" i="21" s="1"/>
  <c r="T28" i="21"/>
  <c r="P28" i="21"/>
  <c r="O28" i="21"/>
  <c r="N28" i="21"/>
  <c r="L28" i="21"/>
  <c r="M28" i="21" s="1"/>
  <c r="C28" i="21"/>
  <c r="R28" i="21" s="1"/>
  <c r="Q28" i="21" s="1"/>
  <c r="T27" i="21"/>
  <c r="P27" i="21"/>
  <c r="O27" i="21"/>
  <c r="N27" i="21"/>
  <c r="L27" i="21"/>
  <c r="M27" i="21" s="1"/>
  <c r="C27" i="21"/>
  <c r="R27" i="21" s="1"/>
  <c r="T26" i="21"/>
  <c r="P26" i="21"/>
  <c r="O26" i="21"/>
  <c r="N26" i="21"/>
  <c r="L26" i="21"/>
  <c r="M26" i="21" s="1"/>
  <c r="C26" i="21"/>
  <c r="R26" i="21" s="1"/>
  <c r="T25" i="21"/>
  <c r="P25" i="21"/>
  <c r="O25" i="21"/>
  <c r="N25" i="21"/>
  <c r="L25" i="21"/>
  <c r="M25" i="21" s="1"/>
  <c r="C25" i="21"/>
  <c r="S24" i="21" s="1"/>
  <c r="T24" i="21"/>
  <c r="P24" i="21"/>
  <c r="O24" i="21"/>
  <c r="N24" i="21"/>
  <c r="L24" i="21"/>
  <c r="M24" i="21" s="1"/>
  <c r="C24" i="21"/>
  <c r="R24" i="21" s="1"/>
  <c r="T23" i="21"/>
  <c r="P23" i="21"/>
  <c r="O23" i="21"/>
  <c r="N23" i="21"/>
  <c r="L23" i="21"/>
  <c r="M23" i="21" s="1"/>
  <c r="C23" i="21"/>
  <c r="Y23" i="21" s="1"/>
  <c r="T22" i="21"/>
  <c r="T21" i="21"/>
  <c r="T20" i="21"/>
  <c r="P20" i="21"/>
  <c r="O20" i="21"/>
  <c r="N20" i="21"/>
  <c r="T19" i="21"/>
  <c r="P19" i="21"/>
  <c r="O19" i="21"/>
  <c r="N19" i="21"/>
  <c r="T18" i="21"/>
  <c r="P18" i="21"/>
  <c r="O18" i="21"/>
  <c r="N18" i="21"/>
  <c r="T17" i="21"/>
  <c r="P17" i="21"/>
  <c r="O17" i="21"/>
  <c r="N17" i="21"/>
  <c r="T16" i="21"/>
  <c r="P16" i="21"/>
  <c r="O16" i="21"/>
  <c r="N16" i="21"/>
  <c r="T15" i="21"/>
  <c r="T14" i="21"/>
  <c r="T13" i="21"/>
  <c r="P13" i="21"/>
  <c r="O13" i="21"/>
  <c r="N13" i="21"/>
  <c r="L13" i="21"/>
  <c r="M13" i="21" s="1"/>
  <c r="C13" i="21"/>
  <c r="R12" i="21"/>
  <c r="K9" i="21"/>
  <c r="K8" i="21"/>
  <c r="E8" i="21"/>
  <c r="E7" i="21"/>
  <c r="E6" i="21"/>
  <c r="E5" i="21"/>
  <c r="K4" i="21"/>
  <c r="E4" i="21"/>
  <c r="T3" i="21"/>
  <c r="K79" i="20"/>
  <c r="R77" i="20"/>
  <c r="T76" i="20"/>
  <c r="S76" i="20"/>
  <c r="P76" i="20"/>
  <c r="O76" i="20"/>
  <c r="N76" i="20"/>
  <c r="L76" i="20"/>
  <c r="M76" i="20" s="1"/>
  <c r="C76" i="20"/>
  <c r="T75" i="20"/>
  <c r="P75" i="20"/>
  <c r="O75" i="20"/>
  <c r="N75" i="20"/>
  <c r="L75" i="20"/>
  <c r="M75" i="20" s="1"/>
  <c r="C75" i="20"/>
  <c r="T74" i="20"/>
  <c r="P74" i="20"/>
  <c r="O74" i="20"/>
  <c r="N74" i="20"/>
  <c r="L74" i="20"/>
  <c r="M74" i="20" s="1"/>
  <c r="C74" i="20"/>
  <c r="S73" i="20" s="1"/>
  <c r="T73" i="20"/>
  <c r="P73" i="20"/>
  <c r="O73" i="20"/>
  <c r="N73" i="20"/>
  <c r="L73" i="20"/>
  <c r="M73" i="20" s="1"/>
  <c r="C73" i="20"/>
  <c r="R73" i="20" s="1"/>
  <c r="T72" i="20"/>
  <c r="P72" i="20"/>
  <c r="O72" i="20"/>
  <c r="N72" i="20"/>
  <c r="L72" i="20"/>
  <c r="M72" i="20" s="1"/>
  <c r="C72" i="20"/>
  <c r="S71" i="20" s="1"/>
  <c r="T71" i="20"/>
  <c r="P71" i="20"/>
  <c r="O71" i="20"/>
  <c r="N71" i="20"/>
  <c r="L71" i="20"/>
  <c r="M71" i="20" s="1"/>
  <c r="C71" i="20"/>
  <c r="R71" i="20" s="1"/>
  <c r="T70" i="20"/>
  <c r="P70" i="20"/>
  <c r="O70" i="20"/>
  <c r="N70" i="20"/>
  <c r="L70" i="20"/>
  <c r="M70" i="20" s="1"/>
  <c r="C70" i="20"/>
  <c r="R70" i="20" s="1"/>
  <c r="T69" i="20"/>
  <c r="P69" i="20"/>
  <c r="O69" i="20"/>
  <c r="N69" i="20"/>
  <c r="L69" i="20"/>
  <c r="M69" i="20" s="1"/>
  <c r="C69" i="20"/>
  <c r="Y69" i="20" s="1"/>
  <c r="T68" i="20"/>
  <c r="P68" i="20"/>
  <c r="O68" i="20"/>
  <c r="N68" i="20"/>
  <c r="L68" i="20"/>
  <c r="M68" i="20" s="1"/>
  <c r="C68" i="20"/>
  <c r="Y68" i="20" s="1"/>
  <c r="T67" i="20"/>
  <c r="P67" i="20"/>
  <c r="O67" i="20"/>
  <c r="N67" i="20"/>
  <c r="L67" i="20"/>
  <c r="M67" i="20" s="1"/>
  <c r="C67" i="20"/>
  <c r="Y67" i="20" s="1"/>
  <c r="T66" i="20"/>
  <c r="P66" i="20"/>
  <c r="O66" i="20"/>
  <c r="N66" i="20"/>
  <c r="L66" i="20"/>
  <c r="M66" i="20" s="1"/>
  <c r="C66" i="20"/>
  <c r="Y66" i="20" s="1"/>
  <c r="T65" i="20"/>
  <c r="P65" i="20"/>
  <c r="O65" i="20"/>
  <c r="N65" i="20"/>
  <c r="L65" i="20"/>
  <c r="M65" i="20" s="1"/>
  <c r="C65" i="20"/>
  <c r="Y65" i="20" s="1"/>
  <c r="T64" i="20"/>
  <c r="P64" i="20"/>
  <c r="O64" i="20"/>
  <c r="N64" i="20"/>
  <c r="L64" i="20"/>
  <c r="M64" i="20" s="1"/>
  <c r="C64" i="20"/>
  <c r="R64" i="20" s="1"/>
  <c r="Q64" i="20" s="1"/>
  <c r="T63" i="20"/>
  <c r="P63" i="20"/>
  <c r="O63" i="20"/>
  <c r="N63" i="20"/>
  <c r="L63" i="20"/>
  <c r="M63" i="20" s="1"/>
  <c r="C63" i="20"/>
  <c r="R63" i="20" s="1"/>
  <c r="T62" i="20"/>
  <c r="P62" i="20"/>
  <c r="O62" i="20"/>
  <c r="N62" i="20"/>
  <c r="L62" i="20"/>
  <c r="M62" i="20" s="1"/>
  <c r="C62" i="20"/>
  <c r="T61" i="20"/>
  <c r="P61" i="20"/>
  <c r="O61" i="20"/>
  <c r="N61" i="20"/>
  <c r="L61" i="20"/>
  <c r="M61" i="20" s="1"/>
  <c r="C61" i="20"/>
  <c r="R61" i="20" s="1"/>
  <c r="T60" i="20"/>
  <c r="P60" i="20"/>
  <c r="O60" i="20"/>
  <c r="N60" i="20"/>
  <c r="L60" i="20"/>
  <c r="M60" i="20" s="1"/>
  <c r="C60" i="20"/>
  <c r="Y60" i="20" s="1"/>
  <c r="T59" i="20"/>
  <c r="P59" i="20"/>
  <c r="O59" i="20"/>
  <c r="N59" i="20"/>
  <c r="L59" i="20"/>
  <c r="M59" i="20" s="1"/>
  <c r="C59" i="20"/>
  <c r="R59" i="20" s="1"/>
  <c r="T58" i="20"/>
  <c r="P58" i="20"/>
  <c r="O58" i="20"/>
  <c r="N58" i="20"/>
  <c r="L58" i="20"/>
  <c r="M58" i="20" s="1"/>
  <c r="C58" i="20"/>
  <c r="R58" i="20" s="1"/>
  <c r="T57" i="20"/>
  <c r="P57" i="20"/>
  <c r="O57" i="20"/>
  <c r="N57" i="20"/>
  <c r="L57" i="20"/>
  <c r="M57" i="20" s="1"/>
  <c r="C57" i="20"/>
  <c r="Y57" i="20" s="1"/>
  <c r="T56" i="20"/>
  <c r="P56" i="20"/>
  <c r="O56" i="20"/>
  <c r="N56" i="20"/>
  <c r="L56" i="20"/>
  <c r="M56" i="20" s="1"/>
  <c r="C56" i="20"/>
  <c r="R56" i="20" s="1"/>
  <c r="B56" i="20" s="1"/>
  <c r="T55" i="20"/>
  <c r="P55" i="20"/>
  <c r="O55" i="20"/>
  <c r="N55" i="20"/>
  <c r="L55" i="20"/>
  <c r="M55" i="20" s="1"/>
  <c r="C55" i="20"/>
  <c r="Y55" i="20" s="1"/>
  <c r="T54" i="20"/>
  <c r="P54" i="20"/>
  <c r="O54" i="20"/>
  <c r="N54" i="20"/>
  <c r="L54" i="20"/>
  <c r="M54" i="20" s="1"/>
  <c r="C54" i="20"/>
  <c r="Y54" i="20" s="1"/>
  <c r="T53" i="20"/>
  <c r="P53" i="20"/>
  <c r="O53" i="20"/>
  <c r="N53" i="20"/>
  <c r="L53" i="20"/>
  <c r="M53" i="20" s="1"/>
  <c r="C53" i="20"/>
  <c r="S52" i="20" s="1"/>
  <c r="T52" i="20"/>
  <c r="P52" i="20"/>
  <c r="O52" i="20"/>
  <c r="N52" i="20"/>
  <c r="L52" i="20"/>
  <c r="M52" i="20" s="1"/>
  <c r="C52" i="20"/>
  <c r="Y52" i="20" s="1"/>
  <c r="T51" i="20"/>
  <c r="P51" i="20"/>
  <c r="O51" i="20"/>
  <c r="N51" i="20"/>
  <c r="L51" i="20"/>
  <c r="M51" i="20" s="1"/>
  <c r="C51" i="20"/>
  <c r="R51" i="20" s="1"/>
  <c r="T50" i="20"/>
  <c r="P50" i="20"/>
  <c r="O50" i="20"/>
  <c r="N50" i="20"/>
  <c r="L50" i="20"/>
  <c r="M50" i="20" s="1"/>
  <c r="C50" i="20"/>
  <c r="S49" i="20" s="1"/>
  <c r="T49" i="20"/>
  <c r="P49" i="20"/>
  <c r="O49" i="20"/>
  <c r="N49" i="20"/>
  <c r="L49" i="20"/>
  <c r="M49" i="20" s="1"/>
  <c r="C49" i="20"/>
  <c r="R49" i="20" s="1"/>
  <c r="T48" i="20"/>
  <c r="P48" i="20"/>
  <c r="O48" i="20"/>
  <c r="N48" i="20"/>
  <c r="L48" i="20"/>
  <c r="M48" i="20" s="1"/>
  <c r="C48" i="20"/>
  <c r="T47" i="20"/>
  <c r="P47" i="20"/>
  <c r="O47" i="20"/>
  <c r="N47" i="20"/>
  <c r="L47" i="20"/>
  <c r="M47" i="20" s="1"/>
  <c r="C47" i="20"/>
  <c r="R47" i="20" s="1"/>
  <c r="T46" i="20"/>
  <c r="P46" i="20"/>
  <c r="O46" i="20"/>
  <c r="N46" i="20"/>
  <c r="L46" i="20"/>
  <c r="M46" i="20" s="1"/>
  <c r="C46" i="20"/>
  <c r="Y46" i="20" s="1"/>
  <c r="T45" i="20"/>
  <c r="P45" i="20"/>
  <c r="O45" i="20"/>
  <c r="N45" i="20"/>
  <c r="L45" i="20"/>
  <c r="M45" i="20" s="1"/>
  <c r="C45" i="20"/>
  <c r="Y45" i="20" s="1"/>
  <c r="T44" i="20"/>
  <c r="P44" i="20"/>
  <c r="O44" i="20"/>
  <c r="N44" i="20"/>
  <c r="L44" i="20"/>
  <c r="M44" i="20" s="1"/>
  <c r="C44" i="20"/>
  <c r="S43" i="20" s="1"/>
  <c r="T43" i="20"/>
  <c r="P43" i="20"/>
  <c r="O43" i="20"/>
  <c r="N43" i="20"/>
  <c r="L43" i="20"/>
  <c r="M43" i="20" s="1"/>
  <c r="C43" i="20"/>
  <c r="Y43" i="20" s="1"/>
  <c r="T42" i="20"/>
  <c r="P42" i="20"/>
  <c r="O42" i="20"/>
  <c r="N42" i="20"/>
  <c r="L42" i="20"/>
  <c r="M42" i="20" s="1"/>
  <c r="C42" i="20"/>
  <c r="Y42" i="20" s="1"/>
  <c r="T41" i="20"/>
  <c r="P41" i="20"/>
  <c r="O41" i="20"/>
  <c r="N41" i="20"/>
  <c r="L41" i="20"/>
  <c r="M41" i="20" s="1"/>
  <c r="C41" i="20"/>
  <c r="S40" i="20" s="1"/>
  <c r="T40" i="20"/>
  <c r="P40" i="20"/>
  <c r="O40" i="20"/>
  <c r="N40" i="20"/>
  <c r="L40" i="20"/>
  <c r="M40" i="20" s="1"/>
  <c r="C40" i="20"/>
  <c r="Y40" i="20" s="1"/>
  <c r="T39" i="20"/>
  <c r="P39" i="20"/>
  <c r="O39" i="20"/>
  <c r="N39" i="20"/>
  <c r="L39" i="20"/>
  <c r="M39" i="20" s="1"/>
  <c r="C39" i="20"/>
  <c r="R39" i="20" s="1"/>
  <c r="T38" i="20"/>
  <c r="P38" i="20"/>
  <c r="O38" i="20"/>
  <c r="N38" i="20"/>
  <c r="L38" i="20"/>
  <c r="M38" i="20" s="1"/>
  <c r="C38" i="20"/>
  <c r="S37" i="20" s="1"/>
  <c r="T37" i="20"/>
  <c r="P37" i="20"/>
  <c r="O37" i="20"/>
  <c r="N37" i="20"/>
  <c r="L37" i="20"/>
  <c r="M37" i="20" s="1"/>
  <c r="C37" i="20"/>
  <c r="R37" i="20" s="1"/>
  <c r="T36" i="20"/>
  <c r="P36" i="20"/>
  <c r="O36" i="20"/>
  <c r="N36" i="20"/>
  <c r="L36" i="20"/>
  <c r="M36" i="20" s="1"/>
  <c r="C36" i="20"/>
  <c r="Y36" i="20" s="1"/>
  <c r="T35" i="20"/>
  <c r="P35" i="20"/>
  <c r="O35" i="20"/>
  <c r="N35" i="20"/>
  <c r="L35" i="20"/>
  <c r="M35" i="20" s="1"/>
  <c r="C35" i="20"/>
  <c r="R35" i="20" s="1"/>
  <c r="T34" i="20"/>
  <c r="P34" i="20"/>
  <c r="O34" i="20"/>
  <c r="N34" i="20"/>
  <c r="L34" i="20"/>
  <c r="M34" i="20" s="1"/>
  <c r="C34" i="20"/>
  <c r="Y34" i="20" s="1"/>
  <c r="T33" i="20"/>
  <c r="P33" i="20"/>
  <c r="O33" i="20"/>
  <c r="N33" i="20"/>
  <c r="L33" i="20"/>
  <c r="M33" i="20" s="1"/>
  <c r="C33" i="20"/>
  <c r="Y33" i="20" s="1"/>
  <c r="T32" i="20"/>
  <c r="P32" i="20"/>
  <c r="O32" i="20"/>
  <c r="N32" i="20"/>
  <c r="L32" i="20"/>
  <c r="M32" i="20" s="1"/>
  <c r="C32" i="20"/>
  <c r="S31" i="20" s="1"/>
  <c r="T31" i="20"/>
  <c r="P31" i="20"/>
  <c r="O31" i="20"/>
  <c r="N31" i="20"/>
  <c r="L31" i="20"/>
  <c r="M31" i="20" s="1"/>
  <c r="C31" i="20"/>
  <c r="Y31" i="20" s="1"/>
  <c r="T30" i="20"/>
  <c r="P30" i="20"/>
  <c r="O30" i="20"/>
  <c r="N30" i="20"/>
  <c r="L30" i="20"/>
  <c r="M30" i="20" s="1"/>
  <c r="C30" i="20"/>
  <c r="Y30" i="20" s="1"/>
  <c r="T29" i="20"/>
  <c r="P29" i="20"/>
  <c r="O29" i="20"/>
  <c r="N29" i="20"/>
  <c r="L29" i="20"/>
  <c r="M29" i="20" s="1"/>
  <c r="C29" i="20"/>
  <c r="S28" i="20" s="1"/>
  <c r="T28" i="20"/>
  <c r="P28" i="20"/>
  <c r="O28" i="20"/>
  <c r="N28" i="20"/>
  <c r="L28" i="20"/>
  <c r="M28" i="20" s="1"/>
  <c r="C28" i="20"/>
  <c r="R28" i="20" s="1"/>
  <c r="Q28" i="20" s="1"/>
  <c r="T27" i="20"/>
  <c r="P27" i="20"/>
  <c r="O27" i="20"/>
  <c r="N27" i="20"/>
  <c r="L27" i="20"/>
  <c r="M27" i="20" s="1"/>
  <c r="C27" i="20"/>
  <c r="R27" i="20" s="1"/>
  <c r="T26" i="20"/>
  <c r="P26" i="20"/>
  <c r="O26" i="20"/>
  <c r="N26" i="20"/>
  <c r="L26" i="20"/>
  <c r="M26" i="20" s="1"/>
  <c r="C26" i="20"/>
  <c r="Y26" i="20" s="1"/>
  <c r="T25" i="20"/>
  <c r="P25" i="20"/>
  <c r="O25" i="20"/>
  <c r="N25" i="20"/>
  <c r="L25" i="20"/>
  <c r="M25" i="20" s="1"/>
  <c r="C25" i="20"/>
  <c r="R25" i="20" s="1"/>
  <c r="T24" i="20"/>
  <c r="P24" i="20"/>
  <c r="O24" i="20"/>
  <c r="N24" i="20"/>
  <c r="L24" i="20"/>
  <c r="M24" i="20" s="1"/>
  <c r="C24" i="20"/>
  <c r="Y24" i="20" s="1"/>
  <c r="T23" i="20"/>
  <c r="P23" i="20"/>
  <c r="O23" i="20"/>
  <c r="N23" i="20"/>
  <c r="L23" i="20"/>
  <c r="M23" i="20" s="1"/>
  <c r="C23" i="20"/>
  <c r="Y23" i="20" s="1"/>
  <c r="T22" i="20"/>
  <c r="T21" i="20"/>
  <c r="T20" i="20"/>
  <c r="P20" i="20"/>
  <c r="O20" i="20"/>
  <c r="N20" i="20"/>
  <c r="T19" i="20"/>
  <c r="P19" i="20"/>
  <c r="O19" i="20"/>
  <c r="N19" i="20"/>
  <c r="T18" i="20"/>
  <c r="P18" i="20"/>
  <c r="O18" i="20"/>
  <c r="N18" i="20"/>
  <c r="T17" i="20"/>
  <c r="P17" i="20"/>
  <c r="O17" i="20"/>
  <c r="N17" i="20"/>
  <c r="T16" i="20"/>
  <c r="T15" i="20"/>
  <c r="T14" i="20"/>
  <c r="T13" i="20"/>
  <c r="U11" i="20" s="1"/>
  <c r="P13" i="20"/>
  <c r="O13" i="20"/>
  <c r="N13" i="20"/>
  <c r="L13" i="20"/>
  <c r="M13" i="20" s="1"/>
  <c r="C13" i="20"/>
  <c r="R12" i="20"/>
  <c r="K9" i="20"/>
  <c r="K8" i="20"/>
  <c r="E8" i="20"/>
  <c r="E7" i="20"/>
  <c r="E6" i="20"/>
  <c r="E5" i="20"/>
  <c r="K4" i="20"/>
  <c r="E4" i="20"/>
  <c r="T3" i="20"/>
  <c r="Y12" i="9"/>
  <c r="W12" i="9" a="1"/>
  <c r="AA11" i="1"/>
  <c r="R13" i="20" l="1"/>
  <c r="C14" i="20"/>
  <c r="U11" i="21"/>
  <c r="R13" i="21"/>
  <c r="Y13" i="21"/>
  <c r="R76" i="20"/>
  <c r="Q76" i="20" s="1"/>
  <c r="S75" i="20"/>
  <c r="R75" i="20"/>
  <c r="Y75" i="20"/>
  <c r="R62" i="20"/>
  <c r="S61" i="20"/>
  <c r="Y62" i="20"/>
  <c r="Y48" i="20"/>
  <c r="R48" i="20"/>
  <c r="Z12" i="1"/>
  <c r="Q77" i="21"/>
  <c r="Q77" i="20"/>
  <c r="Q12" i="20"/>
  <c r="Q12" i="21"/>
  <c r="Y11" i="7"/>
  <c r="Y28" i="21"/>
  <c r="Y51" i="21"/>
  <c r="Y63" i="21"/>
  <c r="S60" i="21"/>
  <c r="R62" i="21"/>
  <c r="Q62" i="21" s="1"/>
  <c r="S27" i="21"/>
  <c r="S36" i="21"/>
  <c r="S42" i="21"/>
  <c r="R67" i="21"/>
  <c r="B67" i="21" s="1"/>
  <c r="S51" i="21"/>
  <c r="S29" i="21"/>
  <c r="S41" i="21"/>
  <c r="S52" i="21"/>
  <c r="S65" i="21"/>
  <c r="R31" i="21"/>
  <c r="B31" i="21" s="1"/>
  <c r="S40" i="21"/>
  <c r="S73" i="21"/>
  <c r="R30" i="21"/>
  <c r="Y53" i="21"/>
  <c r="R66" i="21"/>
  <c r="B66" i="21" s="1"/>
  <c r="Y25" i="21"/>
  <c r="S30" i="21"/>
  <c r="R37" i="21"/>
  <c r="Y42" i="21"/>
  <c r="S61" i="21"/>
  <c r="R61" i="21"/>
  <c r="R65" i="21"/>
  <c r="Y24" i="21"/>
  <c r="Y29" i="21"/>
  <c r="R64" i="21"/>
  <c r="Y70" i="21"/>
  <c r="S64" i="21"/>
  <c r="R43" i="21"/>
  <c r="B43" i="21" s="1"/>
  <c r="Y52" i="21"/>
  <c r="Y72" i="21"/>
  <c r="S54" i="21"/>
  <c r="S63" i="21"/>
  <c r="Q49" i="21"/>
  <c r="A49" i="21"/>
  <c r="Q53" i="21"/>
  <c r="B53" i="21"/>
  <c r="A53" i="21"/>
  <c r="S12" i="21"/>
  <c r="Y39" i="21"/>
  <c r="Y46" i="21"/>
  <c r="Y49" i="21"/>
  <c r="Y36" i="21"/>
  <c r="Y58" i="21"/>
  <c r="S66" i="21"/>
  <c r="Y48" i="21"/>
  <c r="R74" i="21"/>
  <c r="B12" i="21"/>
  <c r="R29" i="21"/>
  <c r="R55" i="21"/>
  <c r="A55" i="21" s="1"/>
  <c r="Y60" i="21"/>
  <c r="R25" i="21"/>
  <c r="B25" i="21" s="1"/>
  <c r="R76" i="21"/>
  <c r="R40" i="21"/>
  <c r="R41" i="21"/>
  <c r="R54" i="21"/>
  <c r="R73" i="21"/>
  <c r="B73" i="21" s="1"/>
  <c r="A12" i="21"/>
  <c r="S72" i="21"/>
  <c r="Y76" i="21"/>
  <c r="Y27" i="21"/>
  <c r="Y34" i="21"/>
  <c r="S39" i="21"/>
  <c r="S53" i="21"/>
  <c r="Q50" i="21"/>
  <c r="B50" i="21"/>
  <c r="A50" i="21"/>
  <c r="Q63" i="21"/>
  <c r="B63" i="21"/>
  <c r="A63" i="21"/>
  <c r="P21" i="21"/>
  <c r="O21" i="21"/>
  <c r="N21" i="21"/>
  <c r="B70" i="21"/>
  <c r="A70" i="21"/>
  <c r="Q70" i="21"/>
  <c r="Q27" i="21"/>
  <c r="B27" i="21"/>
  <c r="A27" i="21"/>
  <c r="A24" i="21"/>
  <c r="B24" i="21"/>
  <c r="Q24" i="21"/>
  <c r="B34" i="21"/>
  <c r="A34" i="21"/>
  <c r="Q34" i="21"/>
  <c r="A72" i="21"/>
  <c r="B72" i="21"/>
  <c r="Q72" i="21"/>
  <c r="Q39" i="21"/>
  <c r="B39" i="21"/>
  <c r="A39" i="21"/>
  <c r="A36" i="21"/>
  <c r="B36" i="21"/>
  <c r="Q36" i="21"/>
  <c r="B46" i="21"/>
  <c r="A46" i="21"/>
  <c r="Q46" i="21"/>
  <c r="Q75" i="21"/>
  <c r="B75" i="21"/>
  <c r="A75" i="21"/>
  <c r="Q51" i="21"/>
  <c r="B51" i="21"/>
  <c r="A51" i="21"/>
  <c r="A48" i="21"/>
  <c r="B48" i="21"/>
  <c r="Q48" i="21"/>
  <c r="B58" i="21"/>
  <c r="A58" i="21"/>
  <c r="Q58" i="21"/>
  <c r="Q26" i="21"/>
  <c r="B26" i="21"/>
  <c r="A26" i="21"/>
  <c r="A60" i="21"/>
  <c r="Q60" i="21"/>
  <c r="B60" i="21"/>
  <c r="Q38" i="21"/>
  <c r="B38" i="21"/>
  <c r="A38" i="21"/>
  <c r="Y26" i="21"/>
  <c r="Y38" i="21"/>
  <c r="Q42" i="21"/>
  <c r="B49" i="21"/>
  <c r="Y50" i="21"/>
  <c r="Y75" i="21"/>
  <c r="A28" i="21"/>
  <c r="A52" i="21"/>
  <c r="B28" i="21"/>
  <c r="S31" i="21"/>
  <c r="R32" i="21"/>
  <c r="S43" i="21"/>
  <c r="R44" i="21"/>
  <c r="B52" i="21"/>
  <c r="S55" i="21"/>
  <c r="R56" i="21"/>
  <c r="S67" i="21"/>
  <c r="R68" i="21"/>
  <c r="A77" i="21"/>
  <c r="S32" i="21"/>
  <c r="R33" i="21"/>
  <c r="A42" i="21"/>
  <c r="S44" i="21"/>
  <c r="R45" i="21"/>
  <c r="S56" i="21"/>
  <c r="R57" i="21"/>
  <c r="S68" i="21"/>
  <c r="R69" i="21"/>
  <c r="B77" i="21"/>
  <c r="C14" i="21"/>
  <c r="S33" i="21"/>
  <c r="S45" i="21"/>
  <c r="S57" i="21"/>
  <c r="S69" i="21"/>
  <c r="S22" i="21"/>
  <c r="R23" i="21"/>
  <c r="S34" i="21"/>
  <c r="R35" i="21"/>
  <c r="S46" i="21"/>
  <c r="R47" i="21"/>
  <c r="S58" i="21"/>
  <c r="R59" i="21"/>
  <c r="S70" i="21"/>
  <c r="R71" i="21"/>
  <c r="S23" i="21"/>
  <c r="S35" i="21"/>
  <c r="S47" i="21"/>
  <c r="S59" i="21"/>
  <c r="S71" i="21"/>
  <c r="S25" i="21"/>
  <c r="S37" i="21"/>
  <c r="S49" i="21"/>
  <c r="S26" i="21"/>
  <c r="S38" i="21"/>
  <c r="S50" i="21"/>
  <c r="S62" i="21"/>
  <c r="S74" i="21"/>
  <c r="S12" i="20"/>
  <c r="S51" i="20"/>
  <c r="Y64" i="20"/>
  <c r="R66" i="20"/>
  <c r="Y27" i="20"/>
  <c r="Y29" i="20"/>
  <c r="S63" i="20"/>
  <c r="R52" i="20"/>
  <c r="R72" i="20"/>
  <c r="B72" i="20" s="1"/>
  <c r="Y28" i="20"/>
  <c r="Y72" i="20"/>
  <c r="A12" i="20"/>
  <c r="Y47" i="20"/>
  <c r="Y56" i="20"/>
  <c r="S27" i="20"/>
  <c r="S55" i="20"/>
  <c r="Y14" i="20"/>
  <c r="R32" i="20"/>
  <c r="B32" i="20" s="1"/>
  <c r="S41" i="20"/>
  <c r="Y53" i="20"/>
  <c r="Y32" i="20"/>
  <c r="Y41" i="20"/>
  <c r="Y71" i="20"/>
  <c r="R38" i="20"/>
  <c r="S47" i="20"/>
  <c r="Y59" i="20"/>
  <c r="Y76" i="20"/>
  <c r="R42" i="20"/>
  <c r="B42" i="20" s="1"/>
  <c r="Y35" i="20"/>
  <c r="Y58" i="20"/>
  <c r="Q13" i="20"/>
  <c r="B13" i="20"/>
  <c r="R24" i="20"/>
  <c r="Y38" i="20"/>
  <c r="Y51" i="20"/>
  <c r="R65" i="20"/>
  <c r="R68" i="20"/>
  <c r="Q68" i="20" s="1"/>
  <c r="R74" i="20"/>
  <c r="A74" i="20" s="1"/>
  <c r="B62" i="20"/>
  <c r="S64" i="20"/>
  <c r="S65" i="20"/>
  <c r="S23" i="20"/>
  <c r="R31" i="20"/>
  <c r="R41" i="20"/>
  <c r="R44" i="20"/>
  <c r="B44" i="20" s="1"/>
  <c r="R50" i="20"/>
  <c r="A50" i="20" s="1"/>
  <c r="Y74" i="20"/>
  <c r="R26" i="20"/>
  <c r="A26" i="20" s="1"/>
  <c r="R30" i="20"/>
  <c r="B30" i="20" s="1"/>
  <c r="R40" i="20"/>
  <c r="R54" i="20"/>
  <c r="B54" i="20" s="1"/>
  <c r="R60" i="20"/>
  <c r="Y70" i="20"/>
  <c r="S30" i="20"/>
  <c r="Y44" i="20"/>
  <c r="Y50" i="20"/>
  <c r="S59" i="20"/>
  <c r="Y63" i="20"/>
  <c r="S67" i="20"/>
  <c r="B12" i="20"/>
  <c r="R29" i="20"/>
  <c r="R36" i="20"/>
  <c r="S39" i="20"/>
  <c r="R53" i="20"/>
  <c r="S25" i="20"/>
  <c r="S29" i="20"/>
  <c r="S53" i="20"/>
  <c r="S35" i="20"/>
  <c r="Y39" i="20"/>
  <c r="Q25" i="20"/>
  <c r="B25" i="20"/>
  <c r="A25" i="20"/>
  <c r="Q39" i="20"/>
  <c r="A39" i="20"/>
  <c r="B39" i="20"/>
  <c r="Q73" i="20"/>
  <c r="B73" i="20"/>
  <c r="A73" i="20"/>
  <c r="Q49" i="20"/>
  <c r="B49" i="20"/>
  <c r="A49" i="20"/>
  <c r="B35" i="20"/>
  <c r="A35" i="20"/>
  <c r="Q35" i="20"/>
  <c r="Q75" i="20"/>
  <c r="B75" i="20"/>
  <c r="A75" i="20"/>
  <c r="B58" i="20"/>
  <c r="A58" i="20"/>
  <c r="Q58" i="20"/>
  <c r="B71" i="20"/>
  <c r="A71" i="20"/>
  <c r="Q71" i="20"/>
  <c r="Q63" i="20"/>
  <c r="A63" i="20"/>
  <c r="B63" i="20"/>
  <c r="B47" i="20"/>
  <c r="A47" i="20"/>
  <c r="Q47" i="20"/>
  <c r="Q61" i="20"/>
  <c r="B61" i="20"/>
  <c r="A61" i="20"/>
  <c r="B59" i="20"/>
  <c r="A59" i="20"/>
  <c r="Q59" i="20"/>
  <c r="Q27" i="20"/>
  <c r="A27" i="20"/>
  <c r="B27" i="20"/>
  <c r="Q37" i="20"/>
  <c r="B37" i="20"/>
  <c r="A37" i="20"/>
  <c r="N16" i="20"/>
  <c r="P16" i="20"/>
  <c r="O16" i="20"/>
  <c r="Q51" i="20"/>
  <c r="A51" i="20"/>
  <c r="B51" i="20"/>
  <c r="B70" i="20"/>
  <c r="A70" i="20"/>
  <c r="Q70" i="20"/>
  <c r="Y25" i="20"/>
  <c r="Y37" i="20"/>
  <c r="Y49" i="20"/>
  <c r="Y61" i="20"/>
  <c r="Y73" i="20"/>
  <c r="A13" i="20"/>
  <c r="Y13" i="20"/>
  <c r="A28" i="20"/>
  <c r="S42" i="20"/>
  <c r="R43" i="20"/>
  <c r="S54" i="20"/>
  <c r="R55" i="20"/>
  <c r="Q56" i="20"/>
  <c r="A64" i="20"/>
  <c r="S66" i="20"/>
  <c r="R67" i="20"/>
  <c r="A76" i="20"/>
  <c r="B28" i="20"/>
  <c r="B64" i="20"/>
  <c r="B76" i="20"/>
  <c r="A77" i="20"/>
  <c r="C15" i="20"/>
  <c r="S32" i="20"/>
  <c r="R33" i="20"/>
  <c r="S44" i="20"/>
  <c r="R45" i="20"/>
  <c r="S56" i="20"/>
  <c r="R57" i="20"/>
  <c r="S68" i="20"/>
  <c r="R69" i="20"/>
  <c r="B77" i="20"/>
  <c r="S33" i="20"/>
  <c r="R34" i="20"/>
  <c r="S45" i="20"/>
  <c r="R46" i="20"/>
  <c r="S57" i="20"/>
  <c r="S69" i="20"/>
  <c r="S22" i="20"/>
  <c r="R23" i="20"/>
  <c r="S34" i="20"/>
  <c r="S46" i="20"/>
  <c r="A56" i="20"/>
  <c r="S58" i="20"/>
  <c r="S70" i="20"/>
  <c r="S24" i="20"/>
  <c r="S36" i="20"/>
  <c r="S48" i="20"/>
  <c r="S60" i="20"/>
  <c r="S72" i="20"/>
  <c r="S26" i="20"/>
  <c r="S38" i="20"/>
  <c r="S50" i="20"/>
  <c r="S62" i="20"/>
  <c r="S74" i="20"/>
  <c r="T11" i="21"/>
  <c r="T11" i="20"/>
  <c r="Q62" i="20" l="1"/>
  <c r="A62" i="20"/>
  <c r="B54" i="21"/>
  <c r="A54" i="21"/>
  <c r="R14" i="20"/>
  <c r="S13" i="20"/>
  <c r="Q13" i="21"/>
  <c r="A13" i="21"/>
  <c r="B13" i="21"/>
  <c r="B30" i="21"/>
  <c r="A30" i="21"/>
  <c r="Q74" i="21"/>
  <c r="A74" i="21"/>
  <c r="B74" i="21"/>
  <c r="Q76" i="21"/>
  <c r="A76" i="21"/>
  <c r="Q40" i="21"/>
  <c r="B40" i="21"/>
  <c r="A48" i="20"/>
  <c r="B48" i="20"/>
  <c r="Q48" i="20"/>
  <c r="B66" i="20"/>
  <c r="A66" i="20"/>
  <c r="Q66" i="20"/>
  <c r="Q52" i="20"/>
  <c r="B52" i="20"/>
  <c r="A52" i="20"/>
  <c r="Q38" i="20"/>
  <c r="A38" i="20"/>
  <c r="A62" i="21"/>
  <c r="B62" i="21"/>
  <c r="Q37" i="21"/>
  <c r="B37" i="21"/>
  <c r="Q61" i="21"/>
  <c r="B61" i="21"/>
  <c r="Q64" i="21"/>
  <c r="A64" i="21"/>
  <c r="A72" i="20"/>
  <c r="Q72" i="20"/>
  <c r="B68" i="20"/>
  <c r="A68" i="20"/>
  <c r="Q40" i="20"/>
  <c r="A40" i="20"/>
  <c r="B40" i="20"/>
  <c r="Z14" i="1"/>
  <c r="Q67" i="21"/>
  <c r="A37" i="21"/>
  <c r="A67" i="21"/>
  <c r="B76" i="21"/>
  <c r="Q54" i="21"/>
  <c r="B64" i="21"/>
  <c r="Q30" i="21"/>
  <c r="Q31" i="21"/>
  <c r="Q66" i="21"/>
  <c r="A66" i="21"/>
  <c r="A40" i="21"/>
  <c r="A61" i="21"/>
  <c r="A31" i="21"/>
  <c r="A43" i="21"/>
  <c r="A65" i="21"/>
  <c r="Q65" i="21"/>
  <c r="B65" i="21"/>
  <c r="Q43" i="21"/>
  <c r="Q25" i="21"/>
  <c r="A25" i="21"/>
  <c r="B55" i="21"/>
  <c r="Q55" i="21"/>
  <c r="B29" i="21"/>
  <c r="A29" i="21"/>
  <c r="Q29" i="21"/>
  <c r="Q73" i="21"/>
  <c r="A73" i="21"/>
  <c r="A41" i="21"/>
  <c r="Q41" i="21"/>
  <c r="B41" i="21"/>
  <c r="B35" i="21"/>
  <c r="A35" i="21"/>
  <c r="Q35" i="21"/>
  <c r="B44" i="21"/>
  <c r="A44" i="21"/>
  <c r="Q44" i="21"/>
  <c r="B56" i="21"/>
  <c r="A56" i="21"/>
  <c r="Q56" i="21"/>
  <c r="B33" i="21"/>
  <c r="A33" i="21"/>
  <c r="Q33" i="21"/>
  <c r="B47" i="21"/>
  <c r="A47" i="21"/>
  <c r="Q47" i="21"/>
  <c r="B23" i="21"/>
  <c r="A23" i="21"/>
  <c r="Q23" i="21"/>
  <c r="Y14" i="21"/>
  <c r="R14" i="21"/>
  <c r="S13" i="21"/>
  <c r="B59" i="21"/>
  <c r="A59" i="21"/>
  <c r="Q59" i="21"/>
  <c r="B45" i="21"/>
  <c r="A45" i="21"/>
  <c r="Q45" i="21"/>
  <c r="B32" i="21"/>
  <c r="A32" i="21"/>
  <c r="Q32" i="21"/>
  <c r="B69" i="21"/>
  <c r="A69" i="21"/>
  <c r="Q69" i="21"/>
  <c r="P22" i="21"/>
  <c r="O22" i="21"/>
  <c r="N22" i="21"/>
  <c r="B71" i="21"/>
  <c r="A71" i="21"/>
  <c r="Q71" i="21"/>
  <c r="B68" i="21"/>
  <c r="A68" i="21"/>
  <c r="Q68" i="21"/>
  <c r="B57" i="21"/>
  <c r="A57" i="21"/>
  <c r="Q57" i="21"/>
  <c r="C15" i="21"/>
  <c r="A42" i="20"/>
  <c r="A30" i="20"/>
  <c r="Q42" i="20"/>
  <c r="B38" i="20"/>
  <c r="Q32" i="20"/>
  <c r="Q30" i="20"/>
  <c r="A32" i="20"/>
  <c r="A36" i="20"/>
  <c r="Q36" i="20"/>
  <c r="B36" i="20"/>
  <c r="A54" i="20"/>
  <c r="A44" i="20"/>
  <c r="A60" i="20"/>
  <c r="B60" i="20"/>
  <c r="Q60" i="20"/>
  <c r="B29" i="20"/>
  <c r="Q29" i="20"/>
  <c r="A29" i="20"/>
  <c r="Q74" i="20"/>
  <c r="B74" i="20"/>
  <c r="Q26" i="20"/>
  <c r="B26" i="20"/>
  <c r="B65" i="20"/>
  <c r="A65" i="20"/>
  <c r="Q65" i="20"/>
  <c r="Q54" i="20"/>
  <c r="Q50" i="20"/>
  <c r="B50" i="20"/>
  <c r="Q44" i="20"/>
  <c r="B41" i="20"/>
  <c r="A41" i="20"/>
  <c r="Q41" i="20"/>
  <c r="A24" i="20"/>
  <c r="Q24" i="20"/>
  <c r="B24" i="20"/>
  <c r="A31" i="20"/>
  <c r="B31" i="20"/>
  <c r="Q31" i="20"/>
  <c r="B53" i="20"/>
  <c r="Q53" i="20"/>
  <c r="A53" i="20"/>
  <c r="C16" i="20"/>
  <c r="Y15" i="20"/>
  <c r="R15" i="20"/>
  <c r="S14" i="20"/>
  <c r="B57" i="20"/>
  <c r="A57" i="20"/>
  <c r="Q57" i="20"/>
  <c r="B46" i="20"/>
  <c r="A46" i="20"/>
  <c r="Q46" i="20"/>
  <c r="B34" i="20"/>
  <c r="A34" i="20"/>
  <c r="Q34" i="20"/>
  <c r="B45" i="20"/>
  <c r="A45" i="20"/>
  <c r="Q45" i="20"/>
  <c r="Q55" i="20"/>
  <c r="B55" i="20"/>
  <c r="A55" i="20"/>
  <c r="B43" i="20"/>
  <c r="A43" i="20"/>
  <c r="Q43" i="20"/>
  <c r="B33" i="20"/>
  <c r="A33" i="20"/>
  <c r="Q33" i="20"/>
  <c r="B23" i="20"/>
  <c r="A23" i="20"/>
  <c r="Q23" i="20"/>
  <c r="B67" i="20"/>
  <c r="A67" i="20"/>
  <c r="Q67" i="20"/>
  <c r="B69" i="20"/>
  <c r="A69" i="20"/>
  <c r="Q69" i="20"/>
  <c r="Q14" i="20" l="1"/>
  <c r="A14" i="20"/>
  <c r="B14" i="20"/>
  <c r="Y15" i="21"/>
  <c r="R15" i="21"/>
  <c r="S14" i="21"/>
  <c r="B14" i="21"/>
  <c r="A14" i="21"/>
  <c r="Q14" i="21"/>
  <c r="C16" i="21"/>
  <c r="C17" i="21" s="1"/>
  <c r="Y16" i="20"/>
  <c r="S15" i="20"/>
  <c r="R16" i="20"/>
  <c r="C17" i="20"/>
  <c r="B15" i="20"/>
  <c r="A15" i="20"/>
  <c r="Q15" i="20"/>
  <c r="U14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T14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U13" i="1"/>
  <c r="T13" i="1"/>
  <c r="J18" i="7"/>
  <c r="J19" i="7"/>
  <c r="J20" i="7"/>
  <c r="J21" i="7"/>
  <c r="J22" i="7"/>
  <c r="J23" i="7"/>
  <c r="J24" i="7"/>
  <c r="J25" i="7"/>
  <c r="P158" i="1"/>
  <c r="Q158" i="1"/>
  <c r="R158" i="1" s="1"/>
  <c r="AI158" i="1" a="1"/>
  <c r="AI158" i="1" s="1"/>
  <c r="AM158" i="1"/>
  <c r="AN158" i="1" s="1"/>
  <c r="W159" i="1"/>
  <c r="A159" i="1" s="1"/>
  <c r="P159" i="1"/>
  <c r="Q159" i="1"/>
  <c r="R159" i="1" s="1"/>
  <c r="AI159" i="1" a="1"/>
  <c r="AI159" i="1" s="1"/>
  <c r="AM159" i="1"/>
  <c r="AN159" i="1" s="1"/>
  <c r="W160" i="1"/>
  <c r="P160" i="1"/>
  <c r="Q160" i="1"/>
  <c r="R160" i="1" s="1"/>
  <c r="AI160" i="1" a="1"/>
  <c r="AI160" i="1" s="1"/>
  <c r="AM160" i="1"/>
  <c r="AN160" i="1" s="1"/>
  <c r="W161" i="1"/>
  <c r="V161" i="1" s="1"/>
  <c r="P161" i="1"/>
  <c r="Q161" i="1"/>
  <c r="R161" i="1" s="1"/>
  <c r="AI161" i="1" a="1"/>
  <c r="AI161" i="1" s="1"/>
  <c r="AM161" i="1"/>
  <c r="AN161" i="1" s="1"/>
  <c r="P162" i="1"/>
  <c r="Q162" i="1"/>
  <c r="R162" i="1" s="1"/>
  <c r="AI162" i="1" a="1"/>
  <c r="AI162" i="1" s="1"/>
  <c r="AM162" i="1"/>
  <c r="AN162" i="1" s="1"/>
  <c r="AD163" i="1"/>
  <c r="P163" i="1"/>
  <c r="Q163" i="1"/>
  <c r="R163" i="1" s="1"/>
  <c r="AI163" i="1" a="1"/>
  <c r="AI163" i="1" s="1"/>
  <c r="AM163" i="1"/>
  <c r="AN163" i="1" s="1"/>
  <c r="AD164" i="1"/>
  <c r="P164" i="1"/>
  <c r="Q164" i="1"/>
  <c r="R164" i="1" s="1"/>
  <c r="AI164" i="1" a="1"/>
  <c r="AI164" i="1" s="1"/>
  <c r="AM164" i="1"/>
  <c r="AN164" i="1" s="1"/>
  <c r="P165" i="1"/>
  <c r="Q165" i="1"/>
  <c r="R165" i="1" s="1"/>
  <c r="AI165" i="1" a="1"/>
  <c r="AI165" i="1" s="1"/>
  <c r="AM165" i="1"/>
  <c r="AN165" i="1" s="1"/>
  <c r="AD166" i="1"/>
  <c r="P166" i="1"/>
  <c r="Q166" i="1"/>
  <c r="R166" i="1" s="1"/>
  <c r="AI166" i="1" a="1"/>
  <c r="AI166" i="1" s="1"/>
  <c r="AM166" i="1"/>
  <c r="AN166" i="1" s="1"/>
  <c r="AD167" i="1"/>
  <c r="P167" i="1"/>
  <c r="Q167" i="1"/>
  <c r="R167" i="1" s="1"/>
  <c r="AI167" i="1" a="1"/>
  <c r="AI167" i="1" s="1"/>
  <c r="AM167" i="1"/>
  <c r="AN167" i="1" s="1"/>
  <c r="P168" i="1"/>
  <c r="Q168" i="1"/>
  <c r="R168" i="1" s="1"/>
  <c r="AI168" i="1" a="1"/>
  <c r="AI168" i="1" s="1"/>
  <c r="AM168" i="1"/>
  <c r="AN168" i="1" s="1"/>
  <c r="P169" i="1"/>
  <c r="Q169" i="1"/>
  <c r="R169" i="1" s="1"/>
  <c r="AI169" i="1" a="1"/>
  <c r="AI169" i="1" s="1"/>
  <c r="AM169" i="1"/>
  <c r="AN169" i="1" s="1"/>
  <c r="P170" i="1"/>
  <c r="Q170" i="1"/>
  <c r="R170" i="1" s="1"/>
  <c r="AI170" i="1" a="1"/>
  <c r="AI170" i="1" s="1"/>
  <c r="AM170" i="1"/>
  <c r="AN170" i="1" s="1"/>
  <c r="P171" i="1"/>
  <c r="Q171" i="1"/>
  <c r="R171" i="1" s="1"/>
  <c r="AI171" i="1" a="1"/>
  <c r="AI171" i="1" s="1"/>
  <c r="AM171" i="1"/>
  <c r="AN171" i="1" s="1"/>
  <c r="AD172" i="1"/>
  <c r="P172" i="1"/>
  <c r="Q172" i="1"/>
  <c r="R172" i="1" s="1"/>
  <c r="AI172" i="1" a="1"/>
  <c r="AI172" i="1" s="1"/>
  <c r="AM172" i="1"/>
  <c r="AN172" i="1" s="1"/>
  <c r="W173" i="1"/>
  <c r="V173" i="1" s="1"/>
  <c r="P173" i="1"/>
  <c r="Q173" i="1"/>
  <c r="R173" i="1" s="1"/>
  <c r="AI173" i="1" a="1"/>
  <c r="AI173" i="1" s="1"/>
  <c r="AM173" i="1"/>
  <c r="AN173" i="1" s="1"/>
  <c r="P174" i="1"/>
  <c r="Q174" i="1"/>
  <c r="R174" i="1" s="1"/>
  <c r="AI174" i="1" a="1"/>
  <c r="AI174" i="1" s="1"/>
  <c r="AM174" i="1"/>
  <c r="AN174" i="1" s="1"/>
  <c r="P175" i="1"/>
  <c r="Q175" i="1"/>
  <c r="R175" i="1" s="1"/>
  <c r="AI175" i="1" a="1"/>
  <c r="AI175" i="1" s="1"/>
  <c r="AM175" i="1"/>
  <c r="AN175" i="1" s="1"/>
  <c r="AD176" i="1"/>
  <c r="P176" i="1"/>
  <c r="Q176" i="1"/>
  <c r="R176" i="1" s="1"/>
  <c r="AI176" i="1" a="1"/>
  <c r="AI176" i="1" s="1"/>
  <c r="AM176" i="1"/>
  <c r="AN176" i="1" s="1"/>
  <c r="AD177" i="1"/>
  <c r="P177" i="1"/>
  <c r="Q177" i="1"/>
  <c r="R177" i="1" s="1"/>
  <c r="AI177" i="1" a="1"/>
  <c r="AI177" i="1" s="1"/>
  <c r="AM177" i="1"/>
  <c r="AN177" i="1" s="1"/>
  <c r="AD178" i="1"/>
  <c r="P178" i="1"/>
  <c r="Q178" i="1"/>
  <c r="R178" i="1" s="1"/>
  <c r="AI178" i="1" a="1"/>
  <c r="AI178" i="1" s="1"/>
  <c r="AM178" i="1"/>
  <c r="AN178" i="1" s="1"/>
  <c r="AD179" i="1"/>
  <c r="P179" i="1"/>
  <c r="Q179" i="1"/>
  <c r="R179" i="1" s="1"/>
  <c r="AI179" i="1" a="1"/>
  <c r="AI179" i="1" s="1"/>
  <c r="AM179" i="1"/>
  <c r="AN179" i="1" s="1"/>
  <c r="AD180" i="1"/>
  <c r="P180" i="1"/>
  <c r="Q180" i="1"/>
  <c r="R180" i="1" s="1"/>
  <c r="AI180" i="1" a="1"/>
  <c r="AI180" i="1" s="1"/>
  <c r="AM180" i="1"/>
  <c r="AN180" i="1" s="1"/>
  <c r="AD181" i="1"/>
  <c r="P181" i="1"/>
  <c r="Q181" i="1"/>
  <c r="R181" i="1" s="1"/>
  <c r="AI181" i="1" a="1"/>
  <c r="AI181" i="1" s="1"/>
  <c r="AM181" i="1"/>
  <c r="AN181" i="1" s="1"/>
  <c r="P182" i="1"/>
  <c r="Q182" i="1"/>
  <c r="R182" i="1" s="1"/>
  <c r="AI182" i="1" a="1"/>
  <c r="AI182" i="1" s="1"/>
  <c r="AM182" i="1"/>
  <c r="AN182" i="1" s="1"/>
  <c r="P183" i="1"/>
  <c r="Q183" i="1"/>
  <c r="R183" i="1" s="1"/>
  <c r="AI183" i="1" a="1"/>
  <c r="AI183" i="1" s="1"/>
  <c r="AM183" i="1"/>
  <c r="AN183" i="1" s="1"/>
  <c r="P184" i="1"/>
  <c r="Q184" i="1"/>
  <c r="R184" i="1" s="1"/>
  <c r="AI184" i="1" a="1"/>
  <c r="AI184" i="1" s="1"/>
  <c r="AM184" i="1"/>
  <c r="AN184" i="1" s="1"/>
  <c r="AD185" i="1"/>
  <c r="P185" i="1"/>
  <c r="Q185" i="1"/>
  <c r="R185" i="1" s="1"/>
  <c r="AI185" i="1" a="1"/>
  <c r="AI185" i="1" s="1"/>
  <c r="AM185" i="1"/>
  <c r="AN185" i="1" s="1"/>
  <c r="AD186" i="1"/>
  <c r="P186" i="1"/>
  <c r="Q186" i="1"/>
  <c r="R186" i="1" s="1"/>
  <c r="AI186" i="1" a="1"/>
  <c r="AI186" i="1" s="1"/>
  <c r="AM186" i="1"/>
  <c r="AN186" i="1" s="1"/>
  <c r="AD187" i="1"/>
  <c r="P187" i="1"/>
  <c r="Q187" i="1"/>
  <c r="R187" i="1" s="1"/>
  <c r="AI187" i="1" a="1"/>
  <c r="AI187" i="1" s="1"/>
  <c r="AM187" i="1"/>
  <c r="AN187" i="1" s="1"/>
  <c r="P188" i="1"/>
  <c r="Q188" i="1"/>
  <c r="R188" i="1" s="1"/>
  <c r="AI188" i="1" a="1"/>
  <c r="AI188" i="1" s="1"/>
  <c r="AM188" i="1"/>
  <c r="AN188" i="1" s="1"/>
  <c r="AD189" i="1"/>
  <c r="P189" i="1"/>
  <c r="Q189" i="1"/>
  <c r="R189" i="1" s="1"/>
  <c r="AI189" i="1" a="1"/>
  <c r="AI189" i="1" s="1"/>
  <c r="AM189" i="1"/>
  <c r="AN189" i="1" s="1"/>
  <c r="P190" i="1"/>
  <c r="Q190" i="1"/>
  <c r="R190" i="1" s="1"/>
  <c r="AI190" i="1" a="1"/>
  <c r="AI190" i="1" s="1"/>
  <c r="AM190" i="1"/>
  <c r="AN190" i="1" s="1"/>
  <c r="AD191" i="1"/>
  <c r="P191" i="1"/>
  <c r="Q191" i="1"/>
  <c r="R191" i="1" s="1"/>
  <c r="AI191" i="1" a="1"/>
  <c r="AI191" i="1" s="1"/>
  <c r="AM191" i="1"/>
  <c r="AN191" i="1" s="1"/>
  <c r="P192" i="1"/>
  <c r="Q192" i="1"/>
  <c r="R192" i="1" s="1"/>
  <c r="AI192" i="1" a="1"/>
  <c r="AI192" i="1" s="1"/>
  <c r="AM192" i="1"/>
  <c r="AN192" i="1" s="1"/>
  <c r="P193" i="1"/>
  <c r="Q193" i="1"/>
  <c r="R193" i="1" s="1"/>
  <c r="AI193" i="1" a="1"/>
  <c r="AI193" i="1" s="1"/>
  <c r="AM193" i="1"/>
  <c r="AN193" i="1" s="1"/>
  <c r="P194" i="1"/>
  <c r="Q194" i="1"/>
  <c r="R194" i="1" s="1"/>
  <c r="AI194" i="1" a="1"/>
  <c r="AI194" i="1" s="1"/>
  <c r="AM194" i="1"/>
  <c r="AN194" i="1" s="1"/>
  <c r="P195" i="1"/>
  <c r="Q195" i="1"/>
  <c r="R195" i="1" s="1"/>
  <c r="AI195" i="1" a="1"/>
  <c r="AI195" i="1" s="1"/>
  <c r="AM195" i="1"/>
  <c r="AN195" i="1" s="1"/>
  <c r="AD196" i="1"/>
  <c r="P196" i="1"/>
  <c r="Q196" i="1"/>
  <c r="R196" i="1" s="1"/>
  <c r="AI196" i="1" a="1"/>
  <c r="AI196" i="1" s="1"/>
  <c r="AM196" i="1"/>
  <c r="AN196" i="1" s="1"/>
  <c r="AD197" i="1"/>
  <c r="P197" i="1"/>
  <c r="Q197" i="1"/>
  <c r="R197" i="1" s="1"/>
  <c r="AI197" i="1" a="1"/>
  <c r="AI197" i="1" s="1"/>
  <c r="AM197" i="1"/>
  <c r="AN197" i="1" s="1"/>
  <c r="AD198" i="1"/>
  <c r="P198" i="1"/>
  <c r="Q198" i="1"/>
  <c r="R198" i="1" s="1"/>
  <c r="AI198" i="1" a="1"/>
  <c r="AI198" i="1" s="1"/>
  <c r="AM198" i="1"/>
  <c r="AN198" i="1" s="1"/>
  <c r="W199" i="1"/>
  <c r="AX199" i="1" s="1"/>
  <c r="P199" i="1"/>
  <c r="Q199" i="1"/>
  <c r="R199" i="1" s="1"/>
  <c r="AI199" i="1" a="1"/>
  <c r="AI199" i="1" s="1"/>
  <c r="AM199" i="1"/>
  <c r="AN199" i="1" s="1"/>
  <c r="W200" i="1"/>
  <c r="P200" i="1"/>
  <c r="Q200" i="1"/>
  <c r="R200" i="1" s="1"/>
  <c r="AI200" i="1" a="1"/>
  <c r="AI200" i="1" s="1"/>
  <c r="AM200" i="1"/>
  <c r="AN200" i="1" s="1"/>
  <c r="W201" i="1"/>
  <c r="A201" i="1" s="1"/>
  <c r="P201" i="1"/>
  <c r="Q201" i="1"/>
  <c r="R201" i="1" s="1"/>
  <c r="AI201" i="1" a="1"/>
  <c r="AI201" i="1" s="1"/>
  <c r="AM201" i="1"/>
  <c r="AN201" i="1" s="1"/>
  <c r="AD202" i="1"/>
  <c r="P202" i="1"/>
  <c r="Q202" i="1"/>
  <c r="R202" i="1" s="1"/>
  <c r="AI202" i="1" a="1"/>
  <c r="AI202" i="1" s="1"/>
  <c r="AM202" i="1"/>
  <c r="AN202" i="1" s="1"/>
  <c r="W203" i="1"/>
  <c r="V203" i="1" s="1"/>
  <c r="P203" i="1"/>
  <c r="Q203" i="1"/>
  <c r="R203" i="1" s="1"/>
  <c r="AI203" i="1" a="1"/>
  <c r="AI203" i="1" s="1"/>
  <c r="AM203" i="1"/>
  <c r="AN203" i="1" s="1"/>
  <c r="AD204" i="1"/>
  <c r="P204" i="1"/>
  <c r="Q204" i="1"/>
  <c r="R204" i="1" s="1"/>
  <c r="AI204" i="1" a="1"/>
  <c r="AI204" i="1" s="1"/>
  <c r="AM204" i="1"/>
  <c r="AN204" i="1" s="1"/>
  <c r="P205" i="1"/>
  <c r="Q205" i="1"/>
  <c r="R205" i="1" s="1"/>
  <c r="AI205" i="1" a="1"/>
  <c r="AI205" i="1" s="1"/>
  <c r="AM205" i="1"/>
  <c r="AN205" i="1" s="1"/>
  <c r="P206" i="1"/>
  <c r="Q206" i="1"/>
  <c r="R206" i="1" s="1"/>
  <c r="AI206" i="1" a="1"/>
  <c r="AI206" i="1" s="1"/>
  <c r="AM206" i="1"/>
  <c r="AN206" i="1" s="1"/>
  <c r="P207" i="1"/>
  <c r="Q207" i="1"/>
  <c r="R207" i="1" s="1"/>
  <c r="AI207" i="1" a="1"/>
  <c r="AI207" i="1" s="1"/>
  <c r="AM207" i="1"/>
  <c r="AN207" i="1" s="1"/>
  <c r="P208" i="1"/>
  <c r="Q208" i="1"/>
  <c r="R208" i="1" s="1"/>
  <c r="AI208" i="1" a="1"/>
  <c r="AI208" i="1" s="1"/>
  <c r="AM208" i="1"/>
  <c r="AN208" i="1" s="1"/>
  <c r="W209" i="1"/>
  <c r="P209" i="1"/>
  <c r="Q209" i="1"/>
  <c r="R209" i="1" s="1"/>
  <c r="AI209" i="1" a="1"/>
  <c r="AI209" i="1" s="1"/>
  <c r="AM209" i="1"/>
  <c r="AN209" i="1" s="1"/>
  <c r="W210" i="1"/>
  <c r="AX210" i="1" s="1"/>
  <c r="P210" i="1"/>
  <c r="Q210" i="1"/>
  <c r="R210" i="1" s="1"/>
  <c r="AI210" i="1" a="1"/>
  <c r="AI210" i="1" s="1"/>
  <c r="AM210" i="1"/>
  <c r="AN210" i="1" s="1"/>
  <c r="P211" i="1"/>
  <c r="Q211" i="1"/>
  <c r="R211" i="1" s="1"/>
  <c r="AI211" i="1" a="1"/>
  <c r="AI211" i="1" s="1"/>
  <c r="AM211" i="1"/>
  <c r="AN211" i="1" s="1"/>
  <c r="P212" i="1"/>
  <c r="Q212" i="1"/>
  <c r="R212" i="1" s="1"/>
  <c r="AI212" i="1" a="1"/>
  <c r="AI212" i="1" s="1"/>
  <c r="AM212" i="1"/>
  <c r="AN212" i="1" s="1"/>
  <c r="AD213" i="1"/>
  <c r="P213" i="1"/>
  <c r="Q213" i="1"/>
  <c r="R213" i="1" s="1"/>
  <c r="AI213" i="1" a="1"/>
  <c r="AI213" i="1" s="1"/>
  <c r="AM213" i="1"/>
  <c r="AN213" i="1" s="1"/>
  <c r="P214" i="1"/>
  <c r="Q214" i="1"/>
  <c r="R214" i="1" s="1"/>
  <c r="AI214" i="1" a="1"/>
  <c r="AI214" i="1" s="1"/>
  <c r="AM214" i="1"/>
  <c r="AN214" i="1" s="1"/>
  <c r="P215" i="1"/>
  <c r="Q215" i="1"/>
  <c r="R215" i="1" s="1"/>
  <c r="AI215" i="1" a="1"/>
  <c r="AI215" i="1" s="1"/>
  <c r="AM215" i="1"/>
  <c r="AN215" i="1" s="1"/>
  <c r="AD216" i="1"/>
  <c r="P216" i="1"/>
  <c r="Q216" i="1"/>
  <c r="R216" i="1" s="1"/>
  <c r="AI216" i="1" a="1"/>
  <c r="AI216" i="1" s="1"/>
  <c r="AM216" i="1"/>
  <c r="AN216" i="1" s="1"/>
  <c r="AD217" i="1"/>
  <c r="P217" i="1"/>
  <c r="Q217" i="1"/>
  <c r="R217" i="1" s="1"/>
  <c r="AI217" i="1" a="1"/>
  <c r="AI217" i="1" s="1"/>
  <c r="AM217" i="1"/>
  <c r="AN217" i="1" s="1"/>
  <c r="AD218" i="1"/>
  <c r="P218" i="1"/>
  <c r="Q218" i="1"/>
  <c r="R218" i="1" s="1"/>
  <c r="AI218" i="1" a="1"/>
  <c r="AI218" i="1" s="1"/>
  <c r="AM218" i="1"/>
  <c r="AN218" i="1" s="1"/>
  <c r="AD219" i="1"/>
  <c r="P219" i="1"/>
  <c r="Q219" i="1"/>
  <c r="R219" i="1" s="1"/>
  <c r="AI219" i="1" a="1"/>
  <c r="AI219" i="1" s="1"/>
  <c r="AM219" i="1"/>
  <c r="AN219" i="1" s="1"/>
  <c r="W220" i="1"/>
  <c r="V220" i="1" s="1"/>
  <c r="P220" i="1"/>
  <c r="Q220" i="1"/>
  <c r="R220" i="1" s="1"/>
  <c r="AI220" i="1" a="1"/>
  <c r="AI220" i="1" s="1"/>
  <c r="AM220" i="1"/>
  <c r="AN220" i="1" s="1"/>
  <c r="AD221" i="1"/>
  <c r="P221" i="1"/>
  <c r="Q221" i="1"/>
  <c r="R221" i="1" s="1"/>
  <c r="AI221" i="1" a="1"/>
  <c r="AI221" i="1" s="1"/>
  <c r="AM221" i="1"/>
  <c r="AN221" i="1" s="1"/>
  <c r="W222" i="1"/>
  <c r="P222" i="1"/>
  <c r="Q222" i="1"/>
  <c r="R222" i="1" s="1"/>
  <c r="AI222" i="1" a="1"/>
  <c r="AI222" i="1" s="1"/>
  <c r="AM222" i="1"/>
  <c r="AN222" i="1" s="1"/>
  <c r="P223" i="1"/>
  <c r="Q223" i="1"/>
  <c r="R223" i="1" s="1"/>
  <c r="AI223" i="1" a="1"/>
  <c r="AI223" i="1" s="1"/>
  <c r="AM223" i="1"/>
  <c r="AN223" i="1" s="1"/>
  <c r="AD224" i="1"/>
  <c r="P224" i="1"/>
  <c r="Q224" i="1"/>
  <c r="R224" i="1" s="1"/>
  <c r="AI224" i="1" a="1"/>
  <c r="AI224" i="1" s="1"/>
  <c r="AM224" i="1"/>
  <c r="AN224" i="1" s="1"/>
  <c r="AD225" i="1"/>
  <c r="P225" i="1"/>
  <c r="Q225" i="1"/>
  <c r="R225" i="1" s="1"/>
  <c r="AI225" i="1" a="1"/>
  <c r="AI225" i="1" s="1"/>
  <c r="AM225" i="1"/>
  <c r="AN225" i="1" s="1"/>
  <c r="AD226" i="1"/>
  <c r="P226" i="1"/>
  <c r="Q226" i="1"/>
  <c r="R226" i="1" s="1"/>
  <c r="AI226" i="1" a="1"/>
  <c r="AI226" i="1" s="1"/>
  <c r="AM226" i="1"/>
  <c r="AN226" i="1" s="1"/>
  <c r="P227" i="1"/>
  <c r="Q227" i="1"/>
  <c r="R227" i="1" s="1"/>
  <c r="AI227" i="1" a="1"/>
  <c r="AI227" i="1" s="1"/>
  <c r="AM227" i="1"/>
  <c r="AN227" i="1" s="1"/>
  <c r="P228" i="1"/>
  <c r="Q228" i="1"/>
  <c r="R228" i="1" s="1"/>
  <c r="AI228" i="1" a="1"/>
  <c r="AI228" i="1" s="1"/>
  <c r="AM228" i="1"/>
  <c r="AN228" i="1" s="1"/>
  <c r="W229" i="1"/>
  <c r="P229" i="1"/>
  <c r="Q229" i="1"/>
  <c r="R229" i="1" s="1"/>
  <c r="AI229" i="1" a="1"/>
  <c r="AI229" i="1" s="1"/>
  <c r="AM229" i="1"/>
  <c r="AN229" i="1" s="1"/>
  <c r="P230" i="1"/>
  <c r="Q230" i="1"/>
  <c r="R230" i="1" s="1"/>
  <c r="AI230" i="1" a="1"/>
  <c r="AI230" i="1" s="1"/>
  <c r="AM230" i="1"/>
  <c r="AN230" i="1" s="1"/>
  <c r="AD231" i="1"/>
  <c r="P231" i="1"/>
  <c r="Q231" i="1"/>
  <c r="R231" i="1" s="1"/>
  <c r="AI231" i="1" a="1"/>
  <c r="AI231" i="1" s="1"/>
  <c r="AM231" i="1"/>
  <c r="AN231" i="1" s="1"/>
  <c r="P232" i="1"/>
  <c r="Q232" i="1"/>
  <c r="R232" i="1" s="1"/>
  <c r="AI232" i="1" a="1"/>
  <c r="AI232" i="1" s="1"/>
  <c r="AM232" i="1"/>
  <c r="AN232" i="1" s="1"/>
  <c r="W233" i="1"/>
  <c r="P233" i="1"/>
  <c r="Q233" i="1"/>
  <c r="R233" i="1" s="1"/>
  <c r="AI233" i="1" a="1"/>
  <c r="AI233" i="1" s="1"/>
  <c r="AM233" i="1"/>
  <c r="AN233" i="1" s="1"/>
  <c r="W234" i="1"/>
  <c r="AX234" i="1" s="1"/>
  <c r="P234" i="1"/>
  <c r="Q234" i="1"/>
  <c r="R234" i="1" s="1"/>
  <c r="AI234" i="1" a="1"/>
  <c r="AI234" i="1" s="1"/>
  <c r="AM234" i="1"/>
  <c r="AN234" i="1" s="1"/>
  <c r="P235" i="1"/>
  <c r="Q235" i="1"/>
  <c r="R235" i="1" s="1"/>
  <c r="AI235" i="1" a="1"/>
  <c r="AI235" i="1" s="1"/>
  <c r="AM235" i="1"/>
  <c r="AN235" i="1" s="1"/>
  <c r="AD236" i="1"/>
  <c r="P236" i="1"/>
  <c r="Q236" i="1"/>
  <c r="R236" i="1" s="1"/>
  <c r="AI236" i="1" a="1"/>
  <c r="AI236" i="1" s="1"/>
  <c r="AM236" i="1"/>
  <c r="AN236" i="1" s="1"/>
  <c r="AD237" i="1"/>
  <c r="P237" i="1"/>
  <c r="Q237" i="1"/>
  <c r="R237" i="1" s="1"/>
  <c r="AI237" i="1" a="1"/>
  <c r="AI237" i="1" s="1"/>
  <c r="AM237" i="1"/>
  <c r="AN237" i="1" s="1"/>
  <c r="AD238" i="1"/>
  <c r="P238" i="1"/>
  <c r="Q238" i="1"/>
  <c r="R238" i="1" s="1"/>
  <c r="AI238" i="1" a="1"/>
  <c r="AI238" i="1" s="1"/>
  <c r="AM238" i="1"/>
  <c r="AN238" i="1" s="1"/>
  <c r="AD239" i="1"/>
  <c r="P239" i="1"/>
  <c r="Q239" i="1"/>
  <c r="R239" i="1" s="1"/>
  <c r="AI239" i="1" a="1"/>
  <c r="AI239" i="1" s="1"/>
  <c r="AM239" i="1"/>
  <c r="AN239" i="1" s="1"/>
  <c r="AD240" i="1"/>
  <c r="P240" i="1"/>
  <c r="Q240" i="1"/>
  <c r="R240" i="1" s="1"/>
  <c r="AI240" i="1" a="1"/>
  <c r="AI240" i="1" s="1"/>
  <c r="AM240" i="1"/>
  <c r="AN240" i="1" s="1"/>
  <c r="P241" i="1"/>
  <c r="Q241" i="1"/>
  <c r="R241" i="1" s="1"/>
  <c r="AI241" i="1" a="1"/>
  <c r="AI241" i="1" s="1"/>
  <c r="AM241" i="1"/>
  <c r="AN241" i="1" s="1"/>
  <c r="P242" i="1"/>
  <c r="Q242" i="1"/>
  <c r="R242" i="1" s="1"/>
  <c r="AI242" i="1" a="1"/>
  <c r="AI242" i="1" s="1"/>
  <c r="AM242" i="1"/>
  <c r="AN242" i="1" s="1"/>
  <c r="AD243" i="1"/>
  <c r="P243" i="1"/>
  <c r="Q243" i="1"/>
  <c r="R243" i="1" s="1"/>
  <c r="AI243" i="1" a="1"/>
  <c r="AI243" i="1" s="1"/>
  <c r="AM243" i="1"/>
  <c r="AN243" i="1" s="1"/>
  <c r="AD244" i="1"/>
  <c r="P244" i="1"/>
  <c r="Q244" i="1"/>
  <c r="R244" i="1" s="1"/>
  <c r="AI244" i="1" a="1"/>
  <c r="AI244" i="1" s="1"/>
  <c r="AM244" i="1"/>
  <c r="AN244" i="1" s="1"/>
  <c r="AD245" i="1"/>
  <c r="P245" i="1"/>
  <c r="Q245" i="1"/>
  <c r="R245" i="1" s="1"/>
  <c r="AI245" i="1" a="1"/>
  <c r="AI245" i="1" s="1"/>
  <c r="AM245" i="1"/>
  <c r="AN245" i="1" s="1"/>
  <c r="AD246" i="1"/>
  <c r="P246" i="1"/>
  <c r="Q246" i="1"/>
  <c r="R246" i="1" s="1"/>
  <c r="AI246" i="1" a="1"/>
  <c r="AI246" i="1" s="1"/>
  <c r="AM246" i="1"/>
  <c r="AN246" i="1" s="1"/>
  <c r="W247" i="1"/>
  <c r="P247" i="1"/>
  <c r="Q247" i="1"/>
  <c r="R247" i="1" s="1"/>
  <c r="AI247" i="1" a="1"/>
  <c r="AI247" i="1" s="1"/>
  <c r="AM247" i="1"/>
  <c r="AN247" i="1" s="1"/>
  <c r="AD248" i="1"/>
  <c r="P248" i="1"/>
  <c r="Q248" i="1"/>
  <c r="R248" i="1" s="1"/>
  <c r="AI248" i="1" a="1"/>
  <c r="AI248" i="1" s="1"/>
  <c r="AM248" i="1"/>
  <c r="AN248" i="1" s="1"/>
  <c r="P249" i="1"/>
  <c r="Q249" i="1"/>
  <c r="R249" i="1" s="1"/>
  <c r="AI249" i="1" a="1"/>
  <c r="AI249" i="1" s="1"/>
  <c r="AM249" i="1"/>
  <c r="AN249" i="1" s="1"/>
  <c r="AD250" i="1"/>
  <c r="P250" i="1"/>
  <c r="Q250" i="1"/>
  <c r="R250" i="1" s="1"/>
  <c r="AI250" i="1" a="1"/>
  <c r="AI250" i="1" s="1"/>
  <c r="AM250" i="1"/>
  <c r="AN250" i="1" s="1"/>
  <c r="P251" i="1"/>
  <c r="Q251" i="1"/>
  <c r="R251" i="1" s="1"/>
  <c r="AI251" i="1" a="1"/>
  <c r="AI251" i="1" s="1"/>
  <c r="AM251" i="1"/>
  <c r="AN251" i="1" s="1"/>
  <c r="AD252" i="1"/>
  <c r="P252" i="1"/>
  <c r="Q252" i="1"/>
  <c r="R252" i="1" s="1"/>
  <c r="AI252" i="1" a="1"/>
  <c r="AI252" i="1" s="1"/>
  <c r="AM252" i="1"/>
  <c r="AN252" i="1" s="1"/>
  <c r="P253" i="1"/>
  <c r="Q253" i="1"/>
  <c r="R253" i="1" s="1"/>
  <c r="AI253" i="1" a="1"/>
  <c r="AI253" i="1" s="1"/>
  <c r="AM253" i="1"/>
  <c r="AN253" i="1" s="1"/>
  <c r="P254" i="1"/>
  <c r="Q254" i="1"/>
  <c r="R254" i="1" s="1"/>
  <c r="AI254" i="1" a="1"/>
  <c r="AI254" i="1" s="1"/>
  <c r="AM254" i="1"/>
  <c r="AN254" i="1" s="1"/>
  <c r="AD255" i="1"/>
  <c r="P255" i="1"/>
  <c r="Q255" i="1"/>
  <c r="R255" i="1" s="1"/>
  <c r="AI255" i="1" a="1"/>
  <c r="AI255" i="1" s="1"/>
  <c r="AM255" i="1"/>
  <c r="AN255" i="1" s="1"/>
  <c r="W256" i="1"/>
  <c r="V256" i="1" s="1"/>
  <c r="P256" i="1"/>
  <c r="Q256" i="1"/>
  <c r="R256" i="1" s="1"/>
  <c r="AI256" i="1" a="1"/>
  <c r="AI256" i="1" s="1"/>
  <c r="AM256" i="1"/>
  <c r="AN256" i="1" s="1"/>
  <c r="AD257" i="1"/>
  <c r="P257" i="1"/>
  <c r="Q257" i="1"/>
  <c r="R257" i="1" s="1"/>
  <c r="AI257" i="1" a="1"/>
  <c r="AI257" i="1" s="1"/>
  <c r="AM257" i="1"/>
  <c r="AN257" i="1" s="1"/>
  <c r="P258" i="1"/>
  <c r="Q258" i="1"/>
  <c r="R258" i="1" s="1"/>
  <c r="AI258" i="1" a="1"/>
  <c r="AI258" i="1" s="1"/>
  <c r="AM258" i="1"/>
  <c r="AN258" i="1" s="1"/>
  <c r="P259" i="1"/>
  <c r="Q259" i="1"/>
  <c r="R259" i="1" s="1"/>
  <c r="AI259" i="1" a="1"/>
  <c r="AI259" i="1" s="1"/>
  <c r="AM259" i="1"/>
  <c r="AN259" i="1" s="1"/>
  <c r="W260" i="1"/>
  <c r="P260" i="1"/>
  <c r="Q260" i="1"/>
  <c r="R260" i="1" s="1"/>
  <c r="AI260" i="1" a="1"/>
  <c r="AI260" i="1" s="1"/>
  <c r="AM260" i="1"/>
  <c r="AN260" i="1" s="1"/>
  <c r="P261" i="1"/>
  <c r="Q261" i="1"/>
  <c r="R261" i="1" s="1"/>
  <c r="AI261" i="1" a="1"/>
  <c r="AI261" i="1" s="1"/>
  <c r="AM261" i="1"/>
  <c r="AN261" i="1" s="1"/>
  <c r="AD262" i="1"/>
  <c r="P262" i="1"/>
  <c r="Q262" i="1"/>
  <c r="R262" i="1" s="1"/>
  <c r="AI262" i="1" a="1"/>
  <c r="AI262" i="1" s="1"/>
  <c r="AM262" i="1"/>
  <c r="AN262" i="1" s="1"/>
  <c r="AD263" i="1"/>
  <c r="P263" i="1"/>
  <c r="Q263" i="1"/>
  <c r="R263" i="1" s="1"/>
  <c r="AI263" i="1" a="1"/>
  <c r="AI263" i="1" s="1"/>
  <c r="AM263" i="1"/>
  <c r="AN263" i="1" s="1"/>
  <c r="AD264" i="1"/>
  <c r="P264" i="1"/>
  <c r="Q264" i="1"/>
  <c r="R264" i="1" s="1"/>
  <c r="AI264" i="1" a="1"/>
  <c r="AI264" i="1" s="1"/>
  <c r="AM264" i="1"/>
  <c r="AN264" i="1" s="1"/>
  <c r="W265" i="1"/>
  <c r="AX265" i="1" s="1"/>
  <c r="P265" i="1"/>
  <c r="Q265" i="1"/>
  <c r="R265" i="1" s="1"/>
  <c r="AI265" i="1" a="1"/>
  <c r="AI265" i="1" s="1"/>
  <c r="AM265" i="1"/>
  <c r="AN265" i="1" s="1"/>
  <c r="W266" i="1"/>
  <c r="V266" i="1" s="1"/>
  <c r="P266" i="1"/>
  <c r="Q266" i="1"/>
  <c r="R266" i="1" s="1"/>
  <c r="AI266" i="1" a="1"/>
  <c r="AI266" i="1" s="1"/>
  <c r="AM266" i="1"/>
  <c r="AN266" i="1" s="1"/>
  <c r="P267" i="1"/>
  <c r="Q267" i="1"/>
  <c r="R267" i="1" s="1"/>
  <c r="AI267" i="1" a="1"/>
  <c r="AI267" i="1" s="1"/>
  <c r="AM267" i="1"/>
  <c r="AN267" i="1" s="1"/>
  <c r="W268" i="1"/>
  <c r="P268" i="1"/>
  <c r="Q268" i="1"/>
  <c r="R268" i="1" s="1"/>
  <c r="AI268" i="1" a="1"/>
  <c r="AI268" i="1" s="1"/>
  <c r="AM268" i="1"/>
  <c r="AN268" i="1" s="1"/>
  <c r="W269" i="1"/>
  <c r="P269" i="1"/>
  <c r="Q269" i="1"/>
  <c r="R269" i="1" s="1"/>
  <c r="AI269" i="1" a="1"/>
  <c r="AI269" i="1" s="1"/>
  <c r="AM269" i="1"/>
  <c r="AN269" i="1" s="1"/>
  <c r="P270" i="1"/>
  <c r="Q270" i="1"/>
  <c r="R270" i="1" s="1"/>
  <c r="AI270" i="1" a="1"/>
  <c r="AI270" i="1" s="1"/>
  <c r="AM270" i="1"/>
  <c r="AN270" i="1" s="1"/>
  <c r="AD271" i="1"/>
  <c r="P271" i="1"/>
  <c r="Q271" i="1"/>
  <c r="R271" i="1" s="1"/>
  <c r="AI271" i="1" a="1"/>
  <c r="AI271" i="1" s="1"/>
  <c r="AM271" i="1"/>
  <c r="AN271" i="1" s="1"/>
  <c r="P272" i="1"/>
  <c r="Q272" i="1"/>
  <c r="R272" i="1" s="1"/>
  <c r="AI272" i="1" a="1"/>
  <c r="AI272" i="1" s="1"/>
  <c r="AM272" i="1"/>
  <c r="AN272" i="1" s="1"/>
  <c r="AD273" i="1"/>
  <c r="P273" i="1"/>
  <c r="Q273" i="1"/>
  <c r="R273" i="1" s="1"/>
  <c r="AI273" i="1" a="1"/>
  <c r="AI273" i="1" s="1"/>
  <c r="AM273" i="1"/>
  <c r="AN273" i="1" s="1"/>
  <c r="AD274" i="1"/>
  <c r="P274" i="1"/>
  <c r="Q274" i="1"/>
  <c r="R274" i="1" s="1"/>
  <c r="AI274" i="1" a="1"/>
  <c r="AI274" i="1" s="1"/>
  <c r="AM274" i="1"/>
  <c r="AN274" i="1" s="1"/>
  <c r="AD275" i="1"/>
  <c r="P275" i="1"/>
  <c r="Q275" i="1"/>
  <c r="R275" i="1" s="1"/>
  <c r="AI275" i="1" a="1"/>
  <c r="AI275" i="1" s="1"/>
  <c r="AM275" i="1"/>
  <c r="AN275" i="1" s="1"/>
  <c r="W276" i="1"/>
  <c r="P276" i="1"/>
  <c r="Q276" i="1"/>
  <c r="R276" i="1" s="1"/>
  <c r="AI276" i="1" a="1"/>
  <c r="AI276" i="1" s="1"/>
  <c r="AM276" i="1"/>
  <c r="AN276" i="1" s="1"/>
  <c r="AD277" i="1"/>
  <c r="P277" i="1"/>
  <c r="Q277" i="1"/>
  <c r="R277" i="1" s="1"/>
  <c r="AI277" i="1" a="1"/>
  <c r="AI277" i="1" s="1"/>
  <c r="AM277" i="1"/>
  <c r="AN277" i="1" s="1"/>
  <c r="P278" i="1"/>
  <c r="Q278" i="1"/>
  <c r="R278" i="1" s="1"/>
  <c r="AI278" i="1" a="1"/>
  <c r="AI278" i="1" s="1"/>
  <c r="AM278" i="1"/>
  <c r="AN278" i="1" s="1"/>
  <c r="P279" i="1"/>
  <c r="Q279" i="1"/>
  <c r="R279" i="1" s="1"/>
  <c r="AI279" i="1" a="1"/>
  <c r="AI279" i="1" s="1"/>
  <c r="AM279" i="1"/>
  <c r="AN279" i="1" s="1"/>
  <c r="P280" i="1"/>
  <c r="Q280" i="1"/>
  <c r="R280" i="1" s="1"/>
  <c r="AI280" i="1" a="1"/>
  <c r="AI280" i="1" s="1"/>
  <c r="AM280" i="1"/>
  <c r="AN280" i="1" s="1"/>
  <c r="W281" i="1"/>
  <c r="A281" i="1" s="1"/>
  <c r="P281" i="1"/>
  <c r="Q281" i="1"/>
  <c r="R281" i="1" s="1"/>
  <c r="AI281" i="1" a="1"/>
  <c r="AI281" i="1" s="1"/>
  <c r="AM281" i="1"/>
  <c r="AN281" i="1" s="1"/>
  <c r="AD282" i="1"/>
  <c r="P282" i="1"/>
  <c r="Q282" i="1"/>
  <c r="R282" i="1" s="1"/>
  <c r="AI282" i="1" a="1"/>
  <c r="AI282" i="1" s="1"/>
  <c r="AM282" i="1"/>
  <c r="AN282" i="1" s="1"/>
  <c r="AD283" i="1"/>
  <c r="P283" i="1"/>
  <c r="Q283" i="1"/>
  <c r="R283" i="1" s="1"/>
  <c r="AI283" i="1" a="1"/>
  <c r="AI283" i="1" s="1"/>
  <c r="AM283" i="1"/>
  <c r="AN283" i="1" s="1"/>
  <c r="AD284" i="1"/>
  <c r="P284" i="1"/>
  <c r="Q284" i="1"/>
  <c r="R284" i="1" s="1"/>
  <c r="AI284" i="1" a="1"/>
  <c r="AI284" i="1" s="1"/>
  <c r="AM284" i="1"/>
  <c r="AN284" i="1" s="1"/>
  <c r="AD285" i="1"/>
  <c r="P285" i="1"/>
  <c r="Q285" i="1"/>
  <c r="R285" i="1" s="1"/>
  <c r="AI285" i="1" a="1"/>
  <c r="AI285" i="1" s="1"/>
  <c r="AM285" i="1"/>
  <c r="AN285" i="1" s="1"/>
  <c r="W286" i="1"/>
  <c r="A286" i="1" s="1"/>
  <c r="P286" i="1"/>
  <c r="Q286" i="1"/>
  <c r="R286" i="1" s="1"/>
  <c r="AI286" i="1" a="1"/>
  <c r="AI286" i="1" s="1"/>
  <c r="AM286" i="1"/>
  <c r="AN286" i="1" s="1"/>
  <c r="AD287" i="1"/>
  <c r="P287" i="1"/>
  <c r="Q287" i="1"/>
  <c r="R287" i="1" s="1"/>
  <c r="AI287" i="1" a="1"/>
  <c r="AI287" i="1" s="1"/>
  <c r="AM287" i="1"/>
  <c r="AN287" i="1" s="1"/>
  <c r="P288" i="1"/>
  <c r="Q288" i="1"/>
  <c r="R288" i="1" s="1"/>
  <c r="AI288" i="1" a="1"/>
  <c r="AI288" i="1" s="1"/>
  <c r="AM288" i="1"/>
  <c r="AN288" i="1" s="1"/>
  <c r="AD289" i="1"/>
  <c r="P289" i="1"/>
  <c r="Q289" i="1"/>
  <c r="R289" i="1" s="1"/>
  <c r="AI289" i="1" a="1"/>
  <c r="AI289" i="1" s="1"/>
  <c r="AM289" i="1"/>
  <c r="AN289" i="1" s="1"/>
  <c r="P290" i="1"/>
  <c r="Q290" i="1"/>
  <c r="R290" i="1" s="1"/>
  <c r="AI290" i="1" a="1"/>
  <c r="AI290" i="1" s="1"/>
  <c r="AM290" i="1"/>
  <c r="AN290" i="1" s="1"/>
  <c r="AD291" i="1"/>
  <c r="P291" i="1"/>
  <c r="Q291" i="1"/>
  <c r="R291" i="1" s="1"/>
  <c r="AI291" i="1" a="1"/>
  <c r="AI291" i="1" s="1"/>
  <c r="AM291" i="1"/>
  <c r="AN291" i="1" s="1"/>
  <c r="AD292" i="1"/>
  <c r="P292" i="1"/>
  <c r="Q292" i="1"/>
  <c r="R292" i="1" s="1"/>
  <c r="AI292" i="1" a="1"/>
  <c r="AI292" i="1" s="1"/>
  <c r="AM292" i="1"/>
  <c r="AN292" i="1" s="1"/>
  <c r="W293" i="1"/>
  <c r="AX293" i="1" s="1"/>
  <c r="P293" i="1"/>
  <c r="Q293" i="1"/>
  <c r="R293" i="1" s="1"/>
  <c r="AI293" i="1" a="1"/>
  <c r="AI293" i="1" s="1"/>
  <c r="AM293" i="1"/>
  <c r="AN293" i="1" s="1"/>
  <c r="AD294" i="1"/>
  <c r="P294" i="1"/>
  <c r="Q294" i="1"/>
  <c r="R294" i="1" s="1"/>
  <c r="AI294" i="1" a="1"/>
  <c r="AI294" i="1" s="1"/>
  <c r="AM294" i="1"/>
  <c r="AN294" i="1" s="1"/>
  <c r="W295" i="1"/>
  <c r="P295" i="1"/>
  <c r="Q295" i="1"/>
  <c r="R295" i="1" s="1"/>
  <c r="AI295" i="1" a="1"/>
  <c r="AI295" i="1" s="1"/>
  <c r="AM295" i="1"/>
  <c r="AN295" i="1" s="1"/>
  <c r="AD296" i="1"/>
  <c r="P296" i="1"/>
  <c r="Q296" i="1"/>
  <c r="R296" i="1" s="1"/>
  <c r="AI296" i="1" a="1"/>
  <c r="AI296" i="1" s="1"/>
  <c r="AM296" i="1"/>
  <c r="AN296" i="1" s="1"/>
  <c r="P297" i="1"/>
  <c r="Q297" i="1"/>
  <c r="R297" i="1" s="1"/>
  <c r="AI297" i="1" a="1"/>
  <c r="AI297" i="1" s="1"/>
  <c r="AM297" i="1"/>
  <c r="AN297" i="1" s="1"/>
  <c r="AD298" i="1"/>
  <c r="P298" i="1"/>
  <c r="Q298" i="1"/>
  <c r="R298" i="1" s="1"/>
  <c r="AI298" i="1" a="1"/>
  <c r="AI298" i="1" s="1"/>
  <c r="AM298" i="1"/>
  <c r="AN298" i="1" s="1"/>
  <c r="P299" i="1"/>
  <c r="Q299" i="1"/>
  <c r="R299" i="1" s="1"/>
  <c r="AI299" i="1" a="1"/>
  <c r="AI299" i="1" s="1"/>
  <c r="AM299" i="1"/>
  <c r="AN299" i="1" s="1"/>
  <c r="W300" i="1"/>
  <c r="V300" i="1" s="1"/>
  <c r="P300" i="1"/>
  <c r="Q300" i="1"/>
  <c r="R300" i="1" s="1"/>
  <c r="AI300" i="1" a="1"/>
  <c r="AI300" i="1" s="1"/>
  <c r="AM300" i="1"/>
  <c r="AN300" i="1" s="1"/>
  <c r="AD301" i="1"/>
  <c r="P301" i="1"/>
  <c r="Q301" i="1"/>
  <c r="R301" i="1" s="1"/>
  <c r="AI301" i="1" a="1"/>
  <c r="AI301" i="1" s="1"/>
  <c r="AM301" i="1"/>
  <c r="AN301" i="1" s="1"/>
  <c r="AD302" i="1"/>
  <c r="P302" i="1"/>
  <c r="Q302" i="1"/>
  <c r="R302" i="1" s="1"/>
  <c r="AI302" i="1" a="1"/>
  <c r="AI302" i="1" s="1"/>
  <c r="AM302" i="1"/>
  <c r="AN302" i="1" s="1"/>
  <c r="P303" i="1"/>
  <c r="Q303" i="1"/>
  <c r="R303" i="1" s="1"/>
  <c r="AI303" i="1" a="1"/>
  <c r="AI303" i="1" s="1"/>
  <c r="AM303" i="1"/>
  <c r="AN303" i="1" s="1"/>
  <c r="P304" i="1"/>
  <c r="Q304" i="1"/>
  <c r="R304" i="1" s="1"/>
  <c r="AI304" i="1" a="1"/>
  <c r="AI304" i="1" s="1"/>
  <c r="AM304" i="1"/>
  <c r="AN304" i="1" s="1"/>
  <c r="P305" i="1"/>
  <c r="Q305" i="1"/>
  <c r="R305" i="1" s="1"/>
  <c r="AI305" i="1" a="1"/>
  <c r="AI305" i="1" s="1"/>
  <c r="AM305" i="1"/>
  <c r="AN305" i="1" s="1"/>
  <c r="P306" i="1"/>
  <c r="Q306" i="1"/>
  <c r="R306" i="1" s="1"/>
  <c r="AI306" i="1" a="1"/>
  <c r="AI306" i="1" s="1"/>
  <c r="AM306" i="1"/>
  <c r="AN306" i="1" s="1"/>
  <c r="P307" i="1"/>
  <c r="Q307" i="1"/>
  <c r="R307" i="1" s="1"/>
  <c r="AI307" i="1" a="1"/>
  <c r="AI307" i="1" s="1"/>
  <c r="AM307" i="1"/>
  <c r="AN307" i="1" s="1"/>
  <c r="AD308" i="1"/>
  <c r="P308" i="1"/>
  <c r="Q308" i="1"/>
  <c r="R308" i="1" s="1"/>
  <c r="AI308" i="1" a="1"/>
  <c r="AI308" i="1" s="1"/>
  <c r="AM308" i="1"/>
  <c r="AN308" i="1" s="1"/>
  <c r="AD309" i="1"/>
  <c r="P309" i="1"/>
  <c r="Q309" i="1"/>
  <c r="R309" i="1" s="1"/>
  <c r="AI309" i="1" a="1"/>
  <c r="AI309" i="1" s="1"/>
  <c r="AM309" i="1"/>
  <c r="AN309" i="1" s="1"/>
  <c r="AD310" i="1"/>
  <c r="P310" i="1"/>
  <c r="Q310" i="1"/>
  <c r="R310" i="1" s="1"/>
  <c r="AI310" i="1" a="1"/>
  <c r="AI310" i="1" s="1"/>
  <c r="AM310" i="1"/>
  <c r="AN310" i="1" s="1"/>
  <c r="P311" i="1"/>
  <c r="Q311" i="1"/>
  <c r="R311" i="1" s="1"/>
  <c r="AI311" i="1" a="1"/>
  <c r="AI311" i="1" s="1"/>
  <c r="AM311" i="1"/>
  <c r="AN311" i="1" s="1"/>
  <c r="P312" i="1"/>
  <c r="Q312" i="1"/>
  <c r="R312" i="1" s="1"/>
  <c r="AI312" i="1" a="1"/>
  <c r="AI312" i="1" s="1"/>
  <c r="AM312" i="1"/>
  <c r="AN312" i="1" s="1"/>
  <c r="P313" i="1"/>
  <c r="Q313" i="1"/>
  <c r="R313" i="1" s="1"/>
  <c r="AI313" i="1" a="1"/>
  <c r="AI313" i="1" s="1"/>
  <c r="AM313" i="1"/>
  <c r="AN313" i="1" s="1"/>
  <c r="AD314" i="1"/>
  <c r="P314" i="1"/>
  <c r="Q314" i="1"/>
  <c r="R314" i="1" s="1"/>
  <c r="AI314" i="1" a="1"/>
  <c r="AI314" i="1" s="1"/>
  <c r="AM314" i="1"/>
  <c r="AN314" i="1" s="1"/>
  <c r="P315" i="1"/>
  <c r="Q315" i="1"/>
  <c r="R315" i="1" s="1"/>
  <c r="AI315" i="1" a="1"/>
  <c r="AI315" i="1" s="1"/>
  <c r="AM315" i="1"/>
  <c r="AN315" i="1" s="1"/>
  <c r="AD316" i="1"/>
  <c r="P316" i="1"/>
  <c r="Q316" i="1"/>
  <c r="R316" i="1" s="1"/>
  <c r="AI316" i="1" a="1"/>
  <c r="AI316" i="1" s="1"/>
  <c r="AM316" i="1"/>
  <c r="AN316" i="1" s="1"/>
  <c r="W317" i="1"/>
  <c r="V317" i="1" s="1"/>
  <c r="P317" i="1"/>
  <c r="Q317" i="1"/>
  <c r="R317" i="1" s="1"/>
  <c r="AI317" i="1" a="1"/>
  <c r="AI317" i="1" s="1"/>
  <c r="AM317" i="1"/>
  <c r="AN317" i="1" s="1"/>
  <c r="P318" i="1"/>
  <c r="Q318" i="1"/>
  <c r="R318" i="1" s="1"/>
  <c r="AI318" i="1" a="1"/>
  <c r="AI318" i="1" s="1"/>
  <c r="AM318" i="1"/>
  <c r="AN318" i="1" s="1"/>
  <c r="P319" i="1"/>
  <c r="Q319" i="1"/>
  <c r="R319" i="1" s="1"/>
  <c r="AI319" i="1" a="1"/>
  <c r="AI319" i="1" s="1"/>
  <c r="AM319" i="1"/>
  <c r="AN319" i="1" s="1"/>
  <c r="AD320" i="1"/>
  <c r="P320" i="1"/>
  <c r="Q320" i="1"/>
  <c r="R320" i="1" s="1"/>
  <c r="AI320" i="1" a="1"/>
  <c r="AI320" i="1" s="1"/>
  <c r="AM320" i="1"/>
  <c r="AN320" i="1" s="1"/>
  <c r="AD321" i="1"/>
  <c r="P321" i="1"/>
  <c r="Q321" i="1"/>
  <c r="R321" i="1" s="1"/>
  <c r="AI321" i="1" a="1"/>
  <c r="AI321" i="1" s="1"/>
  <c r="AM321" i="1"/>
  <c r="AN321" i="1" s="1"/>
  <c r="AD322" i="1"/>
  <c r="P322" i="1"/>
  <c r="Q322" i="1"/>
  <c r="R322" i="1" s="1"/>
  <c r="AI322" i="1" a="1"/>
  <c r="AI322" i="1" s="1"/>
  <c r="AM322" i="1"/>
  <c r="AN322" i="1" s="1"/>
  <c r="P323" i="1"/>
  <c r="Q323" i="1"/>
  <c r="R323" i="1" s="1"/>
  <c r="AI323" i="1" a="1"/>
  <c r="AI323" i="1" s="1"/>
  <c r="AM323" i="1"/>
  <c r="AN323" i="1" s="1"/>
  <c r="AD324" i="1"/>
  <c r="P324" i="1"/>
  <c r="Q324" i="1"/>
  <c r="R324" i="1" s="1"/>
  <c r="AI324" i="1" a="1"/>
  <c r="AI324" i="1" s="1"/>
  <c r="AM324" i="1"/>
  <c r="AN324" i="1" s="1"/>
  <c r="AD325" i="1"/>
  <c r="P325" i="1"/>
  <c r="Q325" i="1"/>
  <c r="R325" i="1" s="1"/>
  <c r="AI325" i="1" a="1"/>
  <c r="AI325" i="1" s="1"/>
  <c r="AM325" i="1"/>
  <c r="AN325" i="1" s="1"/>
  <c r="P326" i="1"/>
  <c r="Q326" i="1"/>
  <c r="R326" i="1" s="1"/>
  <c r="AI326" i="1" a="1"/>
  <c r="AI326" i="1" s="1"/>
  <c r="AM326" i="1"/>
  <c r="AN326" i="1" s="1"/>
  <c r="P327" i="1"/>
  <c r="Q327" i="1"/>
  <c r="R327" i="1" s="1"/>
  <c r="AI327" i="1" a="1"/>
  <c r="AI327" i="1" s="1"/>
  <c r="AM327" i="1"/>
  <c r="AN327" i="1" s="1"/>
  <c r="P328" i="1"/>
  <c r="Q328" i="1"/>
  <c r="R328" i="1" s="1"/>
  <c r="AI328" i="1" a="1"/>
  <c r="AI328" i="1" s="1"/>
  <c r="AM328" i="1"/>
  <c r="AN328" i="1" s="1"/>
  <c r="AD329" i="1"/>
  <c r="P329" i="1"/>
  <c r="Q329" i="1"/>
  <c r="R329" i="1" s="1"/>
  <c r="AI329" i="1" a="1"/>
  <c r="AI329" i="1" s="1"/>
  <c r="AM329" i="1"/>
  <c r="AN329" i="1" s="1"/>
  <c r="P330" i="1"/>
  <c r="Q330" i="1"/>
  <c r="R330" i="1" s="1"/>
  <c r="AI330" i="1" a="1"/>
  <c r="AI330" i="1" s="1"/>
  <c r="AM330" i="1"/>
  <c r="AN330" i="1" s="1"/>
  <c r="AD331" i="1"/>
  <c r="P331" i="1"/>
  <c r="Q331" i="1"/>
  <c r="R331" i="1" s="1"/>
  <c r="AI331" i="1" a="1"/>
  <c r="AI331" i="1" s="1"/>
  <c r="AM331" i="1"/>
  <c r="AN331" i="1" s="1"/>
  <c r="P332" i="1"/>
  <c r="Q332" i="1"/>
  <c r="R332" i="1" s="1"/>
  <c r="AI332" i="1" a="1"/>
  <c r="AI332" i="1" s="1"/>
  <c r="AM332" i="1"/>
  <c r="AN332" i="1" s="1"/>
  <c r="P333" i="1"/>
  <c r="Q333" i="1"/>
  <c r="R333" i="1" s="1"/>
  <c r="AI333" i="1" a="1"/>
  <c r="AI333" i="1" s="1"/>
  <c r="AM333" i="1"/>
  <c r="AN333" i="1" s="1"/>
  <c r="AD334" i="1"/>
  <c r="P334" i="1"/>
  <c r="Q334" i="1"/>
  <c r="R334" i="1" s="1"/>
  <c r="AI334" i="1" a="1"/>
  <c r="AI334" i="1" s="1"/>
  <c r="AM334" i="1"/>
  <c r="AN334" i="1" s="1"/>
  <c r="AD335" i="1"/>
  <c r="P335" i="1"/>
  <c r="Q335" i="1"/>
  <c r="R335" i="1" s="1"/>
  <c r="AI335" i="1" a="1"/>
  <c r="AI335" i="1" s="1"/>
  <c r="AM335" i="1"/>
  <c r="AN335" i="1" s="1"/>
  <c r="P336" i="1"/>
  <c r="Q336" i="1"/>
  <c r="R336" i="1" s="1"/>
  <c r="AI336" i="1" a="1"/>
  <c r="AI336" i="1" s="1"/>
  <c r="AM336" i="1"/>
  <c r="AN336" i="1" s="1"/>
  <c r="AD337" i="1"/>
  <c r="P337" i="1"/>
  <c r="Q337" i="1"/>
  <c r="R337" i="1" s="1"/>
  <c r="AI337" i="1" a="1"/>
  <c r="AI337" i="1" s="1"/>
  <c r="AM337" i="1"/>
  <c r="AN337" i="1" s="1"/>
  <c r="P338" i="1"/>
  <c r="Q338" i="1"/>
  <c r="R338" i="1" s="1"/>
  <c r="AI338" i="1" a="1"/>
  <c r="AI338" i="1" s="1"/>
  <c r="AM338" i="1"/>
  <c r="AN338" i="1" s="1"/>
  <c r="W339" i="1"/>
  <c r="V339" i="1" s="1"/>
  <c r="P339" i="1"/>
  <c r="Q339" i="1"/>
  <c r="R339" i="1" s="1"/>
  <c r="AI339" i="1" a="1"/>
  <c r="AI339" i="1" s="1"/>
  <c r="AM339" i="1"/>
  <c r="AN339" i="1" s="1"/>
  <c r="AD340" i="1"/>
  <c r="P340" i="1"/>
  <c r="Q340" i="1"/>
  <c r="R340" i="1" s="1"/>
  <c r="AI340" i="1" a="1"/>
  <c r="AI340" i="1" s="1"/>
  <c r="AM340" i="1"/>
  <c r="AN340" i="1" s="1"/>
  <c r="P341" i="1"/>
  <c r="Q341" i="1"/>
  <c r="R341" i="1" s="1"/>
  <c r="AI341" i="1" a="1"/>
  <c r="AI341" i="1" s="1"/>
  <c r="AM341" i="1"/>
  <c r="AN341" i="1" s="1"/>
  <c r="AD342" i="1"/>
  <c r="P342" i="1"/>
  <c r="Q342" i="1"/>
  <c r="R342" i="1" s="1"/>
  <c r="AI342" i="1" a="1"/>
  <c r="AI342" i="1" s="1"/>
  <c r="AM342" i="1"/>
  <c r="AN342" i="1" s="1"/>
  <c r="AD343" i="1"/>
  <c r="P343" i="1"/>
  <c r="Q343" i="1"/>
  <c r="R343" i="1" s="1"/>
  <c r="AI343" i="1" a="1"/>
  <c r="AI343" i="1" s="1"/>
  <c r="AM343" i="1"/>
  <c r="AN343" i="1" s="1"/>
  <c r="W344" i="1"/>
  <c r="P344" i="1"/>
  <c r="Q344" i="1"/>
  <c r="R344" i="1" s="1"/>
  <c r="AI344" i="1" a="1"/>
  <c r="AI344" i="1" s="1"/>
  <c r="AM344" i="1"/>
  <c r="AN344" i="1" s="1"/>
  <c r="P345" i="1"/>
  <c r="Q345" i="1"/>
  <c r="R345" i="1" s="1"/>
  <c r="AI345" i="1" a="1"/>
  <c r="AI345" i="1" s="1"/>
  <c r="AM345" i="1"/>
  <c r="AN345" i="1" s="1"/>
  <c r="W346" i="1"/>
  <c r="AX346" i="1" s="1"/>
  <c r="P346" i="1"/>
  <c r="Q346" i="1"/>
  <c r="R346" i="1" s="1"/>
  <c r="AI346" i="1" a="1"/>
  <c r="AI346" i="1" s="1"/>
  <c r="AM346" i="1"/>
  <c r="AN346" i="1" s="1"/>
  <c r="P347" i="1"/>
  <c r="Q347" i="1"/>
  <c r="R347" i="1" s="1"/>
  <c r="AI347" i="1" a="1"/>
  <c r="AI347" i="1" s="1"/>
  <c r="AM347" i="1"/>
  <c r="AN347" i="1" s="1"/>
  <c r="P348" i="1"/>
  <c r="Q348" i="1"/>
  <c r="R348" i="1" s="1"/>
  <c r="AI348" i="1" a="1"/>
  <c r="AI348" i="1" s="1"/>
  <c r="AM348" i="1"/>
  <c r="AN348" i="1" s="1"/>
  <c r="AD349" i="1"/>
  <c r="P349" i="1"/>
  <c r="Q349" i="1"/>
  <c r="R349" i="1" s="1"/>
  <c r="AI349" i="1" a="1"/>
  <c r="AI349" i="1" s="1"/>
  <c r="AM349" i="1"/>
  <c r="AN349" i="1" s="1"/>
  <c r="P350" i="1"/>
  <c r="Q350" i="1"/>
  <c r="R350" i="1" s="1"/>
  <c r="AI350" i="1" a="1"/>
  <c r="AI350" i="1" s="1"/>
  <c r="AM350" i="1"/>
  <c r="AN350" i="1" s="1"/>
  <c r="AD351" i="1"/>
  <c r="P351" i="1"/>
  <c r="Q351" i="1"/>
  <c r="R351" i="1" s="1"/>
  <c r="AI351" i="1" a="1"/>
  <c r="AI351" i="1" s="1"/>
  <c r="AM351" i="1"/>
  <c r="AN351" i="1" s="1"/>
  <c r="P352" i="1"/>
  <c r="Q352" i="1"/>
  <c r="R352" i="1" s="1"/>
  <c r="AI352" i="1" a="1"/>
  <c r="AI352" i="1" s="1"/>
  <c r="AM352" i="1"/>
  <c r="AN352" i="1" s="1"/>
  <c r="P353" i="1"/>
  <c r="Q353" i="1"/>
  <c r="R353" i="1" s="1"/>
  <c r="AI353" i="1" a="1"/>
  <c r="AI353" i="1" s="1"/>
  <c r="AM353" i="1"/>
  <c r="AN353" i="1" s="1"/>
  <c r="W354" i="1"/>
  <c r="B354" i="1" s="1"/>
  <c r="P354" i="1"/>
  <c r="Q354" i="1"/>
  <c r="R354" i="1" s="1"/>
  <c r="AI354" i="1" a="1"/>
  <c r="AI354" i="1" s="1"/>
  <c r="AM354" i="1"/>
  <c r="AN354" i="1" s="1"/>
  <c r="AD355" i="1"/>
  <c r="P355" i="1"/>
  <c r="Q355" i="1"/>
  <c r="R355" i="1" s="1"/>
  <c r="AI355" i="1" a="1"/>
  <c r="AI355" i="1" s="1"/>
  <c r="AM355" i="1"/>
  <c r="AN355" i="1" s="1"/>
  <c r="AD356" i="1"/>
  <c r="P356" i="1"/>
  <c r="Q356" i="1"/>
  <c r="R356" i="1" s="1"/>
  <c r="AI356" i="1" a="1"/>
  <c r="AI356" i="1" s="1"/>
  <c r="AM356" i="1"/>
  <c r="AN356" i="1" s="1"/>
  <c r="W357" i="1"/>
  <c r="P357" i="1"/>
  <c r="Q357" i="1"/>
  <c r="R357" i="1" s="1"/>
  <c r="AI357" i="1" a="1"/>
  <c r="AI357" i="1" s="1"/>
  <c r="AM357" i="1"/>
  <c r="AN357" i="1" s="1"/>
  <c r="AD358" i="1"/>
  <c r="P358" i="1"/>
  <c r="Q358" i="1"/>
  <c r="R358" i="1" s="1"/>
  <c r="AI358" i="1" a="1"/>
  <c r="AI358" i="1" s="1"/>
  <c r="AM358" i="1"/>
  <c r="AN358" i="1" s="1"/>
  <c r="AD359" i="1"/>
  <c r="P359" i="1"/>
  <c r="Q359" i="1"/>
  <c r="R359" i="1" s="1"/>
  <c r="AI359" i="1" a="1"/>
  <c r="AI359" i="1" s="1"/>
  <c r="AM359" i="1"/>
  <c r="AN359" i="1" s="1"/>
  <c r="W360" i="1"/>
  <c r="B360" i="1" s="1"/>
  <c r="P360" i="1"/>
  <c r="Q360" i="1"/>
  <c r="R360" i="1" s="1"/>
  <c r="AI360" i="1" a="1"/>
  <c r="AI360" i="1" s="1"/>
  <c r="AM360" i="1"/>
  <c r="AN360" i="1" s="1"/>
  <c r="AD361" i="1"/>
  <c r="P361" i="1"/>
  <c r="Q361" i="1"/>
  <c r="R361" i="1" s="1"/>
  <c r="AI361" i="1" a="1"/>
  <c r="AI361" i="1" s="1"/>
  <c r="AM361" i="1"/>
  <c r="AN361" i="1" s="1"/>
  <c r="AD362" i="1"/>
  <c r="P362" i="1"/>
  <c r="Q362" i="1"/>
  <c r="R362" i="1" s="1"/>
  <c r="AI362" i="1" a="1"/>
  <c r="AI362" i="1" s="1"/>
  <c r="AM362" i="1"/>
  <c r="AN362" i="1" s="1"/>
  <c r="P363" i="1"/>
  <c r="Q363" i="1"/>
  <c r="R363" i="1" s="1"/>
  <c r="AI363" i="1" a="1"/>
  <c r="AI363" i="1" s="1"/>
  <c r="AM363" i="1"/>
  <c r="AN363" i="1" s="1"/>
  <c r="P364" i="1"/>
  <c r="Q364" i="1"/>
  <c r="R364" i="1" s="1"/>
  <c r="AI364" i="1" a="1"/>
  <c r="AI364" i="1" s="1"/>
  <c r="AM364" i="1"/>
  <c r="AN364" i="1" s="1"/>
  <c r="W365" i="1"/>
  <c r="V365" i="1" s="1"/>
  <c r="P365" i="1"/>
  <c r="Q365" i="1"/>
  <c r="R365" i="1" s="1"/>
  <c r="AI365" i="1" a="1"/>
  <c r="AI365" i="1" s="1"/>
  <c r="AM365" i="1"/>
  <c r="AN365" i="1" s="1"/>
  <c r="W366" i="1"/>
  <c r="P366" i="1"/>
  <c r="Q366" i="1"/>
  <c r="R366" i="1" s="1"/>
  <c r="AI366" i="1" a="1"/>
  <c r="AI366" i="1" s="1"/>
  <c r="AM366" i="1"/>
  <c r="AN366" i="1" s="1"/>
  <c r="W367" i="1"/>
  <c r="AX367" i="1" s="1"/>
  <c r="P367" i="1"/>
  <c r="Q367" i="1"/>
  <c r="R367" i="1" s="1"/>
  <c r="AI367" i="1" a="1"/>
  <c r="AI367" i="1" s="1"/>
  <c r="AM367" i="1"/>
  <c r="AN367" i="1" s="1"/>
  <c r="P368" i="1"/>
  <c r="Q368" i="1"/>
  <c r="R368" i="1" s="1"/>
  <c r="AI368" i="1" a="1"/>
  <c r="AI368" i="1" s="1"/>
  <c r="AM368" i="1"/>
  <c r="AN368" i="1" s="1"/>
  <c r="P369" i="1"/>
  <c r="Q369" i="1"/>
  <c r="R369" i="1" s="1"/>
  <c r="AI369" i="1" a="1"/>
  <c r="AI369" i="1" s="1"/>
  <c r="AM369" i="1"/>
  <c r="AN369" i="1" s="1"/>
  <c r="AD370" i="1"/>
  <c r="P370" i="1"/>
  <c r="Q370" i="1"/>
  <c r="R370" i="1" s="1"/>
  <c r="AI370" i="1" a="1"/>
  <c r="AI370" i="1" s="1"/>
  <c r="AM370" i="1"/>
  <c r="AN370" i="1" s="1"/>
  <c r="P371" i="1"/>
  <c r="Q371" i="1"/>
  <c r="R371" i="1" s="1"/>
  <c r="AI371" i="1" a="1"/>
  <c r="AI371" i="1" s="1"/>
  <c r="AM371" i="1"/>
  <c r="AN371" i="1" s="1"/>
  <c r="AD372" i="1"/>
  <c r="P372" i="1"/>
  <c r="Q372" i="1"/>
  <c r="R372" i="1" s="1"/>
  <c r="AI372" i="1" a="1"/>
  <c r="AI372" i="1" s="1"/>
  <c r="AM372" i="1"/>
  <c r="AN372" i="1" s="1"/>
  <c r="P373" i="1"/>
  <c r="Q373" i="1"/>
  <c r="R373" i="1" s="1"/>
  <c r="AI373" i="1" a="1"/>
  <c r="AI373" i="1" s="1"/>
  <c r="AM373" i="1"/>
  <c r="AN373" i="1" s="1"/>
  <c r="W374" i="1"/>
  <c r="P374" i="1"/>
  <c r="Q374" i="1"/>
  <c r="R374" i="1" s="1"/>
  <c r="AI374" i="1" a="1"/>
  <c r="AI374" i="1" s="1"/>
  <c r="AM374" i="1"/>
  <c r="AN374" i="1" s="1"/>
  <c r="P375" i="1"/>
  <c r="Q375" i="1"/>
  <c r="R375" i="1" s="1"/>
  <c r="AI375" i="1" a="1"/>
  <c r="AI375" i="1" s="1"/>
  <c r="AM375" i="1"/>
  <c r="AN375" i="1" s="1"/>
  <c r="P376" i="1"/>
  <c r="Q376" i="1"/>
  <c r="R376" i="1" s="1"/>
  <c r="AI376" i="1" a="1"/>
  <c r="AI376" i="1" s="1"/>
  <c r="AM376" i="1"/>
  <c r="AN376" i="1" s="1"/>
  <c r="P377" i="1"/>
  <c r="Q377" i="1"/>
  <c r="R377" i="1" s="1"/>
  <c r="AI377" i="1" a="1"/>
  <c r="AI377" i="1" s="1"/>
  <c r="AM377" i="1"/>
  <c r="AN377" i="1" s="1"/>
  <c r="P378" i="1"/>
  <c r="Q378" i="1"/>
  <c r="R378" i="1" s="1"/>
  <c r="AI378" i="1" a="1"/>
  <c r="AI378" i="1" s="1"/>
  <c r="AM378" i="1"/>
  <c r="AN378" i="1" s="1"/>
  <c r="W379" i="1"/>
  <c r="B379" i="1" s="1"/>
  <c r="P379" i="1"/>
  <c r="Q379" i="1"/>
  <c r="R379" i="1" s="1"/>
  <c r="AI379" i="1" a="1"/>
  <c r="AI379" i="1" s="1"/>
  <c r="AM379" i="1"/>
  <c r="AN379" i="1" s="1"/>
  <c r="P380" i="1"/>
  <c r="Q380" i="1"/>
  <c r="R380" i="1" s="1"/>
  <c r="AI380" i="1" a="1"/>
  <c r="AI380" i="1" s="1"/>
  <c r="AM380" i="1"/>
  <c r="AN380" i="1" s="1"/>
  <c r="P381" i="1"/>
  <c r="Q381" i="1"/>
  <c r="R381" i="1" s="1"/>
  <c r="AI381" i="1" a="1"/>
  <c r="AI381" i="1" s="1"/>
  <c r="AM381" i="1"/>
  <c r="AN381" i="1" s="1"/>
  <c r="W382" i="1"/>
  <c r="P382" i="1"/>
  <c r="Q382" i="1"/>
  <c r="R382" i="1" s="1"/>
  <c r="AI382" i="1" a="1"/>
  <c r="AI382" i="1" s="1"/>
  <c r="AM382" i="1"/>
  <c r="AN382" i="1" s="1"/>
  <c r="W383" i="1"/>
  <c r="V383" i="1" s="1"/>
  <c r="P383" i="1"/>
  <c r="Q383" i="1"/>
  <c r="R383" i="1" s="1"/>
  <c r="AI383" i="1" a="1"/>
  <c r="AI383" i="1" s="1"/>
  <c r="AM383" i="1"/>
  <c r="AN383" i="1" s="1"/>
  <c r="P384" i="1"/>
  <c r="Q384" i="1"/>
  <c r="R384" i="1" s="1"/>
  <c r="AI384" i="1" a="1"/>
  <c r="AI384" i="1" s="1"/>
  <c r="AM384" i="1"/>
  <c r="AN384" i="1" s="1"/>
  <c r="W385" i="1"/>
  <c r="P385" i="1"/>
  <c r="Q385" i="1"/>
  <c r="R385" i="1" s="1"/>
  <c r="AI385" i="1" a="1"/>
  <c r="AI385" i="1" s="1"/>
  <c r="AM385" i="1"/>
  <c r="AN385" i="1" s="1"/>
  <c r="AD386" i="1"/>
  <c r="P386" i="1"/>
  <c r="Q386" i="1"/>
  <c r="R386" i="1" s="1"/>
  <c r="AI386" i="1" a="1"/>
  <c r="AI386" i="1" s="1"/>
  <c r="AM386" i="1"/>
  <c r="AN386" i="1" s="1"/>
  <c r="AD387" i="1"/>
  <c r="P387" i="1"/>
  <c r="Q387" i="1"/>
  <c r="R387" i="1" s="1"/>
  <c r="AI387" i="1" a="1"/>
  <c r="AI387" i="1" s="1"/>
  <c r="AM387" i="1"/>
  <c r="AN387" i="1" s="1"/>
  <c r="W388" i="1"/>
  <c r="P388" i="1"/>
  <c r="Q388" i="1"/>
  <c r="R388" i="1" s="1"/>
  <c r="AI388" i="1" a="1"/>
  <c r="AI388" i="1" s="1"/>
  <c r="AM388" i="1"/>
  <c r="AN388" i="1" s="1"/>
  <c r="P389" i="1"/>
  <c r="Q389" i="1"/>
  <c r="R389" i="1" s="1"/>
  <c r="AI389" i="1" a="1"/>
  <c r="AI389" i="1" s="1"/>
  <c r="AM389" i="1"/>
  <c r="AN389" i="1" s="1"/>
  <c r="W390" i="1"/>
  <c r="P390" i="1"/>
  <c r="Q390" i="1"/>
  <c r="R390" i="1" s="1"/>
  <c r="AI390" i="1" a="1"/>
  <c r="AI390" i="1" s="1"/>
  <c r="AM390" i="1"/>
  <c r="AN390" i="1" s="1"/>
  <c r="P391" i="1"/>
  <c r="Q391" i="1"/>
  <c r="R391" i="1" s="1"/>
  <c r="AI391" i="1" a="1"/>
  <c r="AI391" i="1" s="1"/>
  <c r="AM391" i="1"/>
  <c r="AN391" i="1" s="1"/>
  <c r="P392" i="1"/>
  <c r="Q392" i="1"/>
  <c r="R392" i="1" s="1"/>
  <c r="AI392" i="1" a="1"/>
  <c r="AI392" i="1" s="1"/>
  <c r="AM392" i="1"/>
  <c r="AN392" i="1" s="1"/>
  <c r="P393" i="1"/>
  <c r="Q393" i="1"/>
  <c r="R393" i="1" s="1"/>
  <c r="AI393" i="1" a="1"/>
  <c r="AI393" i="1" s="1"/>
  <c r="AM393" i="1"/>
  <c r="AN393" i="1" s="1"/>
  <c r="W394" i="1"/>
  <c r="AX394" i="1" s="1"/>
  <c r="P394" i="1"/>
  <c r="Q394" i="1"/>
  <c r="R394" i="1" s="1"/>
  <c r="AI394" i="1" a="1"/>
  <c r="AI394" i="1" s="1"/>
  <c r="AM394" i="1"/>
  <c r="AN394" i="1" s="1"/>
  <c r="W395" i="1"/>
  <c r="V395" i="1" s="1"/>
  <c r="P395" i="1"/>
  <c r="Q395" i="1"/>
  <c r="R395" i="1" s="1"/>
  <c r="AI395" i="1" a="1"/>
  <c r="AI395" i="1" s="1"/>
  <c r="AM395" i="1"/>
  <c r="AN395" i="1" s="1"/>
  <c r="P396" i="1"/>
  <c r="Q396" i="1"/>
  <c r="R396" i="1" s="1"/>
  <c r="AI396" i="1" a="1"/>
  <c r="AI396" i="1" s="1"/>
  <c r="AM396" i="1"/>
  <c r="AN396" i="1" s="1"/>
  <c r="W397" i="1"/>
  <c r="P397" i="1"/>
  <c r="Q397" i="1"/>
  <c r="R397" i="1" s="1"/>
  <c r="AI397" i="1" a="1"/>
  <c r="AI397" i="1" s="1"/>
  <c r="AM397" i="1"/>
  <c r="AN397" i="1" s="1"/>
  <c r="W398" i="1"/>
  <c r="P398" i="1"/>
  <c r="Q398" i="1"/>
  <c r="R398" i="1" s="1"/>
  <c r="AI398" i="1" a="1"/>
  <c r="AI398" i="1" s="1"/>
  <c r="AM398" i="1"/>
  <c r="AN398" i="1" s="1"/>
  <c r="W399" i="1"/>
  <c r="P399" i="1"/>
  <c r="Q399" i="1"/>
  <c r="R399" i="1" s="1"/>
  <c r="AI399" i="1" a="1"/>
  <c r="AI399" i="1" s="1"/>
  <c r="AM399" i="1"/>
  <c r="AN399" i="1" s="1"/>
  <c r="W400" i="1"/>
  <c r="P400" i="1"/>
  <c r="Q400" i="1"/>
  <c r="R400" i="1" s="1"/>
  <c r="AI400" i="1" a="1"/>
  <c r="AI400" i="1" s="1"/>
  <c r="AM400" i="1"/>
  <c r="AN400" i="1" s="1"/>
  <c r="P401" i="1"/>
  <c r="Q401" i="1"/>
  <c r="R401" i="1" s="1"/>
  <c r="AI401" i="1" a="1"/>
  <c r="AI401" i="1" s="1"/>
  <c r="AM401" i="1"/>
  <c r="AN401" i="1" s="1"/>
  <c r="W402" i="1"/>
  <c r="P402" i="1"/>
  <c r="Q402" i="1"/>
  <c r="R402" i="1" s="1"/>
  <c r="AI402" i="1" a="1"/>
  <c r="AI402" i="1" s="1"/>
  <c r="AM402" i="1"/>
  <c r="AN402" i="1" s="1"/>
  <c r="AD403" i="1"/>
  <c r="P403" i="1"/>
  <c r="Q403" i="1"/>
  <c r="R403" i="1" s="1"/>
  <c r="AI403" i="1" a="1"/>
  <c r="AI403" i="1" s="1"/>
  <c r="AM403" i="1"/>
  <c r="AN403" i="1" s="1"/>
  <c r="P404" i="1"/>
  <c r="Q404" i="1"/>
  <c r="R404" i="1" s="1"/>
  <c r="AI404" i="1" a="1"/>
  <c r="AI404" i="1" s="1"/>
  <c r="AM404" i="1"/>
  <c r="AN404" i="1" s="1"/>
  <c r="P405" i="1"/>
  <c r="Q405" i="1"/>
  <c r="R405" i="1" s="1"/>
  <c r="AI405" i="1" a="1"/>
  <c r="AI405" i="1" s="1"/>
  <c r="AM405" i="1"/>
  <c r="AN405" i="1" s="1"/>
  <c r="P406" i="1"/>
  <c r="Q406" i="1"/>
  <c r="R406" i="1" s="1"/>
  <c r="AI406" i="1" a="1"/>
  <c r="AI406" i="1" s="1"/>
  <c r="AM406" i="1"/>
  <c r="AN406" i="1" s="1"/>
  <c r="AD407" i="1"/>
  <c r="P407" i="1"/>
  <c r="Q407" i="1"/>
  <c r="R407" i="1" s="1"/>
  <c r="AI407" i="1" a="1"/>
  <c r="AI407" i="1" s="1"/>
  <c r="AM407" i="1"/>
  <c r="AN407" i="1" s="1"/>
  <c r="AD408" i="1"/>
  <c r="P408" i="1"/>
  <c r="Q408" i="1"/>
  <c r="R408" i="1" s="1"/>
  <c r="AI408" i="1" a="1"/>
  <c r="AI408" i="1" s="1"/>
  <c r="AM408" i="1"/>
  <c r="AN408" i="1" s="1"/>
  <c r="W409" i="1"/>
  <c r="P409" i="1"/>
  <c r="Q409" i="1"/>
  <c r="R409" i="1" s="1"/>
  <c r="AI409" i="1" a="1"/>
  <c r="AI409" i="1" s="1"/>
  <c r="AM409" i="1"/>
  <c r="AN409" i="1" s="1"/>
  <c r="W410" i="1"/>
  <c r="A410" i="1" s="1"/>
  <c r="P410" i="1"/>
  <c r="Q410" i="1"/>
  <c r="R410" i="1" s="1"/>
  <c r="AI410" i="1" a="1"/>
  <c r="AI410" i="1" s="1"/>
  <c r="AM410" i="1"/>
  <c r="AN410" i="1" s="1"/>
  <c r="W411" i="1"/>
  <c r="P411" i="1"/>
  <c r="Q411" i="1"/>
  <c r="R411" i="1" s="1"/>
  <c r="AI411" i="1" a="1"/>
  <c r="AI411" i="1" s="1"/>
  <c r="AM411" i="1"/>
  <c r="AN411" i="1" s="1"/>
  <c r="W412" i="1"/>
  <c r="P412" i="1"/>
  <c r="Q412" i="1"/>
  <c r="R412" i="1" s="1"/>
  <c r="AI412" i="1" a="1"/>
  <c r="AI412" i="1" s="1"/>
  <c r="AM412" i="1"/>
  <c r="AN412" i="1" s="1"/>
  <c r="P413" i="1"/>
  <c r="Q413" i="1"/>
  <c r="R413" i="1" s="1"/>
  <c r="AI413" i="1" a="1"/>
  <c r="AI413" i="1" s="1"/>
  <c r="AM413" i="1"/>
  <c r="AN413" i="1" s="1"/>
  <c r="W414" i="1"/>
  <c r="P414" i="1"/>
  <c r="Q414" i="1"/>
  <c r="R414" i="1" s="1"/>
  <c r="AI414" i="1" a="1"/>
  <c r="AI414" i="1" s="1"/>
  <c r="AM414" i="1"/>
  <c r="AN414" i="1" s="1"/>
  <c r="AD415" i="1"/>
  <c r="P415" i="1"/>
  <c r="Q415" i="1"/>
  <c r="R415" i="1" s="1"/>
  <c r="AI415" i="1" a="1"/>
  <c r="AI415" i="1" s="1"/>
  <c r="AM415" i="1"/>
  <c r="AN415" i="1" s="1"/>
  <c r="P416" i="1"/>
  <c r="Q416" i="1"/>
  <c r="R416" i="1" s="1"/>
  <c r="AI416" i="1" a="1"/>
  <c r="AI416" i="1" s="1"/>
  <c r="AM416" i="1"/>
  <c r="AN416" i="1" s="1"/>
  <c r="P417" i="1"/>
  <c r="Q417" i="1"/>
  <c r="R417" i="1" s="1"/>
  <c r="AI417" i="1" a="1"/>
  <c r="AI417" i="1" s="1"/>
  <c r="AM417" i="1"/>
  <c r="AN417" i="1" s="1"/>
  <c r="P418" i="1"/>
  <c r="Q418" i="1"/>
  <c r="R418" i="1" s="1"/>
  <c r="AI418" i="1" a="1"/>
  <c r="AI418" i="1" s="1"/>
  <c r="AM418" i="1"/>
  <c r="AN418" i="1" s="1"/>
  <c r="P419" i="1"/>
  <c r="Q419" i="1"/>
  <c r="R419" i="1" s="1"/>
  <c r="AI419" i="1" a="1"/>
  <c r="AI419" i="1" s="1"/>
  <c r="AM419" i="1"/>
  <c r="AN419" i="1" s="1"/>
  <c r="P420" i="1"/>
  <c r="Q420" i="1"/>
  <c r="R420" i="1" s="1"/>
  <c r="AI420" i="1" a="1"/>
  <c r="AI420" i="1" s="1"/>
  <c r="AM420" i="1"/>
  <c r="AN420" i="1" s="1"/>
  <c r="W421" i="1"/>
  <c r="P421" i="1"/>
  <c r="Q421" i="1"/>
  <c r="R421" i="1" s="1"/>
  <c r="AI421" i="1" a="1"/>
  <c r="AI421" i="1" s="1"/>
  <c r="AM421" i="1"/>
  <c r="AN421" i="1" s="1"/>
  <c r="AD422" i="1"/>
  <c r="P422" i="1"/>
  <c r="Q422" i="1"/>
  <c r="R422" i="1" s="1"/>
  <c r="AI422" i="1" a="1"/>
  <c r="AI422" i="1" s="1"/>
  <c r="AM422" i="1"/>
  <c r="AN422" i="1" s="1"/>
  <c r="W423" i="1"/>
  <c r="P423" i="1"/>
  <c r="Q423" i="1"/>
  <c r="R423" i="1" s="1"/>
  <c r="AI423" i="1" a="1"/>
  <c r="AI423" i="1" s="1"/>
  <c r="AM423" i="1"/>
  <c r="AN423" i="1" s="1"/>
  <c r="W424" i="1"/>
  <c r="P424" i="1"/>
  <c r="Q424" i="1"/>
  <c r="R424" i="1" s="1"/>
  <c r="AI424" i="1" a="1"/>
  <c r="AI424" i="1" s="1"/>
  <c r="AM424" i="1"/>
  <c r="AN424" i="1" s="1"/>
  <c r="P425" i="1"/>
  <c r="Q425" i="1"/>
  <c r="R425" i="1" s="1"/>
  <c r="AI425" i="1" a="1"/>
  <c r="AI425" i="1" s="1"/>
  <c r="AM425" i="1"/>
  <c r="AN425" i="1" s="1"/>
  <c r="W426" i="1"/>
  <c r="P426" i="1"/>
  <c r="Q426" i="1"/>
  <c r="R426" i="1" s="1"/>
  <c r="AI426" i="1" a="1"/>
  <c r="AI426" i="1" s="1"/>
  <c r="AM426" i="1"/>
  <c r="AN426" i="1" s="1"/>
  <c r="AD427" i="1"/>
  <c r="P427" i="1"/>
  <c r="Q427" i="1"/>
  <c r="R427" i="1" s="1"/>
  <c r="AI427" i="1" a="1"/>
  <c r="AI427" i="1" s="1"/>
  <c r="AM427" i="1"/>
  <c r="AN427" i="1" s="1"/>
  <c r="P428" i="1"/>
  <c r="Q428" i="1"/>
  <c r="R428" i="1" s="1"/>
  <c r="AI428" i="1" a="1"/>
  <c r="AI428" i="1" s="1"/>
  <c r="AM428" i="1"/>
  <c r="AN428" i="1" s="1"/>
  <c r="P429" i="1"/>
  <c r="Q429" i="1"/>
  <c r="R429" i="1" s="1"/>
  <c r="AI429" i="1" a="1"/>
  <c r="AI429" i="1" s="1"/>
  <c r="AM429" i="1"/>
  <c r="AN429" i="1" s="1"/>
  <c r="P430" i="1"/>
  <c r="Q430" i="1"/>
  <c r="R430" i="1" s="1"/>
  <c r="AI430" i="1" a="1"/>
  <c r="AI430" i="1" s="1"/>
  <c r="AM430" i="1"/>
  <c r="AN430" i="1" s="1"/>
  <c r="P431" i="1"/>
  <c r="Q431" i="1"/>
  <c r="R431" i="1" s="1"/>
  <c r="AI431" i="1" a="1"/>
  <c r="AI431" i="1" s="1"/>
  <c r="AM431" i="1"/>
  <c r="AN431" i="1" s="1"/>
  <c r="P432" i="1"/>
  <c r="Q432" i="1"/>
  <c r="R432" i="1" s="1"/>
  <c r="AI432" i="1" a="1"/>
  <c r="AI432" i="1" s="1"/>
  <c r="AM432" i="1"/>
  <c r="AN432" i="1" s="1"/>
  <c r="W433" i="1"/>
  <c r="AX433" i="1" s="1"/>
  <c r="P433" i="1"/>
  <c r="Q433" i="1"/>
  <c r="R433" i="1" s="1"/>
  <c r="AI433" i="1" a="1"/>
  <c r="AI433" i="1" s="1"/>
  <c r="AM433" i="1"/>
  <c r="AN433" i="1" s="1"/>
  <c r="P434" i="1"/>
  <c r="Q434" i="1"/>
  <c r="R434" i="1" s="1"/>
  <c r="AI434" i="1" a="1"/>
  <c r="AI434" i="1" s="1"/>
  <c r="AM434" i="1"/>
  <c r="AN434" i="1" s="1"/>
  <c r="W435" i="1"/>
  <c r="A435" i="1" s="1"/>
  <c r="P435" i="1"/>
  <c r="Q435" i="1"/>
  <c r="R435" i="1" s="1"/>
  <c r="AI435" i="1" a="1"/>
  <c r="AI435" i="1" s="1"/>
  <c r="AM435" i="1"/>
  <c r="AN435" i="1" s="1"/>
  <c r="W436" i="1"/>
  <c r="P436" i="1"/>
  <c r="Q436" i="1"/>
  <c r="R436" i="1" s="1"/>
  <c r="AI436" i="1" a="1"/>
  <c r="AI436" i="1" s="1"/>
  <c r="AM436" i="1"/>
  <c r="AN436" i="1" s="1"/>
  <c r="W437" i="1"/>
  <c r="P437" i="1"/>
  <c r="Q437" i="1"/>
  <c r="R437" i="1" s="1"/>
  <c r="AI437" i="1" a="1"/>
  <c r="AI437" i="1" s="1"/>
  <c r="AM437" i="1"/>
  <c r="AN437" i="1" s="1"/>
  <c r="W438" i="1"/>
  <c r="P438" i="1"/>
  <c r="Q438" i="1"/>
  <c r="R438" i="1" s="1"/>
  <c r="AI438" i="1" a="1"/>
  <c r="AI438" i="1" s="1"/>
  <c r="AM438" i="1"/>
  <c r="AN438" i="1" s="1"/>
  <c r="P439" i="1"/>
  <c r="Q439" i="1"/>
  <c r="R439" i="1" s="1"/>
  <c r="AI439" i="1" a="1"/>
  <c r="AI439" i="1" s="1"/>
  <c r="AM439" i="1"/>
  <c r="AN439" i="1" s="1"/>
  <c r="AD440" i="1"/>
  <c r="P440" i="1"/>
  <c r="Q440" i="1"/>
  <c r="R440" i="1" s="1"/>
  <c r="AI440" i="1" a="1"/>
  <c r="AI440" i="1" s="1"/>
  <c r="AM440" i="1"/>
  <c r="AN440" i="1" s="1"/>
  <c r="W441" i="1"/>
  <c r="AX441" i="1" s="1"/>
  <c r="P441" i="1"/>
  <c r="Q441" i="1"/>
  <c r="R441" i="1" s="1"/>
  <c r="AI441" i="1" a="1"/>
  <c r="AI441" i="1" s="1"/>
  <c r="AM441" i="1"/>
  <c r="AN441" i="1" s="1"/>
  <c r="P442" i="1"/>
  <c r="Q442" i="1"/>
  <c r="R442" i="1" s="1"/>
  <c r="AI442" i="1" a="1"/>
  <c r="AI442" i="1" s="1"/>
  <c r="AM442" i="1"/>
  <c r="AN442" i="1" s="1"/>
  <c r="P443" i="1"/>
  <c r="Q443" i="1"/>
  <c r="R443" i="1" s="1"/>
  <c r="AI443" i="1" a="1"/>
  <c r="AI443" i="1" s="1"/>
  <c r="AM443" i="1"/>
  <c r="AN443" i="1" s="1"/>
  <c r="P444" i="1"/>
  <c r="Q444" i="1"/>
  <c r="R444" i="1" s="1"/>
  <c r="AI444" i="1" a="1"/>
  <c r="AI444" i="1" s="1"/>
  <c r="AM444" i="1"/>
  <c r="AN444" i="1" s="1"/>
  <c r="AD445" i="1"/>
  <c r="P445" i="1"/>
  <c r="Q445" i="1"/>
  <c r="R445" i="1" s="1"/>
  <c r="AI445" i="1" a="1"/>
  <c r="AI445" i="1" s="1"/>
  <c r="AM445" i="1"/>
  <c r="AN445" i="1" s="1"/>
  <c r="W446" i="1"/>
  <c r="B446" i="1" s="1"/>
  <c r="P446" i="1"/>
  <c r="Q446" i="1"/>
  <c r="R446" i="1" s="1"/>
  <c r="AI446" i="1" a="1"/>
  <c r="AI446" i="1" s="1"/>
  <c r="AM446" i="1"/>
  <c r="AN446" i="1" s="1"/>
  <c r="W447" i="1"/>
  <c r="V447" i="1" s="1"/>
  <c r="P447" i="1"/>
  <c r="Q447" i="1"/>
  <c r="R447" i="1" s="1"/>
  <c r="AI447" i="1" a="1"/>
  <c r="AI447" i="1" s="1"/>
  <c r="AM447" i="1"/>
  <c r="AN447" i="1" s="1"/>
  <c r="AD448" i="1"/>
  <c r="P448" i="1"/>
  <c r="Q448" i="1"/>
  <c r="R448" i="1" s="1"/>
  <c r="AI448" i="1" a="1"/>
  <c r="AI448" i="1" s="1"/>
  <c r="AM448" i="1"/>
  <c r="AN448" i="1" s="1"/>
  <c r="P449" i="1"/>
  <c r="Q449" i="1"/>
  <c r="R449" i="1" s="1"/>
  <c r="AI449" i="1" a="1"/>
  <c r="AI449" i="1" s="1"/>
  <c r="AM449" i="1"/>
  <c r="AN449" i="1" s="1"/>
  <c r="AD450" i="1"/>
  <c r="P450" i="1"/>
  <c r="Q450" i="1"/>
  <c r="R450" i="1" s="1"/>
  <c r="AI450" i="1" a="1"/>
  <c r="AI450" i="1" s="1"/>
  <c r="AM450" i="1"/>
  <c r="AN450" i="1" s="1"/>
  <c r="AD451" i="1"/>
  <c r="P451" i="1"/>
  <c r="Q451" i="1"/>
  <c r="R451" i="1" s="1"/>
  <c r="AI451" i="1" a="1"/>
  <c r="AI451" i="1" s="1"/>
  <c r="AM451" i="1"/>
  <c r="AN451" i="1" s="1"/>
  <c r="AD452" i="1"/>
  <c r="P452" i="1"/>
  <c r="Q452" i="1"/>
  <c r="R452" i="1" s="1"/>
  <c r="AI452" i="1" a="1"/>
  <c r="AI452" i="1" s="1"/>
  <c r="AM452" i="1"/>
  <c r="AN452" i="1" s="1"/>
  <c r="AD453" i="1"/>
  <c r="P453" i="1"/>
  <c r="Q453" i="1"/>
  <c r="R453" i="1" s="1"/>
  <c r="AI453" i="1" a="1"/>
  <c r="AI453" i="1" s="1"/>
  <c r="AM453" i="1"/>
  <c r="AN453" i="1" s="1"/>
  <c r="P454" i="1"/>
  <c r="Q454" i="1"/>
  <c r="R454" i="1" s="1"/>
  <c r="AI454" i="1" a="1"/>
  <c r="AI454" i="1" s="1"/>
  <c r="AM454" i="1"/>
  <c r="AN454" i="1" s="1"/>
  <c r="P455" i="1"/>
  <c r="Q455" i="1"/>
  <c r="R455" i="1" s="1"/>
  <c r="AI455" i="1" a="1"/>
  <c r="AI455" i="1" s="1"/>
  <c r="AM455" i="1"/>
  <c r="AN455" i="1" s="1"/>
  <c r="AD456" i="1"/>
  <c r="P456" i="1"/>
  <c r="Q456" i="1"/>
  <c r="R456" i="1" s="1"/>
  <c r="AI456" i="1" a="1"/>
  <c r="AI456" i="1" s="1"/>
  <c r="AM456" i="1"/>
  <c r="AN456" i="1" s="1"/>
  <c r="W457" i="1"/>
  <c r="AX457" i="1" s="1"/>
  <c r="P457" i="1"/>
  <c r="Q457" i="1"/>
  <c r="R457" i="1" s="1"/>
  <c r="AI457" i="1" a="1"/>
  <c r="AI457" i="1" s="1"/>
  <c r="AM457" i="1"/>
  <c r="AN457" i="1" s="1"/>
  <c r="P458" i="1"/>
  <c r="Q458" i="1"/>
  <c r="R458" i="1" s="1"/>
  <c r="AI458" i="1" a="1"/>
  <c r="AI458" i="1" s="1"/>
  <c r="AM458" i="1"/>
  <c r="AN458" i="1" s="1"/>
  <c r="W459" i="1"/>
  <c r="AX459" i="1" s="1"/>
  <c r="P459" i="1"/>
  <c r="Q459" i="1"/>
  <c r="R459" i="1" s="1"/>
  <c r="AI459" i="1" a="1"/>
  <c r="AI459" i="1" s="1"/>
  <c r="AM459" i="1"/>
  <c r="AN459" i="1" s="1"/>
  <c r="P460" i="1"/>
  <c r="Q460" i="1"/>
  <c r="R460" i="1" s="1"/>
  <c r="AI460" i="1" a="1"/>
  <c r="AI460" i="1" s="1"/>
  <c r="AM460" i="1"/>
  <c r="AN460" i="1" s="1"/>
  <c r="P461" i="1"/>
  <c r="Q461" i="1"/>
  <c r="R461" i="1" s="1"/>
  <c r="AI461" i="1" a="1"/>
  <c r="AI461" i="1" s="1"/>
  <c r="AM461" i="1"/>
  <c r="AN461" i="1" s="1"/>
  <c r="P462" i="1"/>
  <c r="Q462" i="1"/>
  <c r="R462" i="1" s="1"/>
  <c r="AI462" i="1" a="1"/>
  <c r="AI462" i="1" s="1"/>
  <c r="AM462" i="1"/>
  <c r="AN462" i="1" s="1"/>
  <c r="P463" i="1"/>
  <c r="Q463" i="1"/>
  <c r="R463" i="1" s="1"/>
  <c r="AI463" i="1" a="1"/>
  <c r="AI463" i="1" s="1"/>
  <c r="AM463" i="1"/>
  <c r="AN463" i="1" s="1"/>
  <c r="AD464" i="1"/>
  <c r="P464" i="1"/>
  <c r="Q464" i="1"/>
  <c r="R464" i="1" s="1"/>
  <c r="AI464" i="1" a="1"/>
  <c r="AI464" i="1" s="1"/>
  <c r="AM464" i="1"/>
  <c r="AN464" i="1" s="1"/>
  <c r="W465" i="1"/>
  <c r="P465" i="1"/>
  <c r="Q465" i="1"/>
  <c r="R465" i="1" s="1"/>
  <c r="AI465" i="1" a="1"/>
  <c r="AI465" i="1" s="1"/>
  <c r="AM465" i="1"/>
  <c r="AN465" i="1" s="1"/>
  <c r="AD466" i="1"/>
  <c r="P466" i="1"/>
  <c r="Q466" i="1"/>
  <c r="R466" i="1" s="1"/>
  <c r="AI466" i="1" a="1"/>
  <c r="AI466" i="1" s="1"/>
  <c r="AM466" i="1"/>
  <c r="AN466" i="1" s="1"/>
  <c r="W467" i="1"/>
  <c r="P467" i="1"/>
  <c r="Q467" i="1"/>
  <c r="R467" i="1" s="1"/>
  <c r="AI467" i="1" a="1"/>
  <c r="AI467" i="1" s="1"/>
  <c r="AM467" i="1"/>
  <c r="AN467" i="1" s="1"/>
  <c r="AD468" i="1"/>
  <c r="P468" i="1"/>
  <c r="Q468" i="1"/>
  <c r="R468" i="1" s="1"/>
  <c r="AI468" i="1" a="1"/>
  <c r="AI468" i="1" s="1"/>
  <c r="AM468" i="1"/>
  <c r="AN468" i="1" s="1"/>
  <c r="W469" i="1"/>
  <c r="V469" i="1" s="1"/>
  <c r="P469" i="1"/>
  <c r="Q469" i="1"/>
  <c r="R469" i="1" s="1"/>
  <c r="AI469" i="1" a="1"/>
  <c r="AI469" i="1" s="1"/>
  <c r="AM469" i="1"/>
  <c r="AN469" i="1" s="1"/>
  <c r="P470" i="1"/>
  <c r="Q470" i="1"/>
  <c r="R470" i="1" s="1"/>
  <c r="AI470" i="1" a="1"/>
  <c r="AI470" i="1" s="1"/>
  <c r="AM470" i="1"/>
  <c r="AN470" i="1" s="1"/>
  <c r="W471" i="1"/>
  <c r="P471" i="1"/>
  <c r="Q471" i="1"/>
  <c r="R471" i="1" s="1"/>
  <c r="AI471" i="1" a="1"/>
  <c r="AI471" i="1" s="1"/>
  <c r="AM471" i="1"/>
  <c r="AN471" i="1" s="1"/>
  <c r="P472" i="1"/>
  <c r="Q472" i="1"/>
  <c r="R472" i="1" s="1"/>
  <c r="AI472" i="1" a="1"/>
  <c r="AI472" i="1" s="1"/>
  <c r="AM472" i="1"/>
  <c r="AN472" i="1" s="1"/>
  <c r="W473" i="1"/>
  <c r="P473" i="1"/>
  <c r="Q473" i="1"/>
  <c r="R473" i="1" s="1"/>
  <c r="AI473" i="1" a="1"/>
  <c r="AI473" i="1" s="1"/>
  <c r="AM473" i="1"/>
  <c r="AN473" i="1" s="1"/>
  <c r="P474" i="1"/>
  <c r="Q474" i="1"/>
  <c r="R474" i="1" s="1"/>
  <c r="AI474" i="1" a="1"/>
  <c r="AI474" i="1" s="1"/>
  <c r="AM474" i="1"/>
  <c r="AN474" i="1" s="1"/>
  <c r="AD475" i="1"/>
  <c r="P475" i="1"/>
  <c r="Q475" i="1"/>
  <c r="R475" i="1" s="1"/>
  <c r="AI475" i="1" a="1"/>
  <c r="AI475" i="1" s="1"/>
  <c r="AM475" i="1"/>
  <c r="AN475" i="1" s="1"/>
  <c r="AD476" i="1"/>
  <c r="P476" i="1"/>
  <c r="Q476" i="1"/>
  <c r="R476" i="1" s="1"/>
  <c r="AI476" i="1" a="1"/>
  <c r="AI476" i="1" s="1"/>
  <c r="AM476" i="1"/>
  <c r="AN476" i="1" s="1"/>
  <c r="AD477" i="1"/>
  <c r="P477" i="1"/>
  <c r="Q477" i="1"/>
  <c r="R477" i="1" s="1"/>
  <c r="AI477" i="1" a="1"/>
  <c r="AI477" i="1" s="1"/>
  <c r="AM477" i="1"/>
  <c r="AN477" i="1" s="1"/>
  <c r="W478" i="1"/>
  <c r="P478" i="1"/>
  <c r="Q478" i="1"/>
  <c r="R478" i="1" s="1"/>
  <c r="AI478" i="1" a="1"/>
  <c r="AI478" i="1" s="1"/>
  <c r="AM478" i="1"/>
  <c r="AN478" i="1" s="1"/>
  <c r="P479" i="1"/>
  <c r="Q479" i="1"/>
  <c r="R479" i="1" s="1"/>
  <c r="AI479" i="1" a="1"/>
  <c r="AI479" i="1" s="1"/>
  <c r="AM479" i="1"/>
  <c r="AN479" i="1" s="1"/>
  <c r="W480" i="1"/>
  <c r="P480" i="1"/>
  <c r="Q480" i="1"/>
  <c r="R480" i="1" s="1"/>
  <c r="AI480" i="1" a="1"/>
  <c r="AI480" i="1" s="1"/>
  <c r="AM480" i="1"/>
  <c r="AN480" i="1" s="1"/>
  <c r="P481" i="1"/>
  <c r="Q481" i="1"/>
  <c r="R481" i="1" s="1"/>
  <c r="AI481" i="1" a="1"/>
  <c r="AI481" i="1" s="1"/>
  <c r="AM481" i="1"/>
  <c r="AN481" i="1" s="1"/>
  <c r="W482" i="1"/>
  <c r="P482" i="1"/>
  <c r="Q482" i="1"/>
  <c r="R482" i="1" s="1"/>
  <c r="AI482" i="1" a="1"/>
  <c r="AI482" i="1" s="1"/>
  <c r="AM482" i="1"/>
  <c r="AN482" i="1" s="1"/>
  <c r="C488" i="9" l="1" a="1"/>
  <c r="S488" i="9"/>
  <c r="R488" i="9" s="1"/>
  <c r="S499" i="9"/>
  <c r="R499" i="9" s="1"/>
  <c r="C499" i="9" a="1"/>
  <c r="C487" i="9" a="1"/>
  <c r="S487" i="9"/>
  <c r="R487" i="9" s="1"/>
  <c r="S498" i="9"/>
  <c r="R498" i="9" s="1"/>
  <c r="C498" i="9" a="1"/>
  <c r="S486" i="9"/>
  <c r="R486" i="9" s="1"/>
  <c r="C486" i="9" a="1"/>
  <c r="S497" i="9"/>
  <c r="R497" i="9" s="1"/>
  <c r="C497" i="9" a="1"/>
  <c r="S485" i="9"/>
  <c r="R485" i="9" s="1"/>
  <c r="C485" i="9" a="1"/>
  <c r="S186" i="9"/>
  <c r="R186" i="9" s="1"/>
  <c r="C186" i="9" a="1"/>
  <c r="S496" i="9"/>
  <c r="R496" i="9" s="1"/>
  <c r="C496" i="9" a="1"/>
  <c r="S484" i="9"/>
  <c r="R484" i="9" s="1"/>
  <c r="C484" i="9" a="1"/>
  <c r="S495" i="9"/>
  <c r="R495" i="9" s="1"/>
  <c r="C495" i="9" a="1"/>
  <c r="S483" i="9"/>
  <c r="R483" i="9" s="1"/>
  <c r="C483" i="9" a="1"/>
  <c r="S489" i="9"/>
  <c r="R489" i="9" s="1"/>
  <c r="C489" i="9" a="1"/>
  <c r="S494" i="9"/>
  <c r="R494" i="9" s="1"/>
  <c r="C494" i="9" a="1"/>
  <c r="C493" i="9" a="1"/>
  <c r="S493" i="9"/>
  <c r="R493" i="9" s="1"/>
  <c r="S492" i="9"/>
  <c r="R492" i="9" s="1"/>
  <c r="C492" i="9" a="1"/>
  <c r="S491" i="9"/>
  <c r="R491" i="9" s="1"/>
  <c r="C491" i="9" a="1"/>
  <c r="S490" i="9"/>
  <c r="R490" i="9" s="1"/>
  <c r="C490" i="9" a="1"/>
  <c r="Y16" i="21"/>
  <c r="S15" i="21"/>
  <c r="R16" i="21"/>
  <c r="B15" i="21"/>
  <c r="A15" i="21"/>
  <c r="Q15" i="21"/>
  <c r="Y17" i="21"/>
  <c r="S16" i="21"/>
  <c r="R17" i="21"/>
  <c r="C18" i="21"/>
  <c r="Y17" i="20"/>
  <c r="S16" i="20"/>
  <c r="R17" i="20"/>
  <c r="B16" i="20"/>
  <c r="A16" i="20"/>
  <c r="Q16" i="20"/>
  <c r="C18" i="20"/>
  <c r="W297" i="1"/>
  <c r="AX297" i="1" s="1"/>
  <c r="W327" i="1"/>
  <c r="A327" i="1" s="1"/>
  <c r="W280" i="1"/>
  <c r="W347" i="1"/>
  <c r="V347" i="1" s="1"/>
  <c r="W416" i="1"/>
  <c r="AX416" i="1" s="1"/>
  <c r="AD481" i="1"/>
  <c r="AD469" i="1"/>
  <c r="AD457" i="1"/>
  <c r="AD433" i="1"/>
  <c r="AD421" i="1"/>
  <c r="AD409" i="1"/>
  <c r="AD397" i="1"/>
  <c r="AD385" i="1"/>
  <c r="AD373" i="1"/>
  <c r="AD313" i="1"/>
  <c r="AD265" i="1"/>
  <c r="AD253" i="1"/>
  <c r="AD241" i="1"/>
  <c r="AD229" i="1"/>
  <c r="AD205" i="1"/>
  <c r="AD193" i="1"/>
  <c r="AD169" i="1"/>
  <c r="AD480" i="1"/>
  <c r="AD444" i="1"/>
  <c r="AD432" i="1"/>
  <c r="AD420" i="1"/>
  <c r="AD396" i="1"/>
  <c r="AD384" i="1"/>
  <c r="AD360" i="1"/>
  <c r="AD348" i="1"/>
  <c r="AD336" i="1"/>
  <c r="AD312" i="1"/>
  <c r="AD300" i="1"/>
  <c r="AD288" i="1"/>
  <c r="AD276" i="1"/>
  <c r="AD228" i="1"/>
  <c r="AD192" i="1"/>
  <c r="AD168" i="1"/>
  <c r="AD479" i="1"/>
  <c r="AD467" i="1"/>
  <c r="AD455" i="1"/>
  <c r="AD443" i="1"/>
  <c r="AD431" i="1"/>
  <c r="AD419" i="1"/>
  <c r="AD395" i="1"/>
  <c r="AD383" i="1"/>
  <c r="AD371" i="1"/>
  <c r="AD347" i="1"/>
  <c r="AD323" i="1"/>
  <c r="AD311" i="1"/>
  <c r="AD299" i="1"/>
  <c r="AD251" i="1"/>
  <c r="AD227" i="1"/>
  <c r="AD215" i="1"/>
  <c r="AD203" i="1"/>
  <c r="W341" i="1"/>
  <c r="A341" i="1" s="1"/>
  <c r="V281" i="1"/>
  <c r="W235" i="1"/>
  <c r="AD478" i="1"/>
  <c r="AD454" i="1"/>
  <c r="AD442" i="1"/>
  <c r="AD430" i="1"/>
  <c r="AD418" i="1"/>
  <c r="AD406" i="1"/>
  <c r="AD394" i="1"/>
  <c r="AD382" i="1"/>
  <c r="AD346" i="1"/>
  <c r="AD286" i="1"/>
  <c r="AD214" i="1"/>
  <c r="AD190" i="1"/>
  <c r="AD465" i="1"/>
  <c r="AD441" i="1"/>
  <c r="AD429" i="1"/>
  <c r="AD417" i="1"/>
  <c r="AD405" i="1"/>
  <c r="AD393" i="1"/>
  <c r="AD381" i="1"/>
  <c r="AD369" i="1"/>
  <c r="AD357" i="1"/>
  <c r="AD345" i="1"/>
  <c r="AD333" i="1"/>
  <c r="AD297" i="1"/>
  <c r="AD261" i="1"/>
  <c r="AD249" i="1"/>
  <c r="AD201" i="1"/>
  <c r="AD165" i="1"/>
  <c r="AD428" i="1"/>
  <c r="AD416" i="1"/>
  <c r="AD404" i="1"/>
  <c r="AD392" i="1"/>
  <c r="AD380" i="1"/>
  <c r="AD368" i="1"/>
  <c r="AD344" i="1"/>
  <c r="AD332" i="1"/>
  <c r="AD272" i="1"/>
  <c r="AD260" i="1"/>
  <c r="AD212" i="1"/>
  <c r="AD200" i="1"/>
  <c r="AD188" i="1"/>
  <c r="AD463" i="1"/>
  <c r="AD439" i="1"/>
  <c r="AD391" i="1"/>
  <c r="AD379" i="1"/>
  <c r="AD367" i="1"/>
  <c r="AD319" i="1"/>
  <c r="AD307" i="1"/>
  <c r="AD295" i="1"/>
  <c r="AD259" i="1"/>
  <c r="AD247" i="1"/>
  <c r="AD235" i="1"/>
  <c r="AD223" i="1"/>
  <c r="AD211" i="1"/>
  <c r="AD199" i="1"/>
  <c r="AD175" i="1"/>
  <c r="AD474" i="1"/>
  <c r="AD462" i="1"/>
  <c r="AD438" i="1"/>
  <c r="AD426" i="1"/>
  <c r="AD414" i="1"/>
  <c r="AD402" i="1"/>
  <c r="AD390" i="1"/>
  <c r="AD378" i="1"/>
  <c r="AD366" i="1"/>
  <c r="AD354" i="1"/>
  <c r="AD330" i="1"/>
  <c r="AD318" i="1"/>
  <c r="AD306" i="1"/>
  <c r="AD270" i="1"/>
  <c r="AD258" i="1"/>
  <c r="AD234" i="1"/>
  <c r="AD222" i="1"/>
  <c r="AD210" i="1"/>
  <c r="AD174" i="1"/>
  <c r="AD162" i="1"/>
  <c r="AD473" i="1"/>
  <c r="AD461" i="1"/>
  <c r="AD449" i="1"/>
  <c r="AD437" i="1"/>
  <c r="AD425" i="1"/>
  <c r="AD413" i="1"/>
  <c r="AD401" i="1"/>
  <c r="AD389" i="1"/>
  <c r="AD377" i="1"/>
  <c r="AD365" i="1"/>
  <c r="AD353" i="1"/>
  <c r="AD341" i="1"/>
  <c r="AD317" i="1"/>
  <c r="AD305" i="1"/>
  <c r="AD293" i="1"/>
  <c r="AD281" i="1"/>
  <c r="AD269" i="1"/>
  <c r="AD233" i="1"/>
  <c r="AD209" i="1"/>
  <c r="AD173" i="1"/>
  <c r="AD161" i="1"/>
  <c r="W455" i="1"/>
  <c r="AX455" i="1" s="1"/>
  <c r="W253" i="1"/>
  <c r="AX253" i="1" s="1"/>
  <c r="W171" i="1"/>
  <c r="A171" i="1" s="1"/>
  <c r="AD472" i="1"/>
  <c r="AD460" i="1"/>
  <c r="AD436" i="1"/>
  <c r="AD424" i="1"/>
  <c r="AD412" i="1"/>
  <c r="AD400" i="1"/>
  <c r="AD388" i="1"/>
  <c r="AD376" i="1"/>
  <c r="AD364" i="1"/>
  <c r="AD352" i="1"/>
  <c r="AD328" i="1"/>
  <c r="AD304" i="1"/>
  <c r="AD280" i="1"/>
  <c r="AD268" i="1"/>
  <c r="AD256" i="1"/>
  <c r="AD232" i="1"/>
  <c r="AD220" i="1"/>
  <c r="AD208" i="1"/>
  <c r="AD184" i="1"/>
  <c r="AD160" i="1"/>
  <c r="W375" i="1"/>
  <c r="B375" i="1" s="1"/>
  <c r="AD471" i="1"/>
  <c r="AD459" i="1"/>
  <c r="AD447" i="1"/>
  <c r="AD435" i="1"/>
  <c r="AD423" i="1"/>
  <c r="AD411" i="1"/>
  <c r="AD399" i="1"/>
  <c r="AD375" i="1"/>
  <c r="AD363" i="1"/>
  <c r="AD339" i="1"/>
  <c r="AD327" i="1"/>
  <c r="AD315" i="1"/>
  <c r="AD303" i="1"/>
  <c r="AD279" i="1"/>
  <c r="AD267" i="1"/>
  <c r="AD207" i="1"/>
  <c r="AD195" i="1"/>
  <c r="AD183" i="1"/>
  <c r="AD171" i="1"/>
  <c r="AD159" i="1"/>
  <c r="W303" i="1"/>
  <c r="A303" i="1" s="1"/>
  <c r="AD482" i="1"/>
  <c r="AD470" i="1"/>
  <c r="AD458" i="1"/>
  <c r="AD446" i="1"/>
  <c r="AD434" i="1"/>
  <c r="AD410" i="1"/>
  <c r="AD398" i="1"/>
  <c r="AD374" i="1"/>
  <c r="AD350" i="1"/>
  <c r="AD338" i="1"/>
  <c r="AD326" i="1"/>
  <c r="AD290" i="1"/>
  <c r="AD278" i="1"/>
  <c r="AD266" i="1"/>
  <c r="AD254" i="1"/>
  <c r="AD242" i="1"/>
  <c r="AD230" i="1"/>
  <c r="AD206" i="1"/>
  <c r="AD194" i="1"/>
  <c r="AD182" i="1"/>
  <c r="AD170" i="1"/>
  <c r="AD158" i="1"/>
  <c r="B469" i="1"/>
  <c r="AX469" i="1"/>
  <c r="A469" i="1"/>
  <c r="W463" i="1"/>
  <c r="AX463" i="1" s="1"/>
  <c r="W415" i="1"/>
  <c r="AX415" i="1" s="1"/>
  <c r="W204" i="1"/>
  <c r="V204" i="1" s="1"/>
  <c r="W165" i="1"/>
  <c r="AX165" i="1" s="1"/>
  <c r="W479" i="1"/>
  <c r="AX479" i="1" s="1"/>
  <c r="W481" i="1"/>
  <c r="A481" i="1" s="1"/>
  <c r="W440" i="1"/>
  <c r="B440" i="1" s="1"/>
  <c r="W417" i="1"/>
  <c r="A417" i="1" s="1"/>
  <c r="W389" i="1"/>
  <c r="AX389" i="1" s="1"/>
  <c r="W270" i="1"/>
  <c r="V270" i="1" s="1"/>
  <c r="W241" i="1"/>
  <c r="V241" i="1" s="1"/>
  <c r="W176" i="1"/>
  <c r="B176" i="1" s="1"/>
  <c r="W320" i="1"/>
  <c r="B320" i="1" s="1"/>
  <c r="W257" i="1"/>
  <c r="AX257" i="1" s="1"/>
  <c r="W403" i="1"/>
  <c r="AX403" i="1" s="1"/>
  <c r="W453" i="1"/>
  <c r="B453" i="1" s="1"/>
  <c r="W163" i="1"/>
  <c r="A163" i="1" s="1"/>
  <c r="W217" i="1"/>
  <c r="V217" i="1" s="1"/>
  <c r="W356" i="1"/>
  <c r="B356" i="1" s="1"/>
  <c r="W351" i="1"/>
  <c r="AX351" i="1" s="1"/>
  <c r="W464" i="1"/>
  <c r="V464" i="1" s="1"/>
  <c r="W450" i="1"/>
  <c r="W301" i="1"/>
  <c r="A301" i="1" s="1"/>
  <c r="W333" i="1"/>
  <c r="B333" i="1" s="1"/>
  <c r="W305" i="1"/>
  <c r="AX305" i="1" s="1"/>
  <c r="W254" i="1"/>
  <c r="V254" i="1" s="1"/>
  <c r="W242" i="1"/>
  <c r="V242" i="1" s="1"/>
  <c r="W187" i="1"/>
  <c r="B187" i="1" s="1"/>
  <c r="B383" i="1"/>
  <c r="W306" i="1"/>
  <c r="A306" i="1" s="1"/>
  <c r="AX383" i="1"/>
  <c r="A266" i="1"/>
  <c r="W263" i="1"/>
  <c r="B263" i="1" s="1"/>
  <c r="W175" i="1"/>
  <c r="AX281" i="1"/>
  <c r="W190" i="1"/>
  <c r="V190" i="1" s="1"/>
  <c r="W178" i="1"/>
  <c r="V178" i="1" s="1"/>
  <c r="W258" i="1"/>
  <c r="V258" i="1" s="1"/>
  <c r="W456" i="1"/>
  <c r="AX456" i="1" s="1"/>
  <c r="W378" i="1"/>
  <c r="V378" i="1" s="1"/>
  <c r="W251" i="1"/>
  <c r="A251" i="1" s="1"/>
  <c r="W246" i="1"/>
  <c r="A246" i="1" s="1"/>
  <c r="W386" i="1"/>
  <c r="A386" i="1" s="1"/>
  <c r="W309" i="1"/>
  <c r="AX309" i="1" s="1"/>
  <c r="W472" i="1"/>
  <c r="B472" i="1" s="1"/>
  <c r="W468" i="1"/>
  <c r="A468" i="1" s="1"/>
  <c r="V344" i="1"/>
  <c r="A344" i="1"/>
  <c r="AX229" i="1"/>
  <c r="B229" i="1"/>
  <c r="W408" i="1"/>
  <c r="AX408" i="1" s="1"/>
  <c r="W329" i="1"/>
  <c r="A329" i="1" s="1"/>
  <c r="W289" i="1"/>
  <c r="W387" i="1"/>
  <c r="AX387" i="1" s="1"/>
  <c r="W325" i="1"/>
  <c r="V325" i="1" s="1"/>
  <c r="AX382" i="1"/>
  <c r="A382" i="1"/>
  <c r="W452" i="1"/>
  <c r="B452" i="1" s="1"/>
  <c r="W422" i="1"/>
  <c r="A422" i="1" s="1"/>
  <c r="W291" i="1"/>
  <c r="A291" i="1" s="1"/>
  <c r="W393" i="1"/>
  <c r="A393" i="1" s="1"/>
  <c r="B367" i="1"/>
  <c r="W324" i="1"/>
  <c r="A324" i="1" s="1"/>
  <c r="W206" i="1"/>
  <c r="V206" i="1" s="1"/>
  <c r="W193" i="1"/>
  <c r="B193" i="1" s="1"/>
  <c r="W166" i="1"/>
  <c r="V166" i="1" s="1"/>
  <c r="W431" i="1"/>
  <c r="V431" i="1" s="1"/>
  <c r="W407" i="1"/>
  <c r="V407" i="1" s="1"/>
  <c r="W392" i="1"/>
  <c r="AX392" i="1" s="1"/>
  <c r="W391" i="1"/>
  <c r="B391" i="1" s="1"/>
  <c r="A367" i="1"/>
  <c r="W308" i="1"/>
  <c r="AX308" i="1" s="1"/>
  <c r="W248" i="1"/>
  <c r="B248" i="1" s="1"/>
  <c r="A199" i="1"/>
  <c r="W182" i="1"/>
  <c r="A182" i="1" s="1"/>
  <c r="A300" i="1"/>
  <c r="W278" i="1"/>
  <c r="A278" i="1" s="1"/>
  <c r="W315" i="1"/>
  <c r="W313" i="1"/>
  <c r="B313" i="1" s="1"/>
  <c r="W311" i="1"/>
  <c r="A311" i="1" s="1"/>
  <c r="W288" i="1"/>
  <c r="V288" i="1" s="1"/>
  <c r="W376" i="1"/>
  <c r="V376" i="1" s="1"/>
  <c r="W342" i="1"/>
  <c r="A342" i="1" s="1"/>
  <c r="W318" i="1"/>
  <c r="AX318" i="1" s="1"/>
  <c r="W211" i="1"/>
  <c r="A211" i="1" s="1"/>
  <c r="V367" i="1"/>
  <c r="W345" i="1"/>
  <c r="A345" i="1" s="1"/>
  <c r="V465" i="1"/>
  <c r="AX465" i="1"/>
  <c r="A465" i="1"/>
  <c r="B465" i="1"/>
  <c r="A398" i="1"/>
  <c r="AX398" i="1"/>
  <c r="W432" i="1"/>
  <c r="W372" i="1"/>
  <c r="V372" i="1" s="1"/>
  <c r="V354" i="1"/>
  <c r="W321" i="1"/>
  <c r="W282" i="1"/>
  <c r="B282" i="1" s="1"/>
  <c r="W384" i="1"/>
  <c r="A384" i="1" s="1"/>
  <c r="W362" i="1"/>
  <c r="V362" i="1" s="1"/>
  <c r="A357" i="1"/>
  <c r="B357" i="1"/>
  <c r="AX357" i="1"/>
  <c r="B457" i="1"/>
  <c r="V357" i="1"/>
  <c r="W335" i="1"/>
  <c r="A335" i="1" s="1"/>
  <c r="W274" i="1"/>
  <c r="A274" i="1" s="1"/>
  <c r="W239" i="1"/>
  <c r="B239" i="1" s="1"/>
  <c r="W373" i="1"/>
  <c r="W197" i="1"/>
  <c r="AX197" i="1" s="1"/>
  <c r="W369" i="1"/>
  <c r="W466" i="1"/>
  <c r="AX466" i="1" s="1"/>
  <c r="W462" i="1"/>
  <c r="B462" i="1" s="1"/>
  <c r="W444" i="1"/>
  <c r="W430" i="1"/>
  <c r="AX430" i="1" s="1"/>
  <c r="W420" i="1"/>
  <c r="W406" i="1"/>
  <c r="B406" i="1" s="1"/>
  <c r="B395" i="1"/>
  <c r="W337" i="1"/>
  <c r="V337" i="1" s="1"/>
  <c r="A379" i="1"/>
  <c r="W371" i="1"/>
  <c r="A371" i="1" s="1"/>
  <c r="W353" i="1"/>
  <c r="AX353" i="1" s="1"/>
  <c r="B339" i="1"/>
  <c r="AX339" i="1"/>
  <c r="W338" i="1"/>
  <c r="B338" i="1" s="1"/>
  <c r="W172" i="1"/>
  <c r="AX172" i="1" s="1"/>
  <c r="W460" i="1"/>
  <c r="AX460" i="1" s="1"/>
  <c r="W476" i="1"/>
  <c r="A476" i="1" s="1"/>
  <c r="W458" i="1"/>
  <c r="B458" i="1" s="1"/>
  <c r="W443" i="1"/>
  <c r="A443" i="1" s="1"/>
  <c r="W429" i="1"/>
  <c r="B429" i="1" s="1"/>
  <c r="W419" i="1"/>
  <c r="AX419" i="1" s="1"/>
  <c r="W377" i="1"/>
  <c r="B377" i="1" s="1"/>
  <c r="W363" i="1"/>
  <c r="W348" i="1"/>
  <c r="A339" i="1"/>
  <c r="W277" i="1"/>
  <c r="AX277" i="1" s="1"/>
  <c r="W271" i="1"/>
  <c r="V271" i="1" s="1"/>
  <c r="W475" i="1"/>
  <c r="AX475" i="1" s="1"/>
  <c r="W454" i="1"/>
  <c r="A454" i="1" s="1"/>
  <c r="W405" i="1"/>
  <c r="A405" i="1" s="1"/>
  <c r="A394" i="1"/>
  <c r="W381" i="1"/>
  <c r="A381" i="1" s="1"/>
  <c r="W349" i="1"/>
  <c r="A349" i="1" s="1"/>
  <c r="AX317" i="1"/>
  <c r="B317" i="1"/>
  <c r="W225" i="1"/>
  <c r="B225" i="1" s="1"/>
  <c r="W474" i="1"/>
  <c r="V474" i="1" s="1"/>
  <c r="W442" i="1"/>
  <c r="AX442" i="1" s="1"/>
  <c r="W428" i="1"/>
  <c r="A428" i="1" s="1"/>
  <c r="W418" i="1"/>
  <c r="V418" i="1" s="1"/>
  <c r="W396" i="1"/>
  <c r="W237" i="1"/>
  <c r="B237" i="1" s="1"/>
  <c r="W177" i="1"/>
  <c r="AX177" i="1" s="1"/>
  <c r="W368" i="1"/>
  <c r="AX447" i="1"/>
  <c r="A447" i="1"/>
  <c r="W404" i="1"/>
  <c r="A404" i="1" s="1"/>
  <c r="W380" i="1"/>
  <c r="V380" i="1" s="1"/>
  <c r="W359" i="1"/>
  <c r="B359" i="1" s="1"/>
  <c r="W245" i="1"/>
  <c r="A245" i="1" s="1"/>
  <c r="W470" i="1"/>
  <c r="V470" i="1" s="1"/>
  <c r="W434" i="1"/>
  <c r="A434" i="1" s="1"/>
  <c r="W401" i="1"/>
  <c r="AX401" i="1" s="1"/>
  <c r="V379" i="1"/>
  <c r="W221" i="1"/>
  <c r="B221" i="1" s="1"/>
  <c r="W299" i="1"/>
  <c r="A299" i="1" s="1"/>
  <c r="W244" i="1"/>
  <c r="V244" i="1" s="1"/>
  <c r="W223" i="1"/>
  <c r="A223" i="1" s="1"/>
  <c r="W212" i="1"/>
  <c r="AX203" i="1"/>
  <c r="B203" i="1"/>
  <c r="W312" i="1"/>
  <c r="B312" i="1" s="1"/>
  <c r="A293" i="1"/>
  <c r="W261" i="1"/>
  <c r="AX261" i="1" s="1"/>
  <c r="W249" i="1"/>
  <c r="AX249" i="1" s="1"/>
  <c r="W232" i="1"/>
  <c r="V232" i="1" s="1"/>
  <c r="W218" i="1"/>
  <c r="V218" i="1" s="1"/>
  <c r="A203" i="1"/>
  <c r="B199" i="1"/>
  <c r="W181" i="1"/>
  <c r="W332" i="1"/>
  <c r="AX332" i="1" s="1"/>
  <c r="W330" i="1"/>
  <c r="B330" i="1" s="1"/>
  <c r="AX300" i="1"/>
  <c r="W296" i="1"/>
  <c r="B296" i="1" s="1"/>
  <c r="W259" i="1"/>
  <c r="B259" i="1" s="1"/>
  <c r="W230" i="1"/>
  <c r="V230" i="1" s="1"/>
  <c r="W208" i="1"/>
  <c r="V208" i="1" s="1"/>
  <c r="W192" i="1"/>
  <c r="V192" i="1" s="1"/>
  <c r="W189" i="1"/>
  <c r="AX189" i="1" s="1"/>
  <c r="W188" i="1"/>
  <c r="A188" i="1" s="1"/>
  <c r="W183" i="1"/>
  <c r="A183" i="1" s="1"/>
  <c r="W168" i="1"/>
  <c r="A168" i="1" s="1"/>
  <c r="W170" i="1"/>
  <c r="A170" i="1" s="1"/>
  <c r="W323" i="1"/>
  <c r="A323" i="1" s="1"/>
  <c r="W292" i="1"/>
  <c r="A292" i="1" s="1"/>
  <c r="W290" i="1"/>
  <c r="AX290" i="1" s="1"/>
  <c r="W336" i="1"/>
  <c r="B336" i="1" s="1"/>
  <c r="W294" i="1"/>
  <c r="AX294" i="1" s="1"/>
  <c r="B281" i="1"/>
  <c r="W279" i="1"/>
  <c r="B279" i="1" s="1"/>
  <c r="V199" i="1"/>
  <c r="W169" i="1"/>
  <c r="W195" i="1"/>
  <c r="A195" i="1" s="1"/>
  <c r="W164" i="1"/>
  <c r="AX164" i="1" s="1"/>
  <c r="W180" i="1"/>
  <c r="A180" i="1" s="1"/>
  <c r="W275" i="1"/>
  <c r="B275" i="1" s="1"/>
  <c r="W236" i="1"/>
  <c r="W227" i="1"/>
  <c r="B227" i="1" s="1"/>
  <c r="W224" i="1"/>
  <c r="W215" i="1"/>
  <c r="B215" i="1" s="1"/>
  <c r="W213" i="1"/>
  <c r="W194" i="1"/>
  <c r="B194" i="1" s="1"/>
  <c r="W158" i="1"/>
  <c r="A158" i="1" s="1"/>
  <c r="A467" i="1"/>
  <c r="AX467" i="1"/>
  <c r="V467" i="1"/>
  <c r="B467" i="1"/>
  <c r="V478" i="1"/>
  <c r="A478" i="1"/>
  <c r="B478" i="1"/>
  <c r="AX478" i="1"/>
  <c r="AX482" i="1"/>
  <c r="V482" i="1"/>
  <c r="B482" i="1"/>
  <c r="A482" i="1"/>
  <c r="AX473" i="1"/>
  <c r="V473" i="1"/>
  <c r="A473" i="1"/>
  <c r="B473" i="1"/>
  <c r="AX471" i="1"/>
  <c r="V471" i="1"/>
  <c r="A471" i="1"/>
  <c r="B471" i="1"/>
  <c r="V480" i="1"/>
  <c r="A480" i="1"/>
  <c r="B480" i="1"/>
  <c r="AX480" i="1"/>
  <c r="AX423" i="1"/>
  <c r="V423" i="1"/>
  <c r="A423" i="1"/>
  <c r="B423" i="1"/>
  <c r="B459" i="1"/>
  <c r="A424" i="1"/>
  <c r="B424" i="1"/>
  <c r="AX424" i="1"/>
  <c r="V424" i="1"/>
  <c r="W448" i="1"/>
  <c r="V366" i="1"/>
  <c r="A366" i="1"/>
  <c r="B366" i="1"/>
  <c r="AX366" i="1"/>
  <c r="V426" i="1"/>
  <c r="A426" i="1"/>
  <c r="B426" i="1"/>
  <c r="AX426" i="1"/>
  <c r="V374" i="1"/>
  <c r="A374" i="1"/>
  <c r="B374" i="1"/>
  <c r="AX374" i="1"/>
  <c r="W477" i="1"/>
  <c r="V459" i="1"/>
  <c r="B447" i="1"/>
  <c r="AX435" i="1"/>
  <c r="V435" i="1"/>
  <c r="B435" i="1"/>
  <c r="AX399" i="1"/>
  <c r="V399" i="1"/>
  <c r="A399" i="1"/>
  <c r="B399" i="1"/>
  <c r="AX437" i="1"/>
  <c r="V437" i="1"/>
  <c r="A437" i="1"/>
  <c r="B437" i="1"/>
  <c r="A459" i="1"/>
  <c r="W449" i="1"/>
  <c r="A436" i="1"/>
  <c r="B436" i="1"/>
  <c r="AX436" i="1"/>
  <c r="A400" i="1"/>
  <c r="B400" i="1"/>
  <c r="AX400" i="1"/>
  <c r="V400" i="1"/>
  <c r="V397" i="1"/>
  <c r="A397" i="1"/>
  <c r="B397" i="1"/>
  <c r="AX397" i="1"/>
  <c r="A388" i="1"/>
  <c r="B388" i="1"/>
  <c r="AX388" i="1"/>
  <c r="V388" i="1"/>
  <c r="V385" i="1"/>
  <c r="A385" i="1"/>
  <c r="B385" i="1"/>
  <c r="AX385" i="1"/>
  <c r="W461" i="1"/>
  <c r="V438" i="1"/>
  <c r="A438" i="1"/>
  <c r="B438" i="1"/>
  <c r="AX438" i="1"/>
  <c r="V433" i="1"/>
  <c r="A433" i="1"/>
  <c r="B433" i="1"/>
  <c r="V421" i="1"/>
  <c r="A421" i="1"/>
  <c r="B421" i="1"/>
  <c r="AX421" i="1"/>
  <c r="V457" i="1"/>
  <c r="A457" i="1"/>
  <c r="W445" i="1"/>
  <c r="AX411" i="1"/>
  <c r="V411" i="1"/>
  <c r="A411" i="1"/>
  <c r="B411" i="1"/>
  <c r="V409" i="1"/>
  <c r="A409" i="1"/>
  <c r="B409" i="1"/>
  <c r="AX409" i="1"/>
  <c r="V402" i="1"/>
  <c r="A402" i="1"/>
  <c r="B402" i="1"/>
  <c r="AX402" i="1"/>
  <c r="V390" i="1"/>
  <c r="A390" i="1"/>
  <c r="B390" i="1"/>
  <c r="AX390" i="1"/>
  <c r="A446" i="1"/>
  <c r="AX446" i="1"/>
  <c r="V446" i="1"/>
  <c r="A412" i="1"/>
  <c r="B412" i="1"/>
  <c r="AX412" i="1"/>
  <c r="V412" i="1"/>
  <c r="V414" i="1"/>
  <c r="A414" i="1"/>
  <c r="B414" i="1"/>
  <c r="AX414" i="1"/>
  <c r="W451" i="1"/>
  <c r="A441" i="1"/>
  <c r="B441" i="1"/>
  <c r="V441" i="1"/>
  <c r="V436" i="1"/>
  <c r="AX276" i="1"/>
  <c r="V276" i="1"/>
  <c r="A276" i="1"/>
  <c r="B276" i="1"/>
  <c r="V346" i="1"/>
  <c r="A346" i="1"/>
  <c r="B346" i="1"/>
  <c r="W310" i="1"/>
  <c r="W298" i="1"/>
  <c r="W285" i="1"/>
  <c r="W439" i="1"/>
  <c r="W427" i="1"/>
  <c r="V410" i="1"/>
  <c r="V398" i="1"/>
  <c r="AX395" i="1"/>
  <c r="B394" i="1"/>
  <c r="B382" i="1"/>
  <c r="AX365" i="1"/>
  <c r="A365" i="1"/>
  <c r="B286" i="1"/>
  <c r="AX286" i="1"/>
  <c r="V286" i="1"/>
  <c r="W361" i="1"/>
  <c r="W343" i="1"/>
  <c r="W287" i="1"/>
  <c r="V269" i="1"/>
  <c r="A269" i="1"/>
  <c r="B269" i="1"/>
  <c r="AX269" i="1"/>
  <c r="W425" i="1"/>
  <c r="W413" i="1"/>
  <c r="W331" i="1"/>
  <c r="W198" i="1"/>
  <c r="W196" i="1"/>
  <c r="AX410" i="1"/>
  <c r="AX360" i="1"/>
  <c r="W358" i="1"/>
  <c r="W262" i="1"/>
  <c r="W250" i="1"/>
  <c r="AX233" i="1"/>
  <c r="V233" i="1"/>
  <c r="A233" i="1"/>
  <c r="B233" i="1"/>
  <c r="V394" i="1"/>
  <c r="V382" i="1"/>
  <c r="AX379" i="1"/>
  <c r="W364" i="1"/>
  <c r="A360" i="1"/>
  <c r="W350" i="1"/>
  <c r="AX295" i="1"/>
  <c r="V295" i="1"/>
  <c r="A295" i="1"/>
  <c r="B295" i="1"/>
  <c r="A395" i="1"/>
  <c r="A383" i="1"/>
  <c r="W326" i="1"/>
  <c r="W314" i="1"/>
  <c r="W302" i="1"/>
  <c r="W370" i="1"/>
  <c r="W355" i="1"/>
  <c r="W334" i="1"/>
  <c r="B410" i="1"/>
  <c r="B398" i="1"/>
  <c r="AX354" i="1"/>
  <c r="B365" i="1"/>
  <c r="V360" i="1"/>
  <c r="A354" i="1"/>
  <c r="W322" i="1"/>
  <c r="W283" i="1"/>
  <c r="A247" i="1"/>
  <c r="B247" i="1"/>
  <c r="AX247" i="1"/>
  <c r="V247" i="1"/>
  <c r="W219" i="1"/>
  <c r="W352" i="1"/>
  <c r="AX344" i="1"/>
  <c r="W340" i="1"/>
  <c r="W328" i="1"/>
  <c r="W316" i="1"/>
  <c r="W304" i="1"/>
  <c r="W284" i="1"/>
  <c r="V268" i="1"/>
  <c r="A268" i="1"/>
  <c r="B268" i="1"/>
  <c r="W264" i="1"/>
  <c r="W243" i="1"/>
  <c r="W214" i="1"/>
  <c r="B300" i="1"/>
  <c r="B293" i="1"/>
  <c r="W319" i="1"/>
  <c r="A317" i="1"/>
  <c r="W307" i="1"/>
  <c r="B266" i="1"/>
  <c r="AX266" i="1"/>
  <c r="W255" i="1"/>
  <c r="V234" i="1"/>
  <c r="A234" i="1"/>
  <c r="B234" i="1"/>
  <c r="W226" i="1"/>
  <c r="AX209" i="1"/>
  <c r="V209" i="1"/>
  <c r="A209" i="1"/>
  <c r="W179" i="1"/>
  <c r="B344" i="1"/>
  <c r="V293" i="1"/>
  <c r="W273" i="1"/>
  <c r="AX268" i="1"/>
  <c r="V210" i="1"/>
  <c r="A210" i="1"/>
  <c r="B210" i="1"/>
  <c r="B209" i="1"/>
  <c r="W272" i="1"/>
  <c r="V260" i="1"/>
  <c r="A260" i="1"/>
  <c r="B260" i="1"/>
  <c r="W231" i="1"/>
  <c r="W267" i="1"/>
  <c r="AX260" i="1"/>
  <c r="V222" i="1"/>
  <c r="A222" i="1"/>
  <c r="B222" i="1"/>
  <c r="W238" i="1"/>
  <c r="AX222" i="1"/>
  <c r="AX200" i="1"/>
  <c r="V200" i="1"/>
  <c r="A200" i="1"/>
  <c r="B200" i="1"/>
  <c r="AX256" i="1"/>
  <c r="W252" i="1"/>
  <c r="W240" i="1"/>
  <c r="W228" i="1"/>
  <c r="AX220" i="1"/>
  <c r="W216" i="1"/>
  <c r="V201" i="1"/>
  <c r="B265" i="1"/>
  <c r="A265" i="1"/>
  <c r="A229" i="1"/>
  <c r="W207" i="1"/>
  <c r="W205" i="1"/>
  <c r="AX201" i="1"/>
  <c r="AX160" i="1"/>
  <c r="V160" i="1"/>
  <c r="A160" i="1"/>
  <c r="B160" i="1"/>
  <c r="B256" i="1"/>
  <c r="B220" i="1"/>
  <c r="W162" i="1"/>
  <c r="V265" i="1"/>
  <c r="A256" i="1"/>
  <c r="V229" i="1"/>
  <c r="A220" i="1"/>
  <c r="W202" i="1"/>
  <c r="W186" i="1"/>
  <c r="A161" i="1"/>
  <c r="B161" i="1"/>
  <c r="AX161" i="1"/>
  <c r="W191" i="1"/>
  <c r="W184" i="1"/>
  <c r="B201" i="1"/>
  <c r="W185" i="1"/>
  <c r="W174" i="1"/>
  <c r="W167" i="1"/>
  <c r="A173" i="1"/>
  <c r="B173" i="1"/>
  <c r="AX173" i="1"/>
  <c r="V159" i="1"/>
  <c r="AX159" i="1"/>
  <c r="B159" i="1"/>
  <c r="B280" i="1" l="1"/>
  <c r="A280" i="1"/>
  <c r="AX280" i="1"/>
  <c r="V280" i="1"/>
  <c r="AX235" i="1"/>
  <c r="A235" i="1"/>
  <c r="B235" i="1"/>
  <c r="V235" i="1"/>
  <c r="A253" i="1"/>
  <c r="S256" i="9"/>
  <c r="R256" i="9" s="1"/>
  <c r="C256" i="9" a="1"/>
  <c r="S247" i="9"/>
  <c r="R247" i="9" s="1"/>
  <c r="C247" i="9" a="1"/>
  <c r="S189" i="9"/>
  <c r="R189" i="9" s="1"/>
  <c r="C189" i="9" a="1"/>
  <c r="S33" i="9"/>
  <c r="R33" i="9" s="1"/>
  <c r="C33" i="9" a="1"/>
  <c r="C334" i="9" a="1"/>
  <c r="S334" i="9"/>
  <c r="R334" i="9" s="1"/>
  <c r="S298" i="9"/>
  <c r="R298" i="9" s="1"/>
  <c r="C298" i="9" a="1"/>
  <c r="S448" i="9"/>
  <c r="R448" i="9" s="1"/>
  <c r="C448" i="9" a="1"/>
  <c r="S96" i="9"/>
  <c r="R96" i="9" s="1"/>
  <c r="C96" i="9" a="1"/>
  <c r="S340" i="9"/>
  <c r="R340" i="9" s="1"/>
  <c r="C340" i="9" a="1"/>
  <c r="S320" i="9"/>
  <c r="R320" i="9" s="1"/>
  <c r="C320" i="9" a="1"/>
  <c r="C227" i="9" a="1"/>
  <c r="S227" i="9"/>
  <c r="R227" i="9" s="1"/>
  <c r="S408" i="9"/>
  <c r="R408" i="9" s="1"/>
  <c r="C408" i="9" a="1"/>
  <c r="S476" i="9"/>
  <c r="R476" i="9" s="1"/>
  <c r="C476" i="9" a="1"/>
  <c r="C309" i="9" a="1"/>
  <c r="S309" i="9"/>
  <c r="R309" i="9" s="1"/>
  <c r="S108" i="9"/>
  <c r="R108" i="9" s="1"/>
  <c r="C108" i="9" a="1"/>
  <c r="S403" i="9"/>
  <c r="R403" i="9" s="1"/>
  <c r="C403" i="9" a="1"/>
  <c r="S372" i="9"/>
  <c r="R372" i="9" s="1"/>
  <c r="C372" i="9" a="1"/>
  <c r="S122" i="9"/>
  <c r="R122" i="9" s="1"/>
  <c r="C122" i="9" a="1"/>
  <c r="S482" i="9"/>
  <c r="R482" i="9" s="1"/>
  <c r="C482" i="9" a="1"/>
  <c r="S63" i="9"/>
  <c r="R63" i="9" s="1"/>
  <c r="C63" i="9" a="1"/>
  <c r="S303" i="9"/>
  <c r="R303" i="9" s="1"/>
  <c r="C303" i="9" a="1"/>
  <c r="S471" i="9"/>
  <c r="R471" i="9" s="1"/>
  <c r="C471" i="9" a="1"/>
  <c r="S40" i="9"/>
  <c r="R40" i="9" s="1"/>
  <c r="C40" i="9" a="1"/>
  <c r="S268" i="9"/>
  <c r="R268" i="9" s="1"/>
  <c r="C268" i="9" a="1"/>
  <c r="S460" i="9"/>
  <c r="R460" i="9" s="1"/>
  <c r="C460" i="9" a="1"/>
  <c r="S173" i="9"/>
  <c r="R173" i="9" s="1"/>
  <c r="C173" i="9" a="1"/>
  <c r="S389" i="9"/>
  <c r="R389" i="9" s="1"/>
  <c r="C389" i="9" a="1"/>
  <c r="S370" i="9"/>
  <c r="R370" i="9" s="1"/>
  <c r="C370" i="9" a="1"/>
  <c r="S234" i="9"/>
  <c r="R234" i="9" s="1"/>
  <c r="C234" i="9" a="1"/>
  <c r="S426" i="9"/>
  <c r="R426" i="9" s="1"/>
  <c r="C426" i="9" a="1"/>
  <c r="S259" i="9"/>
  <c r="R259" i="9" s="1"/>
  <c r="C259" i="9" a="1"/>
  <c r="C191" i="9" a="1"/>
  <c r="S191" i="9"/>
  <c r="R191" i="9" s="1"/>
  <c r="S260" i="9"/>
  <c r="R260" i="9" s="1"/>
  <c r="C260" i="9" a="1"/>
  <c r="S45" i="9"/>
  <c r="R45" i="9" s="1"/>
  <c r="C45" i="9" a="1"/>
  <c r="C297" i="9" a="1"/>
  <c r="S297" i="9"/>
  <c r="R297" i="9" s="1"/>
  <c r="S178" i="9"/>
  <c r="R178" i="9" s="1"/>
  <c r="C178" i="9" a="1"/>
  <c r="S214" i="9"/>
  <c r="R214" i="9" s="1"/>
  <c r="C214" i="9" a="1"/>
  <c r="C203" i="9" a="1"/>
  <c r="S203" i="9"/>
  <c r="R203" i="9" s="1"/>
  <c r="C431" i="9" a="1"/>
  <c r="S431" i="9"/>
  <c r="R431" i="9" s="1"/>
  <c r="S228" i="9"/>
  <c r="R228" i="9" s="1"/>
  <c r="C228" i="9" a="1"/>
  <c r="S444" i="9"/>
  <c r="R444" i="9" s="1"/>
  <c r="C444" i="9" a="1"/>
  <c r="C313" i="9" a="1"/>
  <c r="S313" i="9"/>
  <c r="R313" i="9" s="1"/>
  <c r="S79" i="9"/>
  <c r="R79" i="9" s="1"/>
  <c r="C79" i="9" a="1"/>
  <c r="S477" i="9"/>
  <c r="R477" i="9" s="1"/>
  <c r="C477" i="9" a="1"/>
  <c r="S414" i="9"/>
  <c r="R414" i="9" s="1"/>
  <c r="C414" i="9" a="1"/>
  <c r="S261" i="9"/>
  <c r="R261" i="9" s="1"/>
  <c r="C261" i="9" a="1"/>
  <c r="C265" i="9" a="1"/>
  <c r="S265" i="9"/>
  <c r="R265" i="9" s="1"/>
  <c r="S148" i="9"/>
  <c r="R148" i="9" s="1"/>
  <c r="C148" i="9" a="1"/>
  <c r="S172" i="9"/>
  <c r="R172" i="9" s="1"/>
  <c r="C172" i="9" a="1"/>
  <c r="C433" i="9" a="1"/>
  <c r="S433" i="9"/>
  <c r="R433" i="9" s="1"/>
  <c r="C47" i="9" a="1"/>
  <c r="S47" i="9"/>
  <c r="R47" i="9" s="1"/>
  <c r="S164" i="9"/>
  <c r="R164" i="9" s="1"/>
  <c r="C164" i="9" a="1"/>
  <c r="S221" i="9"/>
  <c r="R221" i="9" s="1"/>
  <c r="C221" i="9" a="1"/>
  <c r="S271" i="9"/>
  <c r="R271" i="9" s="1"/>
  <c r="C271" i="9" a="1"/>
  <c r="S380" i="9"/>
  <c r="R380" i="9" s="1"/>
  <c r="C380" i="9" a="1"/>
  <c r="C289" i="9" a="1"/>
  <c r="S289" i="9"/>
  <c r="R289" i="9" s="1"/>
  <c r="S257" i="9"/>
  <c r="R257" i="9" s="1"/>
  <c r="C257" i="9" a="1"/>
  <c r="S252" i="9"/>
  <c r="R252" i="9" s="1"/>
  <c r="C252" i="9" a="1"/>
  <c r="S134" i="9"/>
  <c r="R134" i="9" s="1"/>
  <c r="C134" i="9" a="1"/>
  <c r="S290" i="9"/>
  <c r="R290" i="9" s="1"/>
  <c r="C290" i="9" a="1"/>
  <c r="S30" i="9"/>
  <c r="R30" i="9" s="1"/>
  <c r="C30" i="9" a="1"/>
  <c r="S75" i="9"/>
  <c r="R75" i="9" s="1"/>
  <c r="C75" i="9" a="1"/>
  <c r="S315" i="9"/>
  <c r="R315" i="9" s="1"/>
  <c r="C315" i="9" a="1"/>
  <c r="S76" i="9"/>
  <c r="R76" i="9" s="1"/>
  <c r="C76" i="9" a="1"/>
  <c r="S52" i="9"/>
  <c r="R52" i="9" s="1"/>
  <c r="C52" i="9" a="1"/>
  <c r="S280" i="9"/>
  <c r="R280" i="9" s="1"/>
  <c r="C280" i="9" a="1"/>
  <c r="S472" i="9"/>
  <c r="R472" i="9" s="1"/>
  <c r="C472" i="9" a="1"/>
  <c r="S209" i="9"/>
  <c r="R209" i="9" s="1"/>
  <c r="C209" i="9" a="1"/>
  <c r="S401" i="9"/>
  <c r="R401" i="9" s="1"/>
  <c r="C401" i="9" a="1"/>
  <c r="S427" i="9"/>
  <c r="R427" i="9" s="1"/>
  <c r="C427" i="9" a="1"/>
  <c r="S258" i="9"/>
  <c r="R258" i="9" s="1"/>
  <c r="C258" i="9" a="1"/>
  <c r="S438" i="9"/>
  <c r="R438" i="9" s="1"/>
  <c r="C438" i="9" a="1"/>
  <c r="S295" i="9"/>
  <c r="R295" i="9" s="1"/>
  <c r="C295" i="9" a="1"/>
  <c r="S248" i="9"/>
  <c r="R248" i="9" s="1"/>
  <c r="C248" i="9" a="1"/>
  <c r="S272" i="9"/>
  <c r="R272" i="9" s="1"/>
  <c r="C272" i="9" a="1"/>
  <c r="S57" i="9"/>
  <c r="R57" i="9" s="1"/>
  <c r="C57" i="9" a="1"/>
  <c r="S333" i="9"/>
  <c r="R333" i="9" s="1"/>
  <c r="C333" i="9" a="1"/>
  <c r="S466" i="9"/>
  <c r="R466" i="9" s="1"/>
  <c r="C466" i="9" a="1"/>
  <c r="S286" i="9"/>
  <c r="R286" i="9" s="1"/>
  <c r="C286" i="9" a="1"/>
  <c r="C215" i="9" a="1"/>
  <c r="S215" i="9"/>
  <c r="R215" i="9" s="1"/>
  <c r="C443" i="9" a="1"/>
  <c r="S443" i="9"/>
  <c r="R443" i="9" s="1"/>
  <c r="S276" i="9"/>
  <c r="R276" i="9" s="1"/>
  <c r="C276" i="9" a="1"/>
  <c r="S480" i="9"/>
  <c r="R480" i="9" s="1"/>
  <c r="C480" i="9" a="1"/>
  <c r="S82" i="9"/>
  <c r="R82" i="9" s="1"/>
  <c r="C82" i="9" a="1"/>
  <c r="S185" i="9"/>
  <c r="R185" i="9" s="1"/>
  <c r="C185" i="9" a="1"/>
  <c r="S100" i="9"/>
  <c r="R100" i="9" s="1"/>
  <c r="C100" i="9" a="1"/>
  <c r="S117" i="9"/>
  <c r="R117" i="9" s="1"/>
  <c r="C117" i="9" a="1"/>
  <c r="S210" i="9"/>
  <c r="R210" i="9" s="1"/>
  <c r="C210" i="9" a="1"/>
  <c r="S283" i="9"/>
  <c r="R283" i="9" s="1"/>
  <c r="C283" i="9" a="1"/>
  <c r="S355" i="9"/>
  <c r="R355" i="9" s="1"/>
  <c r="C355" i="9" a="1"/>
  <c r="S196" i="9"/>
  <c r="R196" i="9" s="1"/>
  <c r="C196" i="9" a="1"/>
  <c r="C287" i="9" a="1"/>
  <c r="S287" i="9"/>
  <c r="R287" i="9" s="1"/>
  <c r="S310" i="9"/>
  <c r="R310" i="9" s="1"/>
  <c r="C310" i="9" a="1"/>
  <c r="S382" i="9"/>
  <c r="R382" i="9" s="1"/>
  <c r="C382" i="9" a="1"/>
  <c r="S464" i="9"/>
  <c r="R464" i="9" s="1"/>
  <c r="C464" i="9" a="1"/>
  <c r="S386" i="9"/>
  <c r="R386" i="9" s="1"/>
  <c r="C386" i="9" a="1"/>
  <c r="C217" i="9" a="1"/>
  <c r="S217" i="9"/>
  <c r="R217" i="9" s="1"/>
  <c r="S324" i="9"/>
  <c r="R324" i="9" s="1"/>
  <c r="C324" i="9" a="1"/>
  <c r="S146" i="9"/>
  <c r="R146" i="9" s="1"/>
  <c r="C146" i="9" a="1"/>
  <c r="S326" i="9"/>
  <c r="R326" i="9" s="1"/>
  <c r="C326" i="9" a="1"/>
  <c r="S64" i="9"/>
  <c r="R64" i="9" s="1"/>
  <c r="C64" i="9" a="1"/>
  <c r="S87" i="9"/>
  <c r="R87" i="9" s="1"/>
  <c r="C87" i="9" a="1"/>
  <c r="S327" i="9"/>
  <c r="R327" i="9" s="1"/>
  <c r="C327" i="9" a="1"/>
  <c r="S78" i="9"/>
  <c r="R78" i="9" s="1"/>
  <c r="C78" i="9" a="1"/>
  <c r="S88" i="9"/>
  <c r="R88" i="9" s="1"/>
  <c r="C88" i="9" a="1"/>
  <c r="S304" i="9"/>
  <c r="R304" i="9" s="1"/>
  <c r="C304" i="9" a="1"/>
  <c r="S42" i="9"/>
  <c r="R42" i="9" s="1"/>
  <c r="C42" i="9" a="1"/>
  <c r="S154" i="9"/>
  <c r="R154" i="9" s="1"/>
  <c r="C154" i="9" a="1"/>
  <c r="S233" i="9"/>
  <c r="R233" i="9" s="1"/>
  <c r="C233" i="9" a="1"/>
  <c r="S413" i="9"/>
  <c r="R413" i="9" s="1"/>
  <c r="C413" i="9" a="1"/>
  <c r="S270" i="9"/>
  <c r="R270" i="9" s="1"/>
  <c r="C270" i="9" a="1"/>
  <c r="S462" i="9"/>
  <c r="R462" i="9" s="1"/>
  <c r="C462" i="9" a="1"/>
  <c r="S307" i="9"/>
  <c r="R307" i="9" s="1"/>
  <c r="C307" i="9" a="1"/>
  <c r="S308" i="9"/>
  <c r="R308" i="9" s="1"/>
  <c r="C308" i="9" a="1"/>
  <c r="S332" i="9"/>
  <c r="R332" i="9" s="1"/>
  <c r="C332" i="9" a="1"/>
  <c r="S69" i="9"/>
  <c r="R69" i="9" s="1"/>
  <c r="C69" i="9" a="1"/>
  <c r="S345" i="9"/>
  <c r="R345" i="9" s="1"/>
  <c r="C345" i="9" a="1"/>
  <c r="S468" i="9"/>
  <c r="R468" i="9" s="1"/>
  <c r="C468" i="9" a="1"/>
  <c r="S346" i="9"/>
  <c r="R346" i="9" s="1"/>
  <c r="C346" i="9" a="1"/>
  <c r="S288" i="9"/>
  <c r="R288" i="9" s="1"/>
  <c r="C288" i="9" a="1"/>
  <c r="C25" i="9" a="1"/>
  <c r="S25" i="9"/>
  <c r="R25" i="9" s="1"/>
  <c r="S314" i="9"/>
  <c r="R314" i="9" s="1"/>
  <c r="C314" i="9" a="1"/>
  <c r="S344" i="9"/>
  <c r="R344" i="9" s="1"/>
  <c r="C344" i="9" a="1"/>
  <c r="S470" i="9"/>
  <c r="R470" i="9" s="1"/>
  <c r="C470" i="9" a="1"/>
  <c r="S161" i="9"/>
  <c r="R161" i="9" s="1"/>
  <c r="C161" i="9" a="1"/>
  <c r="C263" i="9" a="1"/>
  <c r="S263" i="9"/>
  <c r="R263" i="9" s="1"/>
  <c r="C419" i="9" a="1"/>
  <c r="S419" i="9"/>
  <c r="R419" i="9" s="1"/>
  <c r="S319" i="9"/>
  <c r="R319" i="9" s="1"/>
  <c r="C319" i="9" a="1"/>
  <c r="S250" i="9"/>
  <c r="R250" i="9" s="1"/>
  <c r="C250" i="9" a="1"/>
  <c r="S147" i="9"/>
  <c r="R147" i="9" s="1"/>
  <c r="C147" i="9" a="1"/>
  <c r="S140" i="9"/>
  <c r="R140" i="9" s="1"/>
  <c r="C140" i="9" a="1"/>
  <c r="S291" i="9"/>
  <c r="R291" i="9" s="1"/>
  <c r="C291" i="9" a="1"/>
  <c r="S225" i="9"/>
  <c r="R225" i="9" s="1"/>
  <c r="C225" i="9" a="1"/>
  <c r="C277" i="9" a="1"/>
  <c r="S277" i="9"/>
  <c r="R277" i="9" s="1"/>
  <c r="S120" i="9"/>
  <c r="R120" i="9" s="1"/>
  <c r="C120" i="9" a="1"/>
  <c r="S218" i="9"/>
  <c r="R218" i="9" s="1"/>
  <c r="C218" i="9" a="1"/>
  <c r="S68" i="9"/>
  <c r="R68" i="9" s="1"/>
  <c r="C68" i="9" a="1"/>
  <c r="S316" i="9"/>
  <c r="R316" i="9" s="1"/>
  <c r="C316" i="9" a="1"/>
  <c r="S456" i="9"/>
  <c r="R456" i="9" s="1"/>
  <c r="C456" i="9" a="1"/>
  <c r="S158" i="9"/>
  <c r="R158" i="9" s="1"/>
  <c r="C158" i="9" a="1"/>
  <c r="S338" i="9"/>
  <c r="R338" i="9" s="1"/>
  <c r="C338" i="9" a="1"/>
  <c r="S66" i="9"/>
  <c r="R66" i="9" s="1"/>
  <c r="C66" i="9" a="1"/>
  <c r="S99" i="9"/>
  <c r="R99" i="9" s="1"/>
  <c r="C99" i="9" a="1"/>
  <c r="S339" i="9"/>
  <c r="R339" i="9" s="1"/>
  <c r="C339" i="9" a="1"/>
  <c r="S292" i="9"/>
  <c r="R292" i="9" s="1"/>
  <c r="C292" i="9" a="1"/>
  <c r="S112" i="9"/>
  <c r="R112" i="9" s="1"/>
  <c r="C112" i="9" a="1"/>
  <c r="S328" i="9"/>
  <c r="R328" i="9" s="1"/>
  <c r="C328" i="9" a="1"/>
  <c r="S80" i="9"/>
  <c r="R80" i="9" s="1"/>
  <c r="C80" i="9" a="1"/>
  <c r="S269" i="9"/>
  <c r="R269" i="9" s="1"/>
  <c r="C269" i="9" a="1"/>
  <c r="S425" i="9"/>
  <c r="R425" i="9" s="1"/>
  <c r="C425" i="9" a="1"/>
  <c r="S54" i="9"/>
  <c r="R54" i="9" s="1"/>
  <c r="C54" i="9" a="1"/>
  <c r="S306" i="9"/>
  <c r="R306" i="9" s="1"/>
  <c r="C306" i="9" a="1"/>
  <c r="S474" i="9"/>
  <c r="R474" i="9" s="1"/>
  <c r="C474" i="9" a="1"/>
  <c r="S452" i="9"/>
  <c r="R452" i="9" s="1"/>
  <c r="C452" i="9" a="1"/>
  <c r="S81" i="9"/>
  <c r="R81" i="9" s="1"/>
  <c r="C81" i="9" a="1"/>
  <c r="S357" i="9"/>
  <c r="R357" i="9" s="1"/>
  <c r="C357" i="9" a="1"/>
  <c r="C23" i="9" a="1"/>
  <c r="S23" i="9"/>
  <c r="R23" i="9" s="1"/>
  <c r="C251" i="9" a="1"/>
  <c r="S251" i="9"/>
  <c r="R251" i="9" s="1"/>
  <c r="C467" i="9" a="1"/>
  <c r="S467" i="9"/>
  <c r="R467" i="9" s="1"/>
  <c r="S300" i="9"/>
  <c r="R300" i="9" s="1"/>
  <c r="C300" i="9" a="1"/>
  <c r="C49" i="9" a="1"/>
  <c r="S49" i="9"/>
  <c r="R49" i="9" s="1"/>
  <c r="C397" i="9" a="1"/>
  <c r="S397" i="9"/>
  <c r="R397" i="9" s="1"/>
  <c r="S358" i="9"/>
  <c r="R358" i="9" s="1"/>
  <c r="C358" i="9" a="1"/>
  <c r="S266" i="9"/>
  <c r="R266" i="9" s="1"/>
  <c r="C266" i="9" a="1"/>
  <c r="S51" i="9"/>
  <c r="R51" i="9" s="1"/>
  <c r="C51" i="9" a="1"/>
  <c r="S28" i="9"/>
  <c r="R28" i="9" s="1"/>
  <c r="C28" i="9" a="1"/>
  <c r="S240" i="9"/>
  <c r="R240" i="9" s="1"/>
  <c r="C240" i="9" a="1"/>
  <c r="S432" i="9"/>
  <c r="R432" i="9" s="1"/>
  <c r="C432" i="9" a="1"/>
  <c r="C155" i="9" a="1"/>
  <c r="S155" i="9"/>
  <c r="R155" i="9" s="1"/>
  <c r="S343" i="9"/>
  <c r="R343" i="9" s="1"/>
  <c r="C343" i="9" a="1"/>
  <c r="S381" i="9"/>
  <c r="R381" i="9" s="1"/>
  <c r="C381" i="9" a="1"/>
  <c r="C455" i="9" a="1"/>
  <c r="S455" i="9"/>
  <c r="R455" i="9" s="1"/>
  <c r="S130" i="9"/>
  <c r="R130" i="9" s="1"/>
  <c r="C130" i="9" a="1"/>
  <c r="S329" i="9"/>
  <c r="R329" i="9" s="1"/>
  <c r="C329" i="9" a="1"/>
  <c r="S26" i="9"/>
  <c r="R26" i="9" s="1"/>
  <c r="C26" i="9" a="1"/>
  <c r="S170" i="9"/>
  <c r="R170" i="9" s="1"/>
  <c r="C170" i="9" a="1"/>
  <c r="S350" i="9"/>
  <c r="R350" i="9" s="1"/>
  <c r="C350" i="9" a="1"/>
  <c r="S113" i="9"/>
  <c r="R113" i="9" s="1"/>
  <c r="C113" i="9" a="1"/>
  <c r="S135" i="9"/>
  <c r="R135" i="9" s="1"/>
  <c r="C135" i="9" a="1"/>
  <c r="S363" i="9"/>
  <c r="R363" i="9" s="1"/>
  <c r="C363" i="9" a="1"/>
  <c r="S294" i="9"/>
  <c r="R294" i="9" s="1"/>
  <c r="C294" i="9" a="1"/>
  <c r="S124" i="9"/>
  <c r="R124" i="9" s="1"/>
  <c r="C124" i="9" a="1"/>
  <c r="S352" i="9"/>
  <c r="R352" i="9" s="1"/>
  <c r="C352" i="9" a="1"/>
  <c r="S90" i="9"/>
  <c r="R90" i="9" s="1"/>
  <c r="C90" i="9" a="1"/>
  <c r="S29" i="9"/>
  <c r="R29" i="9" s="1"/>
  <c r="C29" i="9" a="1"/>
  <c r="S281" i="9"/>
  <c r="R281" i="9" s="1"/>
  <c r="C281" i="9" a="1"/>
  <c r="S437" i="9"/>
  <c r="R437" i="9" s="1"/>
  <c r="C437" i="9" a="1"/>
  <c r="S114" i="9"/>
  <c r="R114" i="9" s="1"/>
  <c r="C114" i="9" a="1"/>
  <c r="S318" i="9"/>
  <c r="R318" i="9" s="1"/>
  <c r="C318" i="9" a="1"/>
  <c r="S139" i="9"/>
  <c r="R139" i="9" s="1"/>
  <c r="C139" i="9" a="1"/>
  <c r="S367" i="9"/>
  <c r="R367" i="9" s="1"/>
  <c r="C367" i="9" a="1"/>
  <c r="S368" i="9"/>
  <c r="R368" i="9" s="1"/>
  <c r="C368" i="9" a="1"/>
  <c r="S93" i="9"/>
  <c r="R93" i="9" s="1"/>
  <c r="C93" i="9" a="1"/>
  <c r="S369" i="9"/>
  <c r="R369" i="9" s="1"/>
  <c r="C369" i="9" a="1"/>
  <c r="S34" i="9"/>
  <c r="R34" i="9" s="1"/>
  <c r="C34" i="9" a="1"/>
  <c r="S394" i="9"/>
  <c r="R394" i="9" s="1"/>
  <c r="C394" i="9" a="1"/>
  <c r="C35" i="9" a="1"/>
  <c r="S35" i="9"/>
  <c r="R35" i="9" s="1"/>
  <c r="C299" i="9" a="1"/>
  <c r="S299" i="9"/>
  <c r="R299" i="9" s="1"/>
  <c r="C479" i="9" a="1"/>
  <c r="S479" i="9"/>
  <c r="R479" i="9" s="1"/>
  <c r="S312" i="9"/>
  <c r="R312" i="9" s="1"/>
  <c r="C312" i="9" a="1"/>
  <c r="C121" i="9" a="1"/>
  <c r="S121" i="9"/>
  <c r="R121" i="9" s="1"/>
  <c r="C409" i="9" a="1"/>
  <c r="S409" i="9"/>
  <c r="R409" i="9" s="1"/>
  <c r="C145" i="9" a="1"/>
  <c r="S145" i="9"/>
  <c r="R145" i="9" s="1"/>
  <c r="S110" i="9"/>
  <c r="R110" i="9" s="1"/>
  <c r="C110" i="9" a="1"/>
  <c r="S279" i="9"/>
  <c r="R279" i="9" s="1"/>
  <c r="C279" i="9" a="1"/>
  <c r="S377" i="9"/>
  <c r="R377" i="9" s="1"/>
  <c r="C377" i="9" a="1"/>
  <c r="S212" i="9"/>
  <c r="R212" i="9" s="1"/>
  <c r="C212" i="9" a="1"/>
  <c r="S322" i="9"/>
  <c r="R322" i="9" s="1"/>
  <c r="C322" i="9" a="1"/>
  <c r="S198" i="9"/>
  <c r="R198" i="9" s="1"/>
  <c r="C198" i="9" a="1"/>
  <c r="S91" i="9"/>
  <c r="R91" i="9" s="1"/>
  <c r="C91" i="9" a="1"/>
  <c r="S273" i="9"/>
  <c r="R273" i="9" s="1"/>
  <c r="C273" i="9" a="1"/>
  <c r="S243" i="9"/>
  <c r="R243" i="9" s="1"/>
  <c r="C243" i="9" a="1"/>
  <c r="S366" i="9"/>
  <c r="R366" i="9" s="1"/>
  <c r="C366" i="9" a="1"/>
  <c r="S262" i="9"/>
  <c r="R262" i="9" s="1"/>
  <c r="C262" i="9" a="1"/>
  <c r="S451" i="9"/>
  <c r="R451" i="9" s="1"/>
  <c r="C451" i="9" a="1"/>
  <c r="S123" i="9"/>
  <c r="R123" i="9" s="1"/>
  <c r="C123" i="9" a="1"/>
  <c r="S180" i="9"/>
  <c r="R180" i="9" s="1"/>
  <c r="C180" i="9" a="1"/>
  <c r="S177" i="9"/>
  <c r="R177" i="9" s="1"/>
  <c r="C177" i="9" a="1"/>
  <c r="C337" i="9" a="1"/>
  <c r="S337" i="9"/>
  <c r="R337" i="9" s="1"/>
  <c r="C239" i="9" a="1"/>
  <c r="S239" i="9"/>
  <c r="R239" i="9" s="1"/>
  <c r="S362" i="9"/>
  <c r="R362" i="9" s="1"/>
  <c r="C362" i="9" a="1"/>
  <c r="S246" i="9"/>
  <c r="R246" i="9" s="1"/>
  <c r="C246" i="9" a="1"/>
  <c r="S163" i="9"/>
  <c r="R163" i="9" s="1"/>
  <c r="C163" i="9" a="1"/>
  <c r="S38" i="9"/>
  <c r="R38" i="9" s="1"/>
  <c r="C38" i="9" a="1"/>
  <c r="S182" i="9"/>
  <c r="R182" i="9" s="1"/>
  <c r="C182" i="9" a="1"/>
  <c r="S374" i="9"/>
  <c r="R374" i="9" s="1"/>
  <c r="C374" i="9" a="1"/>
  <c r="C275" i="9" a="1"/>
  <c r="S275" i="9"/>
  <c r="R275" i="9" s="1"/>
  <c r="S159" i="9"/>
  <c r="R159" i="9" s="1"/>
  <c r="C159" i="9" a="1"/>
  <c r="S375" i="9"/>
  <c r="R375" i="9" s="1"/>
  <c r="C375" i="9" a="1"/>
  <c r="S296" i="9"/>
  <c r="R296" i="9" s="1"/>
  <c r="C296" i="9" a="1"/>
  <c r="S136" i="9"/>
  <c r="R136" i="9" s="1"/>
  <c r="C136" i="9" a="1"/>
  <c r="S364" i="9"/>
  <c r="R364" i="9" s="1"/>
  <c r="C364" i="9" a="1"/>
  <c r="S92" i="9"/>
  <c r="R92" i="9" s="1"/>
  <c r="C92" i="9" a="1"/>
  <c r="S41" i="9"/>
  <c r="R41" i="9" s="1"/>
  <c r="C41" i="9" a="1"/>
  <c r="S293" i="9"/>
  <c r="R293" i="9" s="1"/>
  <c r="C293" i="9" a="1"/>
  <c r="S449" i="9"/>
  <c r="R449" i="9" s="1"/>
  <c r="C449" i="9" a="1"/>
  <c r="S126" i="9"/>
  <c r="R126" i="9" s="1"/>
  <c r="C126" i="9" a="1"/>
  <c r="S330" i="9"/>
  <c r="R330" i="9" s="1"/>
  <c r="C330" i="9" a="1"/>
  <c r="S151" i="9"/>
  <c r="R151" i="9" s="1"/>
  <c r="C151" i="9" a="1"/>
  <c r="S379" i="9"/>
  <c r="R379" i="9" s="1"/>
  <c r="C379" i="9" a="1"/>
  <c r="S32" i="9"/>
  <c r="R32" i="9" s="1"/>
  <c r="C32" i="9" a="1"/>
  <c r="S105" i="9"/>
  <c r="R105" i="9" s="1"/>
  <c r="C105" i="9" a="1"/>
  <c r="S58" i="9"/>
  <c r="R58" i="9" s="1"/>
  <c r="C58" i="9" a="1"/>
  <c r="S406" i="9"/>
  <c r="R406" i="9" s="1"/>
  <c r="C406" i="9" a="1"/>
  <c r="C59" i="9" a="1"/>
  <c r="S59" i="9"/>
  <c r="R59" i="9" s="1"/>
  <c r="C311" i="9" a="1"/>
  <c r="S311" i="9"/>
  <c r="R311" i="9" s="1"/>
  <c r="S36" i="9"/>
  <c r="R36" i="9" s="1"/>
  <c r="C36" i="9" a="1"/>
  <c r="S336" i="9"/>
  <c r="R336" i="9" s="1"/>
  <c r="C336" i="9" a="1"/>
  <c r="C169" i="9" a="1"/>
  <c r="S169" i="9"/>
  <c r="R169" i="9" s="1"/>
  <c r="C421" i="9" a="1"/>
  <c r="S421" i="9"/>
  <c r="R421" i="9" s="1"/>
  <c r="S46" i="9"/>
  <c r="R46" i="9" s="1"/>
  <c r="C46" i="9" a="1"/>
  <c r="S422" i="9"/>
  <c r="R422" i="9" s="1"/>
  <c r="C422" i="9" a="1"/>
  <c r="S48" i="9"/>
  <c r="R48" i="9" s="1"/>
  <c r="C48" i="9" a="1"/>
  <c r="S190" i="9"/>
  <c r="R190" i="9" s="1"/>
  <c r="C190" i="9" a="1"/>
  <c r="S67" i="9"/>
  <c r="R67" i="9" s="1"/>
  <c r="C67" i="9" a="1"/>
  <c r="C157" i="9" a="1"/>
  <c r="S157" i="9"/>
  <c r="R157" i="9" s="1"/>
  <c r="C301" i="9" a="1"/>
  <c r="S301" i="9"/>
  <c r="R301" i="9" s="1"/>
  <c r="S216" i="9"/>
  <c r="R216" i="9" s="1"/>
  <c r="C216" i="9" a="1"/>
  <c r="C349" i="9" a="1"/>
  <c r="S349" i="9"/>
  <c r="R349" i="9" s="1"/>
  <c r="C373" i="9" a="1"/>
  <c r="S373" i="9"/>
  <c r="R373" i="9" s="1"/>
  <c r="C193" i="9" a="1"/>
  <c r="S193" i="9"/>
  <c r="R193" i="9" s="1"/>
  <c r="S453" i="9"/>
  <c r="R453" i="9" s="1"/>
  <c r="C453" i="9" a="1"/>
  <c r="S176" i="9"/>
  <c r="R176" i="9" s="1"/>
  <c r="C176" i="9" a="1"/>
  <c r="S50" i="9"/>
  <c r="R50" i="9" s="1"/>
  <c r="C50" i="9" a="1"/>
  <c r="S194" i="9"/>
  <c r="R194" i="9" s="1"/>
  <c r="C194" i="9" a="1"/>
  <c r="C398" i="9" a="1"/>
  <c r="S398" i="9"/>
  <c r="R398" i="9" s="1"/>
  <c r="S284" i="9"/>
  <c r="R284" i="9" s="1"/>
  <c r="C284" i="9" a="1"/>
  <c r="S171" i="9"/>
  <c r="R171" i="9" s="1"/>
  <c r="C171" i="9" a="1"/>
  <c r="S399" i="9"/>
  <c r="R399" i="9" s="1"/>
  <c r="C399" i="9" a="1"/>
  <c r="S342" i="9"/>
  <c r="R342" i="9" s="1"/>
  <c r="C342" i="9" a="1"/>
  <c r="S160" i="9"/>
  <c r="R160" i="9" s="1"/>
  <c r="C160" i="9" a="1"/>
  <c r="S376" i="9"/>
  <c r="R376" i="9" s="1"/>
  <c r="C376" i="9" a="1"/>
  <c r="S125" i="9"/>
  <c r="R125" i="9" s="1"/>
  <c r="C125" i="9" a="1"/>
  <c r="C53" i="9" a="1"/>
  <c r="S53" i="9"/>
  <c r="R53" i="9" s="1"/>
  <c r="S305" i="9"/>
  <c r="R305" i="9" s="1"/>
  <c r="C305" i="9" a="1"/>
  <c r="S461" i="9"/>
  <c r="R461" i="9" s="1"/>
  <c r="C461" i="9" a="1"/>
  <c r="S138" i="9"/>
  <c r="R138" i="9" s="1"/>
  <c r="C138" i="9" a="1"/>
  <c r="S354" i="9"/>
  <c r="R354" i="9" s="1"/>
  <c r="C354" i="9" a="1"/>
  <c r="S175" i="9"/>
  <c r="R175" i="9" s="1"/>
  <c r="C175" i="9" a="1"/>
  <c r="S391" i="9"/>
  <c r="R391" i="9" s="1"/>
  <c r="C391" i="9" a="1"/>
  <c r="S44" i="9"/>
  <c r="R44" i="9" s="1"/>
  <c r="C44" i="9" a="1"/>
  <c r="S392" i="9"/>
  <c r="R392" i="9" s="1"/>
  <c r="C392" i="9" a="1"/>
  <c r="S141" i="9"/>
  <c r="R141" i="9" s="1"/>
  <c r="C141" i="9" a="1"/>
  <c r="S70" i="9"/>
  <c r="R70" i="9" s="1"/>
  <c r="C70" i="9" a="1"/>
  <c r="C71" i="9" a="1"/>
  <c r="S71" i="9"/>
  <c r="R71" i="9" s="1"/>
  <c r="C323" i="9" a="1"/>
  <c r="S323" i="9"/>
  <c r="R323" i="9" s="1"/>
  <c r="S60" i="9"/>
  <c r="R60" i="9" s="1"/>
  <c r="C60" i="9" a="1"/>
  <c r="S348" i="9"/>
  <c r="R348" i="9" s="1"/>
  <c r="C348" i="9" a="1"/>
  <c r="S420" i="9"/>
  <c r="R420" i="9" s="1"/>
  <c r="C420" i="9" a="1"/>
  <c r="S222" i="9"/>
  <c r="R222" i="9" s="1"/>
  <c r="C222" i="9" a="1"/>
  <c r="C143" i="9" a="1"/>
  <c r="S143" i="9"/>
  <c r="R143" i="9" s="1"/>
  <c r="S274" i="9"/>
  <c r="R274" i="9" s="1"/>
  <c r="C274" i="9" a="1"/>
  <c r="S278" i="9"/>
  <c r="R278" i="9" s="1"/>
  <c r="C278" i="9" a="1"/>
  <c r="C331" i="9" a="1"/>
  <c r="S331" i="9"/>
  <c r="R331" i="9" s="1"/>
  <c r="C115" i="9" a="1"/>
  <c r="S115" i="9"/>
  <c r="R115" i="9" s="1"/>
  <c r="S43" i="9"/>
  <c r="R43" i="9" s="1"/>
  <c r="C43" i="9" a="1"/>
  <c r="S226" i="9"/>
  <c r="R226" i="9" s="1"/>
  <c r="C226" i="9" a="1"/>
  <c r="S231" i="9"/>
  <c r="R231" i="9" s="1"/>
  <c r="C231" i="9" a="1"/>
  <c r="S255" i="9"/>
  <c r="R255" i="9" s="1"/>
  <c r="C255" i="9" a="1"/>
  <c r="S418" i="9"/>
  <c r="R418" i="9" s="1"/>
  <c r="C418" i="9" a="1"/>
  <c r="S245" i="9"/>
  <c r="R245" i="9" s="1"/>
  <c r="C245" i="9" a="1"/>
  <c r="S237" i="9"/>
  <c r="R237" i="9" s="1"/>
  <c r="C237" i="9" a="1"/>
  <c r="S393" i="9"/>
  <c r="R393" i="9" s="1"/>
  <c r="C393" i="9" a="1"/>
  <c r="C325" i="9" a="1"/>
  <c r="S325" i="9"/>
  <c r="R325" i="9" s="1"/>
  <c r="S244" i="9"/>
  <c r="R244" i="9" s="1"/>
  <c r="C244" i="9" a="1"/>
  <c r="S62" i="9"/>
  <c r="R62" i="9" s="1"/>
  <c r="C62" i="9" a="1"/>
  <c r="S206" i="9"/>
  <c r="R206" i="9" s="1"/>
  <c r="C206" i="9" a="1"/>
  <c r="S410" i="9"/>
  <c r="R410" i="9" s="1"/>
  <c r="C410" i="9" a="1"/>
  <c r="S183" i="9"/>
  <c r="R183" i="9" s="1"/>
  <c r="C183" i="9" a="1"/>
  <c r="S411" i="9"/>
  <c r="R411" i="9" s="1"/>
  <c r="C411" i="9" a="1"/>
  <c r="S184" i="9"/>
  <c r="R184" i="9" s="1"/>
  <c r="C184" i="9" a="1"/>
  <c r="S388" i="9"/>
  <c r="R388" i="9" s="1"/>
  <c r="C388" i="9" a="1"/>
  <c r="S152" i="9"/>
  <c r="R152" i="9" s="1"/>
  <c r="C152" i="9" a="1"/>
  <c r="S89" i="9"/>
  <c r="R89" i="9" s="1"/>
  <c r="C89" i="9" a="1"/>
  <c r="S317" i="9"/>
  <c r="R317" i="9" s="1"/>
  <c r="C317" i="9" a="1"/>
  <c r="S473" i="9"/>
  <c r="R473" i="9" s="1"/>
  <c r="C473" i="9" a="1"/>
  <c r="S150" i="9"/>
  <c r="R150" i="9" s="1"/>
  <c r="C150" i="9" a="1"/>
  <c r="S199" i="9"/>
  <c r="R199" i="9" s="1"/>
  <c r="C199" i="9" a="1"/>
  <c r="C439" i="9" a="1"/>
  <c r="S439" i="9"/>
  <c r="R439" i="9" s="1"/>
  <c r="S116" i="9"/>
  <c r="R116" i="9" s="1"/>
  <c r="C116" i="9" a="1"/>
  <c r="S404" i="9"/>
  <c r="R404" i="9" s="1"/>
  <c r="C404" i="9" a="1"/>
  <c r="S153" i="9"/>
  <c r="R153" i="9" s="1"/>
  <c r="C153" i="9" a="1"/>
  <c r="S405" i="9"/>
  <c r="R405" i="9" s="1"/>
  <c r="C405" i="9" a="1"/>
  <c r="S94" i="9"/>
  <c r="R94" i="9" s="1"/>
  <c r="C94" i="9" a="1"/>
  <c r="S430" i="9"/>
  <c r="R430" i="9" s="1"/>
  <c r="C430" i="9" a="1"/>
  <c r="C83" i="9" a="1"/>
  <c r="S83" i="9"/>
  <c r="R83" i="9" s="1"/>
  <c r="C347" i="9" a="1"/>
  <c r="S347" i="9"/>
  <c r="R347" i="9" s="1"/>
  <c r="S132" i="9"/>
  <c r="R132" i="9" s="1"/>
  <c r="C132" i="9" a="1"/>
  <c r="S360" i="9"/>
  <c r="R360" i="9" s="1"/>
  <c r="C360" i="9" a="1"/>
  <c r="C205" i="9" a="1"/>
  <c r="S205" i="9"/>
  <c r="R205" i="9" s="1"/>
  <c r="C457" i="9" a="1"/>
  <c r="S457" i="9"/>
  <c r="R457" i="9" s="1"/>
  <c r="S465" i="9"/>
  <c r="R465" i="9" s="1"/>
  <c r="C465" i="9" a="1"/>
  <c r="C119" i="9" a="1"/>
  <c r="S119" i="9"/>
  <c r="R119" i="9" s="1"/>
  <c r="C335" i="9" a="1"/>
  <c r="S335" i="9"/>
  <c r="R335" i="9" s="1"/>
  <c r="C97" i="9" a="1"/>
  <c r="S97" i="9"/>
  <c r="R97" i="9" s="1"/>
  <c r="C61" i="9" a="1"/>
  <c r="S61" i="9"/>
  <c r="R61" i="9" s="1"/>
  <c r="S351" i="9"/>
  <c r="R351" i="9" s="1"/>
  <c r="C351" i="9" a="1"/>
  <c r="S202" i="9"/>
  <c r="R202" i="9" s="1"/>
  <c r="C202" i="9" a="1"/>
  <c r="S74" i="9"/>
  <c r="R74" i="9" s="1"/>
  <c r="C74" i="9" a="1"/>
  <c r="S230" i="9"/>
  <c r="R230" i="9" s="1"/>
  <c r="C230" i="9" a="1"/>
  <c r="S434" i="9"/>
  <c r="R434" i="9" s="1"/>
  <c r="C434" i="9" a="1"/>
  <c r="C407" i="9" a="1"/>
  <c r="S407" i="9"/>
  <c r="R407" i="9" s="1"/>
  <c r="S195" i="9"/>
  <c r="R195" i="9" s="1"/>
  <c r="C195" i="9" a="1"/>
  <c r="S423" i="9"/>
  <c r="R423" i="9" s="1"/>
  <c r="C423" i="9" a="1"/>
  <c r="S415" i="9"/>
  <c r="R415" i="9" s="1"/>
  <c r="C415" i="9" a="1"/>
  <c r="S208" i="9"/>
  <c r="R208" i="9" s="1"/>
  <c r="C208" i="9" a="1"/>
  <c r="S400" i="9"/>
  <c r="R400" i="9" s="1"/>
  <c r="C400" i="9" a="1"/>
  <c r="S101" i="9"/>
  <c r="R101" i="9" s="1"/>
  <c r="C101" i="9" a="1"/>
  <c r="S341" i="9"/>
  <c r="R341" i="9" s="1"/>
  <c r="C341" i="9" a="1"/>
  <c r="S129" i="9"/>
  <c r="R129" i="9" s="1"/>
  <c r="C129" i="9" a="1"/>
  <c r="S162" i="9"/>
  <c r="R162" i="9" s="1"/>
  <c r="C162" i="9" a="1"/>
  <c r="S378" i="9"/>
  <c r="R378" i="9" s="1"/>
  <c r="C378" i="9" a="1"/>
  <c r="C211" i="9" a="1"/>
  <c r="S211" i="9"/>
  <c r="R211" i="9" s="1"/>
  <c r="S463" i="9"/>
  <c r="R463" i="9" s="1"/>
  <c r="C463" i="9" a="1"/>
  <c r="S128" i="9"/>
  <c r="R128" i="9" s="1"/>
  <c r="C128" i="9" a="1"/>
  <c r="S416" i="9"/>
  <c r="R416" i="9" s="1"/>
  <c r="C416" i="9" a="1"/>
  <c r="S165" i="9"/>
  <c r="R165" i="9" s="1"/>
  <c r="C165" i="9" a="1"/>
  <c r="C417" i="9" a="1"/>
  <c r="S417" i="9"/>
  <c r="R417" i="9" s="1"/>
  <c r="S106" i="9"/>
  <c r="R106" i="9" s="1"/>
  <c r="C106" i="9" a="1"/>
  <c r="S442" i="9"/>
  <c r="R442" i="9" s="1"/>
  <c r="C442" i="9" a="1"/>
  <c r="C95" i="9" a="1"/>
  <c r="S95" i="9"/>
  <c r="R95" i="9" s="1"/>
  <c r="C371" i="9" a="1"/>
  <c r="S371" i="9"/>
  <c r="R371" i="9" s="1"/>
  <c r="S144" i="9"/>
  <c r="R144" i="9" s="1"/>
  <c r="C144" i="9" a="1"/>
  <c r="S384" i="9"/>
  <c r="R384" i="9" s="1"/>
  <c r="C384" i="9" a="1"/>
  <c r="C229" i="9" a="1"/>
  <c r="S229" i="9"/>
  <c r="R229" i="9" s="1"/>
  <c r="C469" i="9" a="1"/>
  <c r="S469" i="9"/>
  <c r="R469" i="9" s="1"/>
  <c r="C133" i="9" a="1"/>
  <c r="S133" i="9"/>
  <c r="R133" i="9" s="1"/>
  <c r="S436" i="9"/>
  <c r="R436" i="9" s="1"/>
  <c r="C436" i="9" a="1"/>
  <c r="S204" i="9"/>
  <c r="R204" i="9" s="1"/>
  <c r="C204" i="9" a="1"/>
  <c r="S65" i="9"/>
  <c r="R65" i="9" s="1"/>
  <c r="C65" i="9" a="1"/>
  <c r="S219" i="9"/>
  <c r="R219" i="9" s="1"/>
  <c r="C219" i="9" a="1"/>
  <c r="C179" i="9" a="1"/>
  <c r="S179" i="9"/>
  <c r="R179" i="9" s="1"/>
  <c r="S402" i="9"/>
  <c r="R402" i="9" s="1"/>
  <c r="C402" i="9" a="1"/>
  <c r="C445" i="9" a="1"/>
  <c r="S445" i="9"/>
  <c r="R445" i="9" s="1"/>
  <c r="S168" i="9"/>
  <c r="R168" i="9" s="1"/>
  <c r="C168" i="9" a="1"/>
  <c r="C359" i="9" a="1"/>
  <c r="S359" i="9"/>
  <c r="R359" i="9" s="1"/>
  <c r="S282" i="9"/>
  <c r="R282" i="9" s="1"/>
  <c r="C282" i="9" a="1"/>
  <c r="S387" i="9"/>
  <c r="R387" i="9" s="1"/>
  <c r="C387" i="9" a="1"/>
  <c r="S127" i="9"/>
  <c r="R127" i="9" s="1"/>
  <c r="C127" i="9" a="1"/>
  <c r="C109" i="9" a="1"/>
  <c r="S109" i="9"/>
  <c r="R109" i="9" s="1"/>
  <c r="S111" i="9"/>
  <c r="R111" i="9" s="1"/>
  <c r="C111" i="9" a="1"/>
  <c r="S24" i="9"/>
  <c r="R24" i="9" s="1"/>
  <c r="C24" i="9" a="1"/>
  <c r="S86" i="9"/>
  <c r="R86" i="9" s="1"/>
  <c r="C86" i="9" a="1"/>
  <c r="S242" i="9"/>
  <c r="R242" i="9" s="1"/>
  <c r="C242" i="9" a="1"/>
  <c r="S446" i="9"/>
  <c r="R446" i="9" s="1"/>
  <c r="C446" i="9" a="1"/>
  <c r="S27" i="9"/>
  <c r="R27" i="9" s="1"/>
  <c r="C27" i="9" a="1"/>
  <c r="S207" i="9"/>
  <c r="R207" i="9" s="1"/>
  <c r="C207" i="9" a="1"/>
  <c r="S435" i="9"/>
  <c r="R435" i="9" s="1"/>
  <c r="C435" i="9" a="1"/>
  <c r="S440" i="9"/>
  <c r="R440" i="9" s="1"/>
  <c r="C440" i="9" a="1"/>
  <c r="S220" i="9"/>
  <c r="R220" i="9" s="1"/>
  <c r="C220" i="9" a="1"/>
  <c r="C412" i="9" a="1"/>
  <c r="S412" i="9"/>
  <c r="R412" i="9" s="1"/>
  <c r="S236" i="9"/>
  <c r="R236" i="9" s="1"/>
  <c r="C236" i="9" a="1"/>
  <c r="S137" i="9"/>
  <c r="R137" i="9" s="1"/>
  <c r="C137" i="9" a="1"/>
  <c r="S353" i="9"/>
  <c r="R353" i="9" s="1"/>
  <c r="C353" i="9" a="1"/>
  <c r="S187" i="9"/>
  <c r="R187" i="9" s="1"/>
  <c r="C187" i="9" a="1"/>
  <c r="S174" i="9"/>
  <c r="R174" i="9" s="1"/>
  <c r="C174" i="9" a="1"/>
  <c r="S390" i="9"/>
  <c r="R390" i="9" s="1"/>
  <c r="C390" i="9" a="1"/>
  <c r="S223" i="9"/>
  <c r="R223" i="9" s="1"/>
  <c r="C223" i="9" a="1"/>
  <c r="S104" i="9"/>
  <c r="R104" i="9" s="1"/>
  <c r="C104" i="9" a="1"/>
  <c r="S188" i="9"/>
  <c r="R188" i="9" s="1"/>
  <c r="C188" i="9" a="1"/>
  <c r="S428" i="9"/>
  <c r="R428" i="9" s="1"/>
  <c r="C428" i="9" a="1"/>
  <c r="S201" i="9"/>
  <c r="R201" i="9" s="1"/>
  <c r="C201" i="9" a="1"/>
  <c r="S429" i="9"/>
  <c r="R429" i="9" s="1"/>
  <c r="C429" i="9" a="1"/>
  <c r="S118" i="9"/>
  <c r="R118" i="9" s="1"/>
  <c r="C118" i="9" a="1"/>
  <c r="S454" i="9"/>
  <c r="R454" i="9" s="1"/>
  <c r="C454" i="9" a="1"/>
  <c r="C107" i="9" a="1"/>
  <c r="S107" i="9"/>
  <c r="R107" i="9" s="1"/>
  <c r="C383" i="9" a="1"/>
  <c r="S383" i="9"/>
  <c r="R383" i="9" s="1"/>
  <c r="S156" i="9"/>
  <c r="R156" i="9" s="1"/>
  <c r="C156" i="9" a="1"/>
  <c r="S396" i="9"/>
  <c r="R396" i="9" s="1"/>
  <c r="C396" i="9" a="1"/>
  <c r="C241" i="9" a="1"/>
  <c r="S241" i="9"/>
  <c r="R241" i="9" s="1"/>
  <c r="C481" i="9" a="1"/>
  <c r="S481" i="9"/>
  <c r="R481" i="9" s="1"/>
  <c r="S459" i="9"/>
  <c r="R459" i="9" s="1"/>
  <c r="C459" i="9" a="1"/>
  <c r="S192" i="9"/>
  <c r="R192" i="9" s="1"/>
  <c r="C192" i="9" a="1"/>
  <c r="S31" i="9"/>
  <c r="R31" i="9" s="1"/>
  <c r="C31" i="9" a="1"/>
  <c r="S264" i="9"/>
  <c r="R264" i="9" s="1"/>
  <c r="C264" i="9" a="1"/>
  <c r="S77" i="9"/>
  <c r="R77" i="9" s="1"/>
  <c r="C77" i="9" a="1"/>
  <c r="C361" i="9" a="1"/>
  <c r="S361" i="9"/>
  <c r="R361" i="9" s="1"/>
  <c r="C167" i="9" a="1"/>
  <c r="S167" i="9"/>
  <c r="R167" i="9" s="1"/>
  <c r="S197" i="9"/>
  <c r="R197" i="9" s="1"/>
  <c r="C197" i="9" a="1"/>
  <c r="S450" i="9"/>
  <c r="R450" i="9" s="1"/>
  <c r="C450" i="9" a="1"/>
  <c r="C385" i="9" a="1"/>
  <c r="S385" i="9"/>
  <c r="R385" i="9" s="1"/>
  <c r="S302" i="9"/>
  <c r="R302" i="9" s="1"/>
  <c r="C302" i="9" a="1"/>
  <c r="S285" i="9"/>
  <c r="R285" i="9" s="1"/>
  <c r="C285" i="9" a="1"/>
  <c r="S321" i="9"/>
  <c r="R321" i="9" s="1"/>
  <c r="C321" i="9" a="1"/>
  <c r="C356" i="9" a="1"/>
  <c r="S356" i="9"/>
  <c r="R356" i="9" s="1"/>
  <c r="S224" i="9"/>
  <c r="R224" i="9" s="1"/>
  <c r="C224" i="9" a="1"/>
  <c r="C181" i="9" a="1"/>
  <c r="S181" i="9"/>
  <c r="R181" i="9" s="1"/>
  <c r="S98" i="9"/>
  <c r="R98" i="9" s="1"/>
  <c r="C98" i="9" a="1"/>
  <c r="S254" i="9"/>
  <c r="R254" i="9" s="1"/>
  <c r="C254" i="9" a="1"/>
  <c r="S458" i="9"/>
  <c r="R458" i="9" s="1"/>
  <c r="C458" i="9" a="1"/>
  <c r="S39" i="9"/>
  <c r="R39" i="9" s="1"/>
  <c r="C39" i="9" a="1"/>
  <c r="S267" i="9"/>
  <c r="R267" i="9" s="1"/>
  <c r="C267" i="9" a="1"/>
  <c r="S447" i="9"/>
  <c r="R447" i="9" s="1"/>
  <c r="C447" i="9" a="1"/>
  <c r="C475" i="9" a="1"/>
  <c r="S475" i="9"/>
  <c r="R475" i="9" s="1"/>
  <c r="S232" i="9"/>
  <c r="R232" i="9" s="1"/>
  <c r="C232" i="9" a="1"/>
  <c r="S424" i="9"/>
  <c r="R424" i="9" s="1"/>
  <c r="C424" i="9" a="1"/>
  <c r="S238" i="9"/>
  <c r="R238" i="9" s="1"/>
  <c r="C238" i="9" a="1"/>
  <c r="S149" i="9"/>
  <c r="R149" i="9" s="1"/>
  <c r="C149" i="9" a="1"/>
  <c r="S365" i="9"/>
  <c r="R365" i="9" s="1"/>
  <c r="C365" i="9" a="1"/>
  <c r="S213" i="9"/>
  <c r="R213" i="9" s="1"/>
  <c r="C213" i="9" a="1"/>
  <c r="S235" i="9"/>
  <c r="R235" i="9" s="1"/>
  <c r="C235" i="9" a="1"/>
  <c r="S166" i="9"/>
  <c r="R166" i="9" s="1"/>
  <c r="C166" i="9" a="1"/>
  <c r="S200" i="9"/>
  <c r="R200" i="9" s="1"/>
  <c r="C200" i="9" a="1"/>
  <c r="S249" i="9"/>
  <c r="R249" i="9" s="1"/>
  <c r="C249" i="9" a="1"/>
  <c r="S441" i="9"/>
  <c r="R441" i="9" s="1"/>
  <c r="C441" i="9" a="1"/>
  <c r="S142" i="9"/>
  <c r="R142" i="9" s="1"/>
  <c r="C142" i="9" a="1"/>
  <c r="S478" i="9"/>
  <c r="R478" i="9" s="1"/>
  <c r="C478" i="9" a="1"/>
  <c r="C131" i="9" a="1"/>
  <c r="S131" i="9"/>
  <c r="R131" i="9" s="1"/>
  <c r="C395" i="9" a="1"/>
  <c r="S395" i="9"/>
  <c r="R395" i="9" s="1"/>
  <c r="C253" i="9" a="1"/>
  <c r="S253" i="9"/>
  <c r="R253" i="9" s="1"/>
  <c r="AX347" i="1"/>
  <c r="B347" i="1"/>
  <c r="V164" i="1"/>
  <c r="A347" i="1"/>
  <c r="V257" i="1"/>
  <c r="A455" i="1"/>
  <c r="V455" i="1"/>
  <c r="V292" i="1"/>
  <c r="B292" i="1"/>
  <c r="A392" i="1"/>
  <c r="A218" i="1"/>
  <c r="B204" i="1"/>
  <c r="AX391" i="1"/>
  <c r="B197" i="1"/>
  <c r="V428" i="1"/>
  <c r="AX292" i="1"/>
  <c r="V386" i="1"/>
  <c r="B305" i="1"/>
  <c r="V466" i="1"/>
  <c r="B430" i="1"/>
  <c r="V327" i="1"/>
  <c r="V463" i="1"/>
  <c r="B327" i="1"/>
  <c r="AX327" i="1"/>
  <c r="B324" i="1"/>
  <c r="A389" i="1"/>
  <c r="AX453" i="1"/>
  <c r="B251" i="1"/>
  <c r="V479" i="1"/>
  <c r="B271" i="1"/>
  <c r="A453" i="1"/>
  <c r="AX190" i="1"/>
  <c r="AX472" i="1"/>
  <c r="B218" i="1"/>
  <c r="AX271" i="1"/>
  <c r="A204" i="1"/>
  <c r="AX211" i="1"/>
  <c r="AX204" i="1"/>
  <c r="V404" i="1"/>
  <c r="A472" i="1"/>
  <c r="AX241" i="1"/>
  <c r="B311" i="1"/>
  <c r="AX431" i="1"/>
  <c r="B386" i="1"/>
  <c r="AX237" i="1"/>
  <c r="A452" i="1"/>
  <c r="V392" i="1"/>
  <c r="V472" i="1"/>
  <c r="V251" i="1"/>
  <c r="AX381" i="1"/>
  <c r="B418" i="1"/>
  <c r="AX470" i="1"/>
  <c r="AX251" i="1"/>
  <c r="AX232" i="1"/>
  <c r="A241" i="1"/>
  <c r="A305" i="1"/>
  <c r="V338" i="1"/>
  <c r="V375" i="1"/>
  <c r="B172" i="1"/>
  <c r="A270" i="1"/>
  <c r="B246" i="1"/>
  <c r="AX356" i="1"/>
  <c r="B270" i="1"/>
  <c r="A297" i="1"/>
  <c r="A375" i="1"/>
  <c r="A232" i="1"/>
  <c r="AX303" i="1"/>
  <c r="B297" i="1"/>
  <c r="V297" i="1"/>
  <c r="B303" i="1"/>
  <c r="AX359" i="1"/>
  <c r="V434" i="1"/>
  <c r="AX270" i="1"/>
  <c r="V303" i="1"/>
  <c r="B165" i="1"/>
  <c r="B434" i="1"/>
  <c r="AX375" i="1"/>
  <c r="AX377" i="1"/>
  <c r="AX434" i="1"/>
  <c r="A359" i="1"/>
  <c r="A401" i="1"/>
  <c r="V453" i="1"/>
  <c r="V359" i="1"/>
  <c r="AX299" i="1"/>
  <c r="A338" i="1"/>
  <c r="Y18" i="21"/>
  <c r="S17" i="21"/>
  <c r="R18" i="21"/>
  <c r="C19" i="21"/>
  <c r="B17" i="21"/>
  <c r="A17" i="21"/>
  <c r="Q17" i="21"/>
  <c r="B16" i="21"/>
  <c r="A16" i="21"/>
  <c r="Q16" i="21"/>
  <c r="C19" i="20"/>
  <c r="Y19" i="20" s="1"/>
  <c r="C20" i="20"/>
  <c r="C21" i="20"/>
  <c r="Y18" i="20"/>
  <c r="S17" i="20"/>
  <c r="R18" i="20"/>
  <c r="R19" i="20"/>
  <c r="Q17" i="20"/>
  <c r="B17" i="20"/>
  <c r="A17" i="20"/>
  <c r="B188" i="1"/>
  <c r="AX166" i="1"/>
  <c r="B401" i="1"/>
  <c r="A419" i="1"/>
  <c r="V430" i="1"/>
  <c r="AX345" i="1"/>
  <c r="B463" i="1"/>
  <c r="V172" i="1"/>
  <c r="V263" i="1"/>
  <c r="A172" i="1"/>
  <c r="V188" i="1"/>
  <c r="B381" i="1"/>
  <c r="V401" i="1"/>
  <c r="V381" i="1"/>
  <c r="AX188" i="1"/>
  <c r="AX218" i="1"/>
  <c r="B389" i="1"/>
  <c r="A271" i="1"/>
  <c r="AX338" i="1"/>
  <c r="A380" i="1"/>
  <c r="V452" i="1"/>
  <c r="B479" i="1"/>
  <c r="B455" i="1"/>
  <c r="A290" i="1"/>
  <c r="AX452" i="1"/>
  <c r="B208" i="1"/>
  <c r="B405" i="1"/>
  <c r="V389" i="1"/>
  <c r="A230" i="1"/>
  <c r="V429" i="1"/>
  <c r="V211" i="1"/>
  <c r="V165" i="1"/>
  <c r="A429" i="1"/>
  <c r="AX476" i="1"/>
  <c r="B241" i="1"/>
  <c r="V324" i="1"/>
  <c r="B211" i="1"/>
  <c r="V311" i="1"/>
  <c r="V406" i="1"/>
  <c r="A165" i="1"/>
  <c r="B190" i="1"/>
  <c r="AX230" i="1"/>
  <c r="V475" i="1"/>
  <c r="A463" i="1"/>
  <c r="B232" i="1"/>
  <c r="B332" i="1"/>
  <c r="B230" i="1"/>
  <c r="AX443" i="1"/>
  <c r="A378" i="1"/>
  <c r="A248" i="1"/>
  <c r="B416" i="1"/>
  <c r="A221" i="1"/>
  <c r="A217" i="1"/>
  <c r="B299" i="1"/>
  <c r="V318" i="1"/>
  <c r="AX429" i="1"/>
  <c r="A192" i="1"/>
  <c r="AX278" i="1"/>
  <c r="A430" i="1"/>
  <c r="V405" i="1"/>
  <c r="A330" i="1"/>
  <c r="V278" i="1"/>
  <c r="A320" i="1"/>
  <c r="B158" i="1"/>
  <c r="AX192" i="1"/>
  <c r="AX311" i="1"/>
  <c r="A376" i="1"/>
  <c r="A416" i="1"/>
  <c r="B278" i="1"/>
  <c r="B341" i="1"/>
  <c r="V320" i="1"/>
  <c r="V416" i="1"/>
  <c r="V391" i="1"/>
  <c r="AX217" i="1"/>
  <c r="B392" i="1"/>
  <c r="AX320" i="1"/>
  <c r="V299" i="1"/>
  <c r="V323" i="1"/>
  <c r="B217" i="1"/>
  <c r="B189" i="1"/>
  <c r="B192" i="1"/>
  <c r="V189" i="1"/>
  <c r="A431" i="1"/>
  <c r="AX405" i="1"/>
  <c r="B166" i="1"/>
  <c r="B464" i="1"/>
  <c r="V259" i="1"/>
  <c r="A166" i="1"/>
  <c r="AX259" i="1"/>
  <c r="A259" i="1"/>
  <c r="AX407" i="1"/>
  <c r="V454" i="1"/>
  <c r="B393" i="1"/>
  <c r="B387" i="1"/>
  <c r="A464" i="1"/>
  <c r="AX393" i="1"/>
  <c r="A387" i="1"/>
  <c r="AX333" i="1"/>
  <c r="V333" i="1"/>
  <c r="AX464" i="1"/>
  <c r="V387" i="1"/>
  <c r="A215" i="1"/>
  <c r="V290" i="1"/>
  <c r="B342" i="1"/>
  <c r="B290" i="1"/>
  <c r="A407" i="1"/>
  <c r="V393" i="1"/>
  <c r="A333" i="1"/>
  <c r="V194" i="1"/>
  <c r="AX481" i="1"/>
  <c r="V462" i="1"/>
  <c r="V305" i="1"/>
  <c r="V171" i="1"/>
  <c r="AX171" i="1"/>
  <c r="B171" i="1"/>
  <c r="AX208" i="1"/>
  <c r="A391" i="1"/>
  <c r="A208" i="1"/>
  <c r="B417" i="1"/>
  <c r="V417" i="1"/>
  <c r="AX417" i="1"/>
  <c r="B258" i="1"/>
  <c r="AX323" i="1"/>
  <c r="AX454" i="1"/>
  <c r="AX386" i="1"/>
  <c r="AX337" i="1"/>
  <c r="B337" i="1"/>
  <c r="A337" i="1"/>
  <c r="B308" i="1"/>
  <c r="B422" i="1"/>
  <c r="V248" i="1"/>
  <c r="V415" i="1"/>
  <c r="AX274" i="1"/>
  <c r="A415" i="1"/>
  <c r="A258" i="1"/>
  <c r="B415" i="1"/>
  <c r="AX422" i="1"/>
  <c r="B454" i="1"/>
  <c r="B431" i="1"/>
  <c r="V422" i="1"/>
  <c r="AX306" i="1"/>
  <c r="B351" i="1"/>
  <c r="A244" i="1"/>
  <c r="A189" i="1"/>
  <c r="AX244" i="1"/>
  <c r="V279" i="1"/>
  <c r="AX341" i="1"/>
  <c r="V341" i="1"/>
  <c r="V253" i="1"/>
  <c r="B253" i="1"/>
  <c r="B318" i="1"/>
  <c r="V356" i="1"/>
  <c r="AX263" i="1"/>
  <c r="A190" i="1"/>
  <c r="A206" i="1"/>
  <c r="A318" i="1"/>
  <c r="AX372" i="1"/>
  <c r="V481" i="1"/>
  <c r="A263" i="1"/>
  <c r="B372" i="1"/>
  <c r="A279" i="1"/>
  <c r="B244" i="1"/>
  <c r="B476" i="1"/>
  <c r="A372" i="1"/>
  <c r="V306" i="1"/>
  <c r="AX474" i="1"/>
  <c r="AX254" i="1"/>
  <c r="B254" i="1"/>
  <c r="A356" i="1"/>
  <c r="B306" i="1"/>
  <c r="B481" i="1"/>
  <c r="A440" i="1"/>
  <c r="A254" i="1"/>
  <c r="V440" i="1"/>
  <c r="V476" i="1"/>
  <c r="AX258" i="1"/>
  <c r="AX279" i="1"/>
  <c r="AX440" i="1"/>
  <c r="A479" i="1"/>
  <c r="B245" i="1"/>
  <c r="AX378" i="1"/>
  <c r="AX176" i="1"/>
  <c r="B378" i="1"/>
  <c r="A176" i="1"/>
  <c r="V176" i="1"/>
  <c r="AX225" i="1"/>
  <c r="V245" i="1"/>
  <c r="AX245" i="1"/>
  <c r="V458" i="1"/>
  <c r="V345" i="1"/>
  <c r="AX187" i="1"/>
  <c r="V187" i="1"/>
  <c r="V175" i="1"/>
  <c r="B175" i="1"/>
  <c r="A275" i="1"/>
  <c r="AX175" i="1"/>
  <c r="V163" i="1"/>
  <c r="V313" i="1"/>
  <c r="V275" i="1"/>
  <c r="V468" i="1"/>
  <c r="AX163" i="1"/>
  <c r="A351" i="1"/>
  <c r="AX178" i="1"/>
  <c r="V221" i="1"/>
  <c r="AX275" i="1"/>
  <c r="B163" i="1"/>
  <c r="B301" i="1"/>
  <c r="B450" i="1"/>
  <c r="V450" i="1"/>
  <c r="A450" i="1"/>
  <c r="AX450" i="1"/>
  <c r="B257" i="1"/>
  <c r="A257" i="1"/>
  <c r="B178" i="1"/>
  <c r="AX221" i="1"/>
  <c r="B468" i="1"/>
  <c r="V301" i="1"/>
  <c r="AX468" i="1"/>
  <c r="B403" i="1"/>
  <c r="V403" i="1"/>
  <c r="B182" i="1"/>
  <c r="A178" i="1"/>
  <c r="AX242" i="1"/>
  <c r="A462" i="1"/>
  <c r="AX182" i="1"/>
  <c r="A403" i="1"/>
  <c r="A456" i="1"/>
  <c r="V294" i="1"/>
  <c r="B242" i="1"/>
  <c r="V291" i="1"/>
  <c r="A175" i="1"/>
  <c r="V182" i="1"/>
  <c r="A187" i="1"/>
  <c r="AX301" i="1"/>
  <c r="A242" i="1"/>
  <c r="AX462" i="1"/>
  <c r="V456" i="1"/>
  <c r="AX349" i="1"/>
  <c r="AX291" i="1"/>
  <c r="B345" i="1"/>
  <c r="V351" i="1"/>
  <c r="B291" i="1"/>
  <c r="A442" i="1"/>
  <c r="A475" i="1"/>
  <c r="B456" i="1"/>
  <c r="A177" i="1"/>
  <c r="B323" i="1"/>
  <c r="B294" i="1"/>
  <c r="AX324" i="1"/>
  <c r="B407" i="1"/>
  <c r="AX248" i="1"/>
  <c r="B206" i="1"/>
  <c r="AX206" i="1"/>
  <c r="A294" i="1"/>
  <c r="A362" i="1"/>
  <c r="V342" i="1"/>
  <c r="AX342" i="1"/>
  <c r="V308" i="1"/>
  <c r="A308" i="1"/>
  <c r="V183" i="1"/>
  <c r="V223" i="1"/>
  <c r="B460" i="1"/>
  <c r="AX288" i="1"/>
  <c r="AX376" i="1"/>
  <c r="B376" i="1"/>
  <c r="AX362" i="1"/>
  <c r="AX223" i="1"/>
  <c r="A460" i="1"/>
  <c r="B475" i="1"/>
  <c r="A313" i="1"/>
  <c r="AX313" i="1"/>
  <c r="AX329" i="1"/>
  <c r="V329" i="1"/>
  <c r="B329" i="1"/>
  <c r="B223" i="1"/>
  <c r="V460" i="1"/>
  <c r="A288" i="1"/>
  <c r="B288" i="1"/>
  <c r="A315" i="1"/>
  <c r="V315" i="1"/>
  <c r="B315" i="1"/>
  <c r="AX315" i="1"/>
  <c r="A289" i="1"/>
  <c r="V289" i="1"/>
  <c r="B289" i="1"/>
  <c r="AX289" i="1"/>
  <c r="AX183" i="1"/>
  <c r="B183" i="1"/>
  <c r="A408" i="1"/>
  <c r="V408" i="1"/>
  <c r="B408" i="1"/>
  <c r="V177" i="1"/>
  <c r="V442" i="1"/>
  <c r="AX325" i="1"/>
  <c r="B362" i="1"/>
  <c r="B325" i="1"/>
  <c r="A309" i="1"/>
  <c r="V309" i="1"/>
  <c r="B309" i="1"/>
  <c r="A353" i="1"/>
  <c r="A325" i="1"/>
  <c r="V193" i="1"/>
  <c r="A193" i="1"/>
  <c r="AX193" i="1"/>
  <c r="V246" i="1"/>
  <c r="AX246" i="1"/>
  <c r="B177" i="1"/>
  <c r="B442" i="1"/>
  <c r="A213" i="1"/>
  <c r="V213" i="1"/>
  <c r="V212" i="1"/>
  <c r="A212" i="1"/>
  <c r="AX212" i="1"/>
  <c r="V215" i="1"/>
  <c r="AX215" i="1"/>
  <c r="V169" i="1"/>
  <c r="B169" i="1"/>
  <c r="A169" i="1"/>
  <c r="AX169" i="1"/>
  <c r="V312" i="1"/>
  <c r="A312" i="1"/>
  <c r="AX312" i="1"/>
  <c r="V353" i="1"/>
  <c r="B353" i="1"/>
  <c r="A444" i="1"/>
  <c r="AX444" i="1"/>
  <c r="V444" i="1"/>
  <c r="B444" i="1"/>
  <c r="B348" i="1"/>
  <c r="A348" i="1"/>
  <c r="AX348" i="1"/>
  <c r="V348" i="1"/>
  <c r="A373" i="1"/>
  <c r="AX373" i="1"/>
  <c r="V373" i="1"/>
  <c r="B373" i="1"/>
  <c r="AX195" i="1"/>
  <c r="B224" i="1"/>
  <c r="V224" i="1"/>
  <c r="A224" i="1"/>
  <c r="AX224" i="1"/>
  <c r="V180" i="1"/>
  <c r="B180" i="1"/>
  <c r="AX180" i="1"/>
  <c r="AX330" i="1"/>
  <c r="V330" i="1"/>
  <c r="B349" i="1"/>
  <c r="V349" i="1"/>
  <c r="A227" i="1"/>
  <c r="V227" i="1"/>
  <c r="AX227" i="1"/>
  <c r="V332" i="1"/>
  <c r="A332" i="1"/>
  <c r="B474" i="1"/>
  <c r="A474" i="1"/>
  <c r="AX371" i="1"/>
  <c r="V371" i="1"/>
  <c r="B371" i="1"/>
  <c r="B466" i="1"/>
  <c r="A466" i="1"/>
  <c r="AX384" i="1"/>
  <c r="B384" i="1"/>
  <c r="V384" i="1"/>
  <c r="V296" i="1"/>
  <c r="A296" i="1"/>
  <c r="B213" i="1"/>
  <c r="B236" i="1"/>
  <c r="V236" i="1"/>
  <c r="A236" i="1"/>
  <c r="AX236" i="1"/>
  <c r="A225" i="1"/>
  <c r="V225" i="1"/>
  <c r="AX363" i="1"/>
  <c r="V363" i="1"/>
  <c r="A363" i="1"/>
  <c r="B363" i="1"/>
  <c r="V419" i="1"/>
  <c r="B419" i="1"/>
  <c r="A369" i="1"/>
  <c r="V369" i="1"/>
  <c r="B369" i="1"/>
  <c r="AX369" i="1"/>
  <c r="V335" i="1"/>
  <c r="V181" i="1"/>
  <c r="AX181" i="1"/>
  <c r="A181" i="1"/>
  <c r="B181" i="1"/>
  <c r="A249" i="1"/>
  <c r="B249" i="1"/>
  <c r="V249" i="1"/>
  <c r="A377" i="1"/>
  <c r="V377" i="1"/>
  <c r="A282" i="1"/>
  <c r="V282" i="1"/>
  <c r="AX282" i="1"/>
  <c r="AX335" i="1"/>
  <c r="A261" i="1"/>
  <c r="B261" i="1"/>
  <c r="V261" i="1"/>
  <c r="A237" i="1"/>
  <c r="V237" i="1"/>
  <c r="A277" i="1"/>
  <c r="V277" i="1"/>
  <c r="B277" i="1"/>
  <c r="V443" i="1"/>
  <c r="B443" i="1"/>
  <c r="A197" i="1"/>
  <c r="V197" i="1"/>
  <c r="A239" i="1"/>
  <c r="V239" i="1"/>
  <c r="AX239" i="1"/>
  <c r="B170" i="1"/>
  <c r="B335" i="1"/>
  <c r="AX380" i="1"/>
  <c r="B380" i="1"/>
  <c r="B368" i="1"/>
  <c r="A368" i="1"/>
  <c r="V368" i="1"/>
  <c r="AX368" i="1"/>
  <c r="AX406" i="1"/>
  <c r="A406" i="1"/>
  <c r="B195" i="1"/>
  <c r="V195" i="1"/>
  <c r="V158" i="1"/>
  <c r="AX158" i="1"/>
  <c r="A396" i="1"/>
  <c r="V396" i="1"/>
  <c r="B396" i="1"/>
  <c r="AX396" i="1"/>
  <c r="A458" i="1"/>
  <c r="AX458" i="1"/>
  <c r="A420" i="1"/>
  <c r="AX420" i="1"/>
  <c r="V420" i="1"/>
  <c r="B420" i="1"/>
  <c r="V274" i="1"/>
  <c r="B274" i="1"/>
  <c r="A432" i="1"/>
  <c r="B432" i="1"/>
  <c r="AX432" i="1"/>
  <c r="V432" i="1"/>
  <c r="V336" i="1"/>
  <c r="A336" i="1"/>
  <c r="AX336" i="1"/>
  <c r="B212" i="1"/>
  <c r="AX296" i="1"/>
  <c r="B164" i="1"/>
  <c r="A164" i="1"/>
  <c r="B470" i="1"/>
  <c r="A470" i="1"/>
  <c r="AX404" i="1"/>
  <c r="B404" i="1"/>
  <c r="AX418" i="1"/>
  <c r="A418" i="1"/>
  <c r="V170" i="1"/>
  <c r="AX170" i="1"/>
  <c r="AX213" i="1"/>
  <c r="A194" i="1"/>
  <c r="AX194" i="1"/>
  <c r="V168" i="1"/>
  <c r="B168" i="1"/>
  <c r="AX168" i="1"/>
  <c r="AX428" i="1"/>
  <c r="B428" i="1"/>
  <c r="V321" i="1"/>
  <c r="A321" i="1"/>
  <c r="B321" i="1"/>
  <c r="AX321" i="1"/>
  <c r="AX250" i="1"/>
  <c r="V250" i="1"/>
  <c r="A250" i="1"/>
  <c r="B250" i="1"/>
  <c r="B352" i="1"/>
  <c r="AX352" i="1"/>
  <c r="V352" i="1"/>
  <c r="A352" i="1"/>
  <c r="V334" i="1"/>
  <c r="A334" i="1"/>
  <c r="B334" i="1"/>
  <c r="AX334" i="1"/>
  <c r="AX326" i="1"/>
  <c r="V326" i="1"/>
  <c r="A326" i="1"/>
  <c r="B326" i="1"/>
  <c r="B427" i="1"/>
  <c r="AX427" i="1"/>
  <c r="V427" i="1"/>
  <c r="A427" i="1"/>
  <c r="AX285" i="1"/>
  <c r="V285" i="1"/>
  <c r="A285" i="1"/>
  <c r="B285" i="1"/>
  <c r="AX307" i="1"/>
  <c r="V307" i="1"/>
  <c r="A307" i="1"/>
  <c r="B307" i="1"/>
  <c r="A185" i="1"/>
  <c r="B185" i="1"/>
  <c r="AX185" i="1"/>
  <c r="V185" i="1"/>
  <c r="AX184" i="1"/>
  <c r="A184" i="1"/>
  <c r="B184" i="1"/>
  <c r="V184" i="1"/>
  <c r="AX226" i="1"/>
  <c r="V226" i="1"/>
  <c r="A226" i="1"/>
  <c r="B226" i="1"/>
  <c r="AX243" i="1"/>
  <c r="V243" i="1"/>
  <c r="A243" i="1"/>
  <c r="B243" i="1"/>
  <c r="B304" i="1"/>
  <c r="AX304" i="1"/>
  <c r="V304" i="1"/>
  <c r="A304" i="1"/>
  <c r="V283" i="1"/>
  <c r="A283" i="1"/>
  <c r="B283" i="1"/>
  <c r="AX283" i="1"/>
  <c r="V198" i="1"/>
  <c r="A198" i="1"/>
  <c r="B198" i="1"/>
  <c r="AX198" i="1"/>
  <c r="B451" i="1"/>
  <c r="AX451" i="1"/>
  <c r="A451" i="1"/>
  <c r="V451" i="1"/>
  <c r="AX191" i="1"/>
  <c r="V191" i="1"/>
  <c r="A191" i="1"/>
  <c r="B191" i="1"/>
  <c r="B202" i="1"/>
  <c r="V202" i="1"/>
  <c r="A202" i="1"/>
  <c r="AX202" i="1"/>
  <c r="B240" i="1"/>
  <c r="AX240" i="1"/>
  <c r="V240" i="1"/>
  <c r="A240" i="1"/>
  <c r="A272" i="1"/>
  <c r="B272" i="1"/>
  <c r="AX272" i="1"/>
  <c r="V272" i="1"/>
  <c r="AX255" i="1"/>
  <c r="V255" i="1"/>
  <c r="A255" i="1"/>
  <c r="B255" i="1"/>
  <c r="AX319" i="1"/>
  <c r="V319" i="1"/>
  <c r="A319" i="1"/>
  <c r="B319" i="1"/>
  <c r="AX219" i="1"/>
  <c r="V219" i="1"/>
  <c r="A219" i="1"/>
  <c r="B219" i="1"/>
  <c r="V322" i="1"/>
  <c r="A322" i="1"/>
  <c r="B322" i="1"/>
  <c r="AX322" i="1"/>
  <c r="AX355" i="1"/>
  <c r="V355" i="1"/>
  <c r="A355" i="1"/>
  <c r="B355" i="1"/>
  <c r="AX343" i="1"/>
  <c r="V343" i="1"/>
  <c r="A343" i="1"/>
  <c r="B343" i="1"/>
  <c r="AX262" i="1"/>
  <c r="V262" i="1"/>
  <c r="A262" i="1"/>
  <c r="B262" i="1"/>
  <c r="AX331" i="1"/>
  <c r="V331" i="1"/>
  <c r="A331" i="1"/>
  <c r="B331" i="1"/>
  <c r="V477" i="1"/>
  <c r="AX477" i="1"/>
  <c r="B477" i="1"/>
  <c r="A477" i="1"/>
  <c r="B370" i="1"/>
  <c r="V370" i="1"/>
  <c r="A370" i="1"/>
  <c r="AX370" i="1"/>
  <c r="V287" i="1"/>
  <c r="A287" i="1"/>
  <c r="B287" i="1"/>
  <c r="AX287" i="1"/>
  <c r="AX449" i="1"/>
  <c r="V449" i="1"/>
  <c r="A449" i="1"/>
  <c r="B449" i="1"/>
  <c r="B264" i="1"/>
  <c r="AX264" i="1"/>
  <c r="V264" i="1"/>
  <c r="A264" i="1"/>
  <c r="V298" i="1"/>
  <c r="A298" i="1"/>
  <c r="B298" i="1"/>
  <c r="AX298" i="1"/>
  <c r="B252" i="1"/>
  <c r="AX252" i="1"/>
  <c r="V252" i="1"/>
  <c r="A252" i="1"/>
  <c r="AX267" i="1"/>
  <c r="V267" i="1"/>
  <c r="A267" i="1"/>
  <c r="B267" i="1"/>
  <c r="B316" i="1"/>
  <c r="AX316" i="1"/>
  <c r="V316" i="1"/>
  <c r="A316" i="1"/>
  <c r="V350" i="1"/>
  <c r="A350" i="1"/>
  <c r="B350" i="1"/>
  <c r="AX350" i="1"/>
  <c r="AX461" i="1"/>
  <c r="V461" i="1"/>
  <c r="A461" i="1"/>
  <c r="B461" i="1"/>
  <c r="AX314" i="1"/>
  <c r="V314" i="1"/>
  <c r="A314" i="1"/>
  <c r="B314" i="1"/>
  <c r="A361" i="1"/>
  <c r="AX361" i="1"/>
  <c r="V361" i="1"/>
  <c r="B361" i="1"/>
  <c r="B439" i="1"/>
  <c r="AX439" i="1"/>
  <c r="V439" i="1"/>
  <c r="A439" i="1"/>
  <c r="V310" i="1"/>
  <c r="A310" i="1"/>
  <c r="B310" i="1"/>
  <c r="AX310" i="1"/>
  <c r="A448" i="1"/>
  <c r="B448" i="1"/>
  <c r="V448" i="1"/>
  <c r="AX448" i="1"/>
  <c r="AX167" i="1"/>
  <c r="V167" i="1"/>
  <c r="A167" i="1"/>
  <c r="B167" i="1"/>
  <c r="AX238" i="1"/>
  <c r="V238" i="1"/>
  <c r="A238" i="1"/>
  <c r="B238" i="1"/>
  <c r="V358" i="1"/>
  <c r="B358" i="1"/>
  <c r="AX358" i="1"/>
  <c r="A358" i="1"/>
  <c r="V445" i="1"/>
  <c r="A445" i="1"/>
  <c r="B445" i="1"/>
  <c r="AX445" i="1"/>
  <c r="B228" i="1"/>
  <c r="AX228" i="1"/>
  <c r="V228" i="1"/>
  <c r="A228" i="1"/>
  <c r="AX162" i="1"/>
  <c r="V162" i="1"/>
  <c r="A162" i="1"/>
  <c r="B162" i="1"/>
  <c r="B216" i="1"/>
  <c r="AX216" i="1"/>
  <c r="V216" i="1"/>
  <c r="A216" i="1"/>
  <c r="AX231" i="1"/>
  <c r="V231" i="1"/>
  <c r="A231" i="1"/>
  <c r="B231" i="1"/>
  <c r="AX179" i="1"/>
  <c r="V179" i="1"/>
  <c r="A179" i="1"/>
  <c r="B179" i="1"/>
  <c r="B328" i="1"/>
  <c r="AX328" i="1"/>
  <c r="V328" i="1"/>
  <c r="A328" i="1"/>
  <c r="AX413" i="1"/>
  <c r="V413" i="1"/>
  <c r="A413" i="1"/>
  <c r="B413" i="1"/>
  <c r="AX174" i="1"/>
  <c r="V174" i="1"/>
  <c r="A174" i="1"/>
  <c r="B174" i="1"/>
  <c r="AX186" i="1"/>
  <c r="V186" i="1"/>
  <c r="A186" i="1"/>
  <c r="B186" i="1"/>
  <c r="AX205" i="1"/>
  <c r="V205" i="1"/>
  <c r="A205" i="1"/>
  <c r="B205" i="1"/>
  <c r="A273" i="1"/>
  <c r="AX273" i="1"/>
  <c r="B273" i="1"/>
  <c r="V273" i="1"/>
  <c r="AX302" i="1"/>
  <c r="V302" i="1"/>
  <c r="A302" i="1"/>
  <c r="B302" i="1"/>
  <c r="B364" i="1"/>
  <c r="V364" i="1"/>
  <c r="A364" i="1"/>
  <c r="AX364" i="1"/>
  <c r="A196" i="1"/>
  <c r="AX196" i="1"/>
  <c r="V196" i="1"/>
  <c r="B196" i="1"/>
  <c r="AX207" i="1"/>
  <c r="V207" i="1"/>
  <c r="A207" i="1"/>
  <c r="B207" i="1"/>
  <c r="AX214" i="1"/>
  <c r="V214" i="1"/>
  <c r="A214" i="1"/>
  <c r="B214" i="1"/>
  <c r="B284" i="1"/>
  <c r="A284" i="1"/>
  <c r="AX284" i="1"/>
  <c r="V284" i="1"/>
  <c r="B340" i="1"/>
  <c r="AX340" i="1"/>
  <c r="V340" i="1"/>
  <c r="A340" i="1"/>
  <c r="AX425" i="1"/>
  <c r="V425" i="1"/>
  <c r="A425" i="1"/>
  <c r="B425" i="1"/>
  <c r="C37" i="9" l="1" a="1"/>
  <c r="S37" i="9"/>
  <c r="R37" i="9" s="1"/>
  <c r="Y19" i="21"/>
  <c r="S18" i="21"/>
  <c r="R19" i="21"/>
  <c r="B18" i="21"/>
  <c r="A18" i="21"/>
  <c r="Q18" i="21"/>
  <c r="C20" i="21"/>
  <c r="C21" i="21" s="1"/>
  <c r="S18" i="20"/>
  <c r="Y21" i="20"/>
  <c r="S20" i="20"/>
  <c r="R21" i="20"/>
  <c r="R20" i="20"/>
  <c r="Y20" i="20"/>
  <c r="S19" i="20"/>
  <c r="C22" i="20"/>
  <c r="B19" i="20"/>
  <c r="A19" i="20"/>
  <c r="Q19" i="20"/>
  <c r="B18" i="20"/>
  <c r="A18" i="20"/>
  <c r="Q18" i="20"/>
  <c r="P14" i="1"/>
  <c r="P13" i="1"/>
  <c r="F28" i="14"/>
  <c r="F24" i="14"/>
  <c r="F25" i="14" s="1"/>
  <c r="F22" i="14"/>
  <c r="G19" i="14"/>
  <c r="F19" i="14"/>
  <c r="S55" i="9" l="1"/>
  <c r="R55" i="9" s="1"/>
  <c r="C55" i="9" a="1"/>
  <c r="S56" i="9"/>
  <c r="R56" i="9" s="1"/>
  <c r="C56" i="9" a="1"/>
  <c r="Y21" i="21"/>
  <c r="R21" i="21"/>
  <c r="S20" i="21"/>
  <c r="B19" i="21"/>
  <c r="A19" i="21"/>
  <c r="Q19" i="21"/>
  <c r="Y20" i="21"/>
  <c r="S19" i="21"/>
  <c r="R20" i="21"/>
  <c r="C22" i="21"/>
  <c r="B20" i="20"/>
  <c r="A20" i="20"/>
  <c r="Q20" i="20"/>
  <c r="Q21" i="20"/>
  <c r="B21" i="20"/>
  <c r="A21" i="20"/>
  <c r="Y22" i="20"/>
  <c r="S21" i="20"/>
  <c r="R22" i="20"/>
  <c r="AX836" i="9"/>
  <c r="AX837" i="9"/>
  <c r="AX839" i="9"/>
  <c r="AX840" i="9"/>
  <c r="AX841" i="9"/>
  <c r="AX11" i="9"/>
  <c r="AX79" i="7"/>
  <c r="AX80" i="7"/>
  <c r="AX81" i="7"/>
  <c r="AX82" i="7"/>
  <c r="AX83" i="7"/>
  <c r="AX84" i="7"/>
  <c r="AX85" i="7"/>
  <c r="AX11" i="7"/>
  <c r="AX11" i="1"/>
  <c r="AX493" i="1"/>
  <c r="AX494" i="1"/>
  <c r="AX495" i="1"/>
  <c r="AX496" i="1"/>
  <c r="AX497" i="1"/>
  <c r="AX498" i="1"/>
  <c r="AX499" i="1"/>
  <c r="C73" i="9" l="1" a="1"/>
  <c r="S73" i="9"/>
  <c r="R73" i="9" s="1"/>
  <c r="S72" i="9"/>
  <c r="R72" i="9" s="1"/>
  <c r="C72" i="9" a="1"/>
  <c r="Y22" i="21"/>
  <c r="R22" i="21"/>
  <c r="S21" i="21"/>
  <c r="B20" i="21"/>
  <c r="A20" i="21"/>
  <c r="Q20" i="21"/>
  <c r="B21" i="21"/>
  <c r="A21" i="21"/>
  <c r="Q21" i="21"/>
  <c r="B22" i="20"/>
  <c r="A22" i="20"/>
  <c r="Q22" i="20"/>
  <c r="AM14" i="1"/>
  <c r="AN14" i="1" s="1"/>
  <c r="AM13" i="1"/>
  <c r="AN13" i="1" s="1"/>
  <c r="AI14" i="1" a="1"/>
  <c r="AI14" i="1" s="1"/>
  <c r="AI13" i="1" a="1"/>
  <c r="AI13" i="1" s="1"/>
  <c r="AD12" i="9"/>
  <c r="K79" i="18"/>
  <c r="R77" i="18"/>
  <c r="T76" i="18"/>
  <c r="S76" i="18"/>
  <c r="P76" i="18"/>
  <c r="O76" i="18"/>
  <c r="N76" i="18"/>
  <c r="L76" i="18"/>
  <c r="M76" i="18" s="1"/>
  <c r="C76" i="18"/>
  <c r="Y76" i="18"/>
  <c r="T75" i="18"/>
  <c r="P75" i="18"/>
  <c r="O75" i="18"/>
  <c r="N75" i="18"/>
  <c r="L75" i="18"/>
  <c r="M75" i="18" s="1"/>
  <c r="C75" i="18"/>
  <c r="R75" i="18" s="1"/>
  <c r="T74" i="18"/>
  <c r="P74" i="18"/>
  <c r="O74" i="18"/>
  <c r="N74" i="18"/>
  <c r="L74" i="18"/>
  <c r="M74" i="18" s="1"/>
  <c r="C74" i="18"/>
  <c r="S73" i="18" s="1"/>
  <c r="T73" i="18"/>
  <c r="P73" i="18"/>
  <c r="O73" i="18"/>
  <c r="N73" i="18"/>
  <c r="L73" i="18"/>
  <c r="M73" i="18" s="1"/>
  <c r="C73" i="18"/>
  <c r="S72" i="18" s="1"/>
  <c r="T72" i="18"/>
  <c r="P72" i="18"/>
  <c r="O72" i="18"/>
  <c r="N72" i="18"/>
  <c r="L72" i="18"/>
  <c r="M72" i="18" s="1"/>
  <c r="C72" i="18"/>
  <c r="Y72" i="18" s="1"/>
  <c r="T71" i="18"/>
  <c r="P71" i="18"/>
  <c r="O71" i="18"/>
  <c r="N71" i="18"/>
  <c r="L71" i="18"/>
  <c r="M71" i="18" s="1"/>
  <c r="C71" i="18"/>
  <c r="R71" i="18"/>
  <c r="T70" i="18"/>
  <c r="P70" i="18"/>
  <c r="O70" i="18"/>
  <c r="N70" i="18"/>
  <c r="L70" i="18"/>
  <c r="M70" i="18" s="1"/>
  <c r="C70" i="18"/>
  <c r="R70" i="18" s="1"/>
  <c r="T69" i="18"/>
  <c r="P69" i="18"/>
  <c r="O69" i="18"/>
  <c r="N69" i="18"/>
  <c r="L69" i="18"/>
  <c r="M69" i="18" s="1"/>
  <c r="C69" i="18"/>
  <c r="R69" i="18" s="1"/>
  <c r="T68" i="18"/>
  <c r="P68" i="18"/>
  <c r="O68" i="18"/>
  <c r="N68" i="18"/>
  <c r="L68" i="18"/>
  <c r="M68" i="18" s="1"/>
  <c r="C68" i="18"/>
  <c r="Y68" i="18"/>
  <c r="T67" i="18"/>
  <c r="P67" i="18"/>
  <c r="O67" i="18"/>
  <c r="N67" i="18"/>
  <c r="L67" i="18"/>
  <c r="M67" i="18"/>
  <c r="C67" i="18"/>
  <c r="Y67" i="18" s="1"/>
  <c r="T66" i="18"/>
  <c r="P66" i="18"/>
  <c r="O66" i="18"/>
  <c r="N66" i="18"/>
  <c r="L66" i="18"/>
  <c r="M66" i="18" s="1"/>
  <c r="C66" i="18"/>
  <c r="Y66" i="18" s="1"/>
  <c r="T65" i="18"/>
  <c r="P65" i="18"/>
  <c r="O65" i="18"/>
  <c r="N65" i="18"/>
  <c r="L65" i="18"/>
  <c r="M65" i="18" s="1"/>
  <c r="C65" i="18"/>
  <c r="S64" i="18" s="1"/>
  <c r="T64" i="18"/>
  <c r="P64" i="18"/>
  <c r="O64" i="18"/>
  <c r="N64" i="18"/>
  <c r="L64" i="18"/>
  <c r="M64" i="18" s="1"/>
  <c r="C64" i="18"/>
  <c r="Y64" i="18" s="1"/>
  <c r="T63" i="18"/>
  <c r="P63" i="18"/>
  <c r="O63" i="18"/>
  <c r="N63" i="18"/>
  <c r="L63" i="18"/>
  <c r="M63" i="18" s="1"/>
  <c r="C63" i="18"/>
  <c r="R63" i="18" s="1"/>
  <c r="T62" i="18"/>
  <c r="P62" i="18"/>
  <c r="O62" i="18"/>
  <c r="N62" i="18"/>
  <c r="L62" i="18"/>
  <c r="M62" i="18" s="1"/>
  <c r="C62" i="18"/>
  <c r="Y62" i="18" s="1"/>
  <c r="T61" i="18"/>
  <c r="P61" i="18"/>
  <c r="O61" i="18"/>
  <c r="N61" i="18"/>
  <c r="L61" i="18"/>
  <c r="M61" i="18" s="1"/>
  <c r="C61" i="18"/>
  <c r="Y61" i="18" s="1"/>
  <c r="T60" i="18"/>
  <c r="P60" i="18"/>
  <c r="O60" i="18"/>
  <c r="N60" i="18"/>
  <c r="L60" i="18"/>
  <c r="M60" i="18" s="1"/>
  <c r="C60" i="18"/>
  <c r="Y60" i="18" s="1"/>
  <c r="T59" i="18"/>
  <c r="P59" i="18"/>
  <c r="O59" i="18"/>
  <c r="N59" i="18"/>
  <c r="L59" i="18"/>
  <c r="M59" i="18"/>
  <c r="C59" i="18"/>
  <c r="T58" i="18"/>
  <c r="P58" i="18"/>
  <c r="O58" i="18"/>
  <c r="N58" i="18"/>
  <c r="L58" i="18"/>
  <c r="M58" i="18" s="1"/>
  <c r="C58" i="18"/>
  <c r="R58" i="18" s="1"/>
  <c r="T57" i="18"/>
  <c r="P57" i="18"/>
  <c r="O57" i="18"/>
  <c r="N57" i="18"/>
  <c r="L57" i="18"/>
  <c r="M57" i="18" s="1"/>
  <c r="C57" i="18"/>
  <c r="Y57" i="18" s="1"/>
  <c r="T56" i="18"/>
  <c r="P56" i="18"/>
  <c r="O56" i="18"/>
  <c r="N56" i="18"/>
  <c r="L56" i="18"/>
  <c r="M56" i="18" s="1"/>
  <c r="C56" i="18"/>
  <c r="Y56" i="18"/>
  <c r="T55" i="18"/>
  <c r="P55" i="18"/>
  <c r="O55" i="18"/>
  <c r="N55" i="18"/>
  <c r="L55" i="18"/>
  <c r="M55" i="18" s="1"/>
  <c r="C55" i="18"/>
  <c r="Y55" i="18" s="1"/>
  <c r="T54" i="18"/>
  <c r="P54" i="18"/>
  <c r="O54" i="18"/>
  <c r="N54" i="18"/>
  <c r="L54" i="18"/>
  <c r="M54" i="18" s="1"/>
  <c r="C54" i="18"/>
  <c r="Y54" i="18" s="1"/>
  <c r="T53" i="18"/>
  <c r="P53" i="18"/>
  <c r="O53" i="18"/>
  <c r="N53" i="18"/>
  <c r="L53" i="18"/>
  <c r="M53" i="18" s="1"/>
  <c r="C53" i="18"/>
  <c r="Y53" i="18" s="1"/>
  <c r="T52" i="18"/>
  <c r="P52" i="18"/>
  <c r="O52" i="18"/>
  <c r="N52" i="18"/>
  <c r="L52" i="18"/>
  <c r="M52" i="18" s="1"/>
  <c r="C52" i="18"/>
  <c r="Y52" i="18" s="1"/>
  <c r="T51" i="18"/>
  <c r="P51" i="18"/>
  <c r="O51" i="18"/>
  <c r="N51" i="18"/>
  <c r="L51" i="18"/>
  <c r="M51" i="18" s="1"/>
  <c r="C51" i="18"/>
  <c r="R51" i="18" s="1"/>
  <c r="T50" i="18"/>
  <c r="P50" i="18"/>
  <c r="O50" i="18"/>
  <c r="N50" i="18"/>
  <c r="L50" i="18"/>
  <c r="M50" i="18" s="1"/>
  <c r="C50" i="18"/>
  <c r="S49" i="18" s="1"/>
  <c r="T49" i="18"/>
  <c r="P49" i="18"/>
  <c r="O49" i="18"/>
  <c r="N49" i="18"/>
  <c r="L49" i="18"/>
  <c r="M49" i="18" s="1"/>
  <c r="C49" i="18"/>
  <c r="T48" i="18"/>
  <c r="P48" i="18"/>
  <c r="O48" i="18"/>
  <c r="N48" i="18"/>
  <c r="L48" i="18"/>
  <c r="M48" i="18" s="1"/>
  <c r="C48" i="18"/>
  <c r="Y48" i="18" s="1"/>
  <c r="T47" i="18"/>
  <c r="P47" i="18"/>
  <c r="O47" i="18"/>
  <c r="N47" i="18"/>
  <c r="L47" i="18"/>
  <c r="M47" i="18" s="1"/>
  <c r="C47" i="18"/>
  <c r="Y47" i="18" s="1"/>
  <c r="T46" i="18"/>
  <c r="P46" i="18"/>
  <c r="O46" i="18"/>
  <c r="N46" i="18"/>
  <c r="L46" i="18"/>
  <c r="M46" i="18" s="1"/>
  <c r="C46" i="18"/>
  <c r="R46" i="18" s="1"/>
  <c r="T45" i="18"/>
  <c r="P45" i="18"/>
  <c r="O45" i="18"/>
  <c r="N45" i="18"/>
  <c r="L45" i="18"/>
  <c r="M45" i="18" s="1"/>
  <c r="C45" i="18"/>
  <c r="R45" i="18" s="1"/>
  <c r="T44" i="18"/>
  <c r="P44" i="18"/>
  <c r="O44" i="18"/>
  <c r="N44" i="18"/>
  <c r="L44" i="18"/>
  <c r="M44" i="18" s="1"/>
  <c r="C44" i="18"/>
  <c r="S43" i="18" s="1"/>
  <c r="T43" i="18"/>
  <c r="P43" i="18"/>
  <c r="O43" i="18"/>
  <c r="N43" i="18"/>
  <c r="L43" i="18"/>
  <c r="M43" i="18" s="1"/>
  <c r="C43" i="18"/>
  <c r="Y43" i="18" s="1"/>
  <c r="T42" i="18"/>
  <c r="P42" i="18"/>
  <c r="O42" i="18"/>
  <c r="N42" i="18"/>
  <c r="L42" i="18"/>
  <c r="M42" i="18" s="1"/>
  <c r="C42" i="18"/>
  <c r="T41" i="18"/>
  <c r="P41" i="18"/>
  <c r="O41" i="18"/>
  <c r="N41" i="18"/>
  <c r="L41" i="18"/>
  <c r="M41" i="18" s="1"/>
  <c r="C41" i="18"/>
  <c r="S40" i="18" s="1"/>
  <c r="T40" i="18"/>
  <c r="P40" i="18"/>
  <c r="O40" i="18"/>
  <c r="N40" i="18"/>
  <c r="L40" i="18"/>
  <c r="M40" i="18"/>
  <c r="C40" i="18"/>
  <c r="Y40" i="18" s="1"/>
  <c r="T39" i="18"/>
  <c r="P39" i="18"/>
  <c r="O39" i="18"/>
  <c r="N39" i="18"/>
  <c r="L39" i="18"/>
  <c r="M39" i="18" s="1"/>
  <c r="C39" i="18"/>
  <c r="S38" i="18" s="1"/>
  <c r="T38" i="18"/>
  <c r="P38" i="18"/>
  <c r="O38" i="18"/>
  <c r="N38" i="18"/>
  <c r="L38" i="18"/>
  <c r="M38" i="18" s="1"/>
  <c r="C38" i="18"/>
  <c r="S37" i="18" s="1"/>
  <c r="T37" i="18"/>
  <c r="P37" i="18"/>
  <c r="O37" i="18"/>
  <c r="N37" i="18"/>
  <c r="L37" i="18"/>
  <c r="M37" i="18" s="1"/>
  <c r="C37" i="18"/>
  <c r="T36" i="18"/>
  <c r="P36" i="18"/>
  <c r="O36" i="18"/>
  <c r="N36" i="18"/>
  <c r="L36" i="18"/>
  <c r="M36" i="18" s="1"/>
  <c r="C36" i="18"/>
  <c r="T35" i="18"/>
  <c r="P35" i="18"/>
  <c r="O35" i="18"/>
  <c r="N35" i="18"/>
  <c r="L35" i="18"/>
  <c r="M35" i="18" s="1"/>
  <c r="C35" i="18"/>
  <c r="R35" i="18" s="1"/>
  <c r="T34" i="18"/>
  <c r="P34" i="18"/>
  <c r="O34" i="18"/>
  <c r="N34" i="18"/>
  <c r="L34" i="18"/>
  <c r="M34" i="18" s="1"/>
  <c r="C34" i="18"/>
  <c r="T33" i="18"/>
  <c r="P33" i="18"/>
  <c r="O33" i="18"/>
  <c r="N33" i="18"/>
  <c r="L33" i="18"/>
  <c r="M33" i="18" s="1"/>
  <c r="C33" i="18"/>
  <c r="T32" i="18"/>
  <c r="P32" i="18"/>
  <c r="O32" i="18"/>
  <c r="N32" i="18"/>
  <c r="L32" i="18"/>
  <c r="M32" i="18" s="1"/>
  <c r="C32" i="18"/>
  <c r="T31" i="18"/>
  <c r="P31" i="18"/>
  <c r="O31" i="18"/>
  <c r="N31" i="18"/>
  <c r="L31" i="18"/>
  <c r="M31" i="18" s="1"/>
  <c r="C31" i="18"/>
  <c r="T30" i="18"/>
  <c r="P30" i="18"/>
  <c r="O30" i="18"/>
  <c r="N30" i="18"/>
  <c r="L30" i="18"/>
  <c r="M30" i="18" s="1"/>
  <c r="C30" i="18"/>
  <c r="T29" i="18"/>
  <c r="P29" i="18"/>
  <c r="O29" i="18"/>
  <c r="N29" i="18"/>
  <c r="L29" i="18"/>
  <c r="M29" i="18" s="1"/>
  <c r="C29" i="18"/>
  <c r="S28" i="18"/>
  <c r="T28" i="18"/>
  <c r="P28" i="18"/>
  <c r="O28" i="18"/>
  <c r="N28" i="18"/>
  <c r="L28" i="18"/>
  <c r="M28" i="18" s="1"/>
  <c r="C28" i="18"/>
  <c r="Y28" i="18"/>
  <c r="T27" i="18"/>
  <c r="P27" i="18"/>
  <c r="O27" i="18"/>
  <c r="N27" i="18"/>
  <c r="L27" i="18"/>
  <c r="M27" i="18" s="1"/>
  <c r="C27" i="18"/>
  <c r="T26" i="18"/>
  <c r="P26" i="18"/>
  <c r="O26" i="18"/>
  <c r="N26" i="18"/>
  <c r="L26" i="18"/>
  <c r="M26" i="18" s="1"/>
  <c r="C26" i="18"/>
  <c r="T25" i="18"/>
  <c r="P25" i="18"/>
  <c r="O25" i="18"/>
  <c r="N25" i="18"/>
  <c r="L25" i="18"/>
  <c r="M25" i="18" s="1"/>
  <c r="C25" i="18"/>
  <c r="Y25" i="18" s="1"/>
  <c r="T24" i="18"/>
  <c r="P24" i="18"/>
  <c r="O24" i="18"/>
  <c r="N24" i="18"/>
  <c r="L24" i="18"/>
  <c r="M24" i="18" s="1"/>
  <c r="C24" i="18"/>
  <c r="T23" i="18"/>
  <c r="P23" i="18"/>
  <c r="O23" i="18"/>
  <c r="N23" i="18"/>
  <c r="L23" i="18"/>
  <c r="M23" i="18" s="1"/>
  <c r="C23" i="18"/>
  <c r="T22" i="18"/>
  <c r="P22" i="18"/>
  <c r="O22" i="18"/>
  <c r="N22" i="18"/>
  <c r="L22" i="18"/>
  <c r="C22" i="18"/>
  <c r="R22" i="18" s="1"/>
  <c r="T21" i="18"/>
  <c r="P21" i="18"/>
  <c r="O21" i="18"/>
  <c r="N21" i="18"/>
  <c r="L21" i="18"/>
  <c r="C21" i="18"/>
  <c r="T20" i="18"/>
  <c r="P20" i="18"/>
  <c r="O20" i="18"/>
  <c r="N20" i="18"/>
  <c r="L20" i="18"/>
  <c r="M20" i="18" s="1"/>
  <c r="C20" i="18"/>
  <c r="Y20" i="18" s="1"/>
  <c r="T19" i="18"/>
  <c r="P19" i="18"/>
  <c r="O19" i="18"/>
  <c r="N19" i="18"/>
  <c r="T18" i="18"/>
  <c r="P18" i="18"/>
  <c r="O18" i="18"/>
  <c r="N18" i="18"/>
  <c r="T17" i="18"/>
  <c r="P17" i="18"/>
  <c r="O17" i="18"/>
  <c r="N17" i="18"/>
  <c r="T16" i="18"/>
  <c r="T15" i="18"/>
  <c r="T14" i="18"/>
  <c r="P14" i="18"/>
  <c r="O14" i="18"/>
  <c r="N14" i="18"/>
  <c r="L14" i="18"/>
  <c r="M14" i="18" s="1"/>
  <c r="C14" i="18"/>
  <c r="T13" i="18"/>
  <c r="P13" i="18"/>
  <c r="O13" i="18"/>
  <c r="N13" i="18"/>
  <c r="L13" i="18"/>
  <c r="M13" i="18" s="1"/>
  <c r="C13" i="18"/>
  <c r="R12" i="18"/>
  <c r="K9" i="18"/>
  <c r="K8" i="18"/>
  <c r="E8" i="18"/>
  <c r="E7" i="18"/>
  <c r="E6" i="18"/>
  <c r="E5" i="18"/>
  <c r="K4" i="18"/>
  <c r="E4" i="18"/>
  <c r="T3" i="18"/>
  <c r="Q12" i="18" s="1"/>
  <c r="K79" i="17"/>
  <c r="R77" i="17"/>
  <c r="T76" i="17"/>
  <c r="S76" i="17"/>
  <c r="P76" i="17"/>
  <c r="O76" i="17"/>
  <c r="N76" i="17"/>
  <c r="L76" i="17"/>
  <c r="M76" i="17" s="1"/>
  <c r="C76" i="17"/>
  <c r="Y76" i="17" s="1"/>
  <c r="T75" i="17"/>
  <c r="P75" i="17"/>
  <c r="O75" i="17"/>
  <c r="N75" i="17"/>
  <c r="L75" i="17"/>
  <c r="M75" i="17" s="1"/>
  <c r="C75" i="17"/>
  <c r="Y75" i="17" s="1"/>
  <c r="T74" i="17"/>
  <c r="P74" i="17"/>
  <c r="O74" i="17"/>
  <c r="N74" i="17"/>
  <c r="L74" i="17"/>
  <c r="M74" i="17" s="1"/>
  <c r="C74" i="17"/>
  <c r="Y74" i="17" s="1"/>
  <c r="T73" i="17"/>
  <c r="P73" i="17"/>
  <c r="O73" i="17"/>
  <c r="N73" i="17"/>
  <c r="L73" i="17"/>
  <c r="M73" i="17" s="1"/>
  <c r="C73" i="17"/>
  <c r="Y73" i="17" s="1"/>
  <c r="T72" i="17"/>
  <c r="P72" i="17"/>
  <c r="O72" i="17"/>
  <c r="N72" i="17"/>
  <c r="L72" i="17"/>
  <c r="M72" i="17" s="1"/>
  <c r="C72" i="17"/>
  <c r="Y72" i="17" s="1"/>
  <c r="T71" i="17"/>
  <c r="P71" i="17"/>
  <c r="O71" i="17"/>
  <c r="N71" i="17"/>
  <c r="L71" i="17"/>
  <c r="M71" i="17" s="1"/>
  <c r="C71" i="17"/>
  <c r="Y71" i="17" s="1"/>
  <c r="T70" i="17"/>
  <c r="P70" i="17"/>
  <c r="O70" i="17"/>
  <c r="N70" i="17"/>
  <c r="L70" i="17"/>
  <c r="M70" i="17" s="1"/>
  <c r="C70" i="17"/>
  <c r="R70" i="17" s="1"/>
  <c r="B70" i="17" s="1"/>
  <c r="T69" i="17"/>
  <c r="P69" i="17"/>
  <c r="O69" i="17"/>
  <c r="N69" i="17"/>
  <c r="L69" i="17"/>
  <c r="M69" i="17" s="1"/>
  <c r="C69" i="17"/>
  <c r="T68" i="17"/>
  <c r="P68" i="17"/>
  <c r="O68" i="17"/>
  <c r="N68" i="17"/>
  <c r="L68" i="17"/>
  <c r="M68" i="17" s="1"/>
  <c r="C68" i="17"/>
  <c r="Y68" i="17" s="1"/>
  <c r="T67" i="17"/>
  <c r="P67" i="17"/>
  <c r="O67" i="17"/>
  <c r="N67" i="17"/>
  <c r="L67" i="17"/>
  <c r="M67" i="17" s="1"/>
  <c r="C67" i="17"/>
  <c r="Y67" i="17" s="1"/>
  <c r="T66" i="17"/>
  <c r="P66" i="17"/>
  <c r="O66" i="17"/>
  <c r="N66" i="17"/>
  <c r="L66" i="17"/>
  <c r="M66" i="17" s="1"/>
  <c r="C66" i="17"/>
  <c r="R66" i="17" s="1"/>
  <c r="T65" i="17"/>
  <c r="P65" i="17"/>
  <c r="O65" i="17"/>
  <c r="N65" i="17"/>
  <c r="L65" i="17"/>
  <c r="M65" i="17" s="1"/>
  <c r="C65" i="17"/>
  <c r="S64" i="17" s="1"/>
  <c r="T64" i="17"/>
  <c r="P64" i="17"/>
  <c r="O64" i="17"/>
  <c r="N64" i="17"/>
  <c r="L64" i="17"/>
  <c r="M64" i="17" s="1"/>
  <c r="C64" i="17"/>
  <c r="R64" i="17" s="1"/>
  <c r="T63" i="17"/>
  <c r="P63" i="17"/>
  <c r="O63" i="17"/>
  <c r="N63" i="17"/>
  <c r="L63" i="17"/>
  <c r="M63" i="17" s="1"/>
  <c r="C63" i="17"/>
  <c r="R63" i="17" s="1"/>
  <c r="T62" i="17"/>
  <c r="P62" i="17"/>
  <c r="O62" i="17"/>
  <c r="N62" i="17"/>
  <c r="L62" i="17"/>
  <c r="M62" i="17" s="1"/>
  <c r="C62" i="17"/>
  <c r="Y62" i="17" s="1"/>
  <c r="T61" i="17"/>
  <c r="P61" i="17"/>
  <c r="O61" i="17"/>
  <c r="N61" i="17"/>
  <c r="L61" i="17"/>
  <c r="M61" i="17" s="1"/>
  <c r="C61" i="17"/>
  <c r="R61" i="17" s="1"/>
  <c r="T60" i="17"/>
  <c r="P60" i="17"/>
  <c r="O60" i="17"/>
  <c r="N60" i="17"/>
  <c r="L60" i="17"/>
  <c r="M60" i="17"/>
  <c r="C60" i="17"/>
  <c r="S59" i="17" s="1"/>
  <c r="T59" i="17"/>
  <c r="P59" i="17"/>
  <c r="O59" i="17"/>
  <c r="N59" i="17"/>
  <c r="L59" i="17"/>
  <c r="M59" i="17" s="1"/>
  <c r="C59" i="17"/>
  <c r="Y59" i="17" s="1"/>
  <c r="T58" i="17"/>
  <c r="P58" i="17"/>
  <c r="O58" i="17"/>
  <c r="N58" i="17"/>
  <c r="L58" i="17"/>
  <c r="M58" i="17" s="1"/>
  <c r="C58" i="17"/>
  <c r="S57" i="17" s="1"/>
  <c r="T57" i="17"/>
  <c r="P57" i="17"/>
  <c r="O57" i="17"/>
  <c r="N57" i="17"/>
  <c r="L57" i="17"/>
  <c r="M57" i="17" s="1"/>
  <c r="C57" i="17"/>
  <c r="Y57" i="17" s="1"/>
  <c r="T56" i="17"/>
  <c r="P56" i="17"/>
  <c r="O56" i="17"/>
  <c r="N56" i="17"/>
  <c r="L56" i="17"/>
  <c r="M56" i="17" s="1"/>
  <c r="C56" i="17"/>
  <c r="Y56" i="17" s="1"/>
  <c r="T55" i="17"/>
  <c r="P55" i="17"/>
  <c r="O55" i="17"/>
  <c r="N55" i="17"/>
  <c r="L55" i="17"/>
  <c r="M55" i="17" s="1"/>
  <c r="C55" i="17"/>
  <c r="Y55" i="17" s="1"/>
  <c r="T54" i="17"/>
  <c r="P54" i="17"/>
  <c r="O54" i="17"/>
  <c r="N54" i="17"/>
  <c r="L54" i="17"/>
  <c r="M54" i="17" s="1"/>
  <c r="C54" i="17"/>
  <c r="Y54" i="17" s="1"/>
  <c r="T53" i="17"/>
  <c r="P53" i="17"/>
  <c r="O53" i="17"/>
  <c r="N53" i="17"/>
  <c r="L53" i="17"/>
  <c r="M53" i="17" s="1"/>
  <c r="C53" i="17"/>
  <c r="S52" i="17" s="1"/>
  <c r="T52" i="17"/>
  <c r="P52" i="17"/>
  <c r="O52" i="17"/>
  <c r="N52" i="17"/>
  <c r="L52" i="17"/>
  <c r="M52" i="17" s="1"/>
  <c r="C52" i="17"/>
  <c r="T51" i="17"/>
  <c r="P51" i="17"/>
  <c r="O51" i="17"/>
  <c r="N51" i="17"/>
  <c r="L51" i="17"/>
  <c r="M51" i="17" s="1"/>
  <c r="C51" i="17"/>
  <c r="Y51" i="17" s="1"/>
  <c r="T50" i="17"/>
  <c r="P50" i="17"/>
  <c r="O50" i="17"/>
  <c r="N50" i="17"/>
  <c r="L50" i="17"/>
  <c r="M50" i="17" s="1"/>
  <c r="C50" i="17"/>
  <c r="Y50" i="17" s="1"/>
  <c r="T49" i="17"/>
  <c r="P49" i="17"/>
  <c r="O49" i="17"/>
  <c r="N49" i="17"/>
  <c r="L49" i="17"/>
  <c r="M49" i="17" s="1"/>
  <c r="C49" i="17"/>
  <c r="Y49" i="17" s="1"/>
  <c r="T48" i="17"/>
  <c r="P48" i="17"/>
  <c r="O48" i="17"/>
  <c r="N48" i="17"/>
  <c r="L48" i="17"/>
  <c r="M48" i="17"/>
  <c r="C48" i="17"/>
  <c r="S47" i="17" s="1"/>
  <c r="T47" i="17"/>
  <c r="P47" i="17"/>
  <c r="O47" i="17"/>
  <c r="N47" i="17"/>
  <c r="L47" i="17"/>
  <c r="M47" i="17" s="1"/>
  <c r="C47" i="17"/>
  <c r="S46" i="17" s="1"/>
  <c r="T46" i="17"/>
  <c r="P46" i="17"/>
  <c r="O46" i="17"/>
  <c r="N46" i="17"/>
  <c r="L46" i="17"/>
  <c r="M46" i="17" s="1"/>
  <c r="C46" i="17"/>
  <c r="Y46" i="17" s="1"/>
  <c r="T45" i="17"/>
  <c r="S45" i="17"/>
  <c r="P45" i="17"/>
  <c r="O45" i="17"/>
  <c r="N45" i="17"/>
  <c r="L45" i="17"/>
  <c r="M45" i="17" s="1"/>
  <c r="C45" i="17"/>
  <c r="R45" i="17" s="1"/>
  <c r="T44" i="17"/>
  <c r="P44" i="17"/>
  <c r="O44" i="17"/>
  <c r="N44" i="17"/>
  <c r="L44" i="17"/>
  <c r="M44" i="17" s="1"/>
  <c r="C44" i="17"/>
  <c r="R44" i="17" s="1"/>
  <c r="Y44" i="17"/>
  <c r="T43" i="17"/>
  <c r="P43" i="17"/>
  <c r="O43" i="17"/>
  <c r="N43" i="17"/>
  <c r="L43" i="17"/>
  <c r="M43" i="17" s="1"/>
  <c r="C43" i="17"/>
  <c r="R43" i="17" s="1"/>
  <c r="T42" i="17"/>
  <c r="P42" i="17"/>
  <c r="O42" i="17"/>
  <c r="N42" i="17"/>
  <c r="L42" i="17"/>
  <c r="M42" i="17" s="1"/>
  <c r="C42" i="17"/>
  <c r="T41" i="17"/>
  <c r="P41" i="17"/>
  <c r="O41" i="17"/>
  <c r="N41" i="17"/>
  <c r="L41" i="17"/>
  <c r="M41" i="17" s="1"/>
  <c r="C41" i="17"/>
  <c r="Y41" i="17" s="1"/>
  <c r="T40" i="17"/>
  <c r="P40" i="17"/>
  <c r="O40" i="17"/>
  <c r="N40" i="17"/>
  <c r="L40" i="17"/>
  <c r="M40" i="17" s="1"/>
  <c r="C40" i="17"/>
  <c r="R40" i="17" s="1"/>
  <c r="T39" i="17"/>
  <c r="P39" i="17"/>
  <c r="O39" i="17"/>
  <c r="N39" i="17"/>
  <c r="L39" i="17"/>
  <c r="M39" i="17" s="1"/>
  <c r="C39" i="17"/>
  <c r="R39" i="17" s="1"/>
  <c r="T38" i="17"/>
  <c r="P38" i="17"/>
  <c r="O38" i="17"/>
  <c r="N38" i="17"/>
  <c r="L38" i="17"/>
  <c r="M38" i="17" s="1"/>
  <c r="C38" i="17"/>
  <c r="R38" i="17" s="1"/>
  <c r="T37" i="17"/>
  <c r="P37" i="17"/>
  <c r="O37" i="17"/>
  <c r="N37" i="17"/>
  <c r="L37" i="17"/>
  <c r="M37" i="17" s="1"/>
  <c r="C37" i="17"/>
  <c r="R37" i="17" s="1"/>
  <c r="T36" i="17"/>
  <c r="P36" i="17"/>
  <c r="O36" i="17"/>
  <c r="N36" i="17"/>
  <c r="L36" i="17"/>
  <c r="M36" i="17" s="1"/>
  <c r="C36" i="17"/>
  <c r="R36" i="17" s="1"/>
  <c r="T35" i="17"/>
  <c r="P35" i="17"/>
  <c r="O35" i="17"/>
  <c r="N35" i="17"/>
  <c r="L35" i="17"/>
  <c r="M35" i="17" s="1"/>
  <c r="C35" i="17"/>
  <c r="Y35" i="17" s="1"/>
  <c r="T34" i="17"/>
  <c r="P34" i="17"/>
  <c r="O34" i="17"/>
  <c r="N34" i="17"/>
  <c r="C34" i="17"/>
  <c r="Y34" i="17" s="1"/>
  <c r="T33" i="17"/>
  <c r="P33" i="17"/>
  <c r="O33" i="17"/>
  <c r="N33" i="17"/>
  <c r="L33" i="17"/>
  <c r="M33" i="17" s="1"/>
  <c r="C33" i="17"/>
  <c r="Y33" i="17" s="1"/>
  <c r="T32" i="17"/>
  <c r="P32" i="17"/>
  <c r="O32" i="17"/>
  <c r="N32" i="17"/>
  <c r="L32" i="17"/>
  <c r="M32" i="17" s="1"/>
  <c r="C32" i="17"/>
  <c r="R32" i="17" s="1"/>
  <c r="T31" i="17"/>
  <c r="P31" i="17"/>
  <c r="O31" i="17"/>
  <c r="N31" i="17"/>
  <c r="L31" i="17"/>
  <c r="M31" i="17" s="1"/>
  <c r="C31" i="17"/>
  <c r="Y31" i="17" s="1"/>
  <c r="T30" i="17"/>
  <c r="P30" i="17"/>
  <c r="O30" i="17"/>
  <c r="N30" i="17"/>
  <c r="L30" i="17"/>
  <c r="M30" i="17" s="1"/>
  <c r="C30" i="17"/>
  <c r="Y30" i="17" s="1"/>
  <c r="T29" i="17"/>
  <c r="P29" i="17"/>
  <c r="O29" i="17"/>
  <c r="N29" i="17"/>
  <c r="L29" i="17"/>
  <c r="M29" i="17" s="1"/>
  <c r="C29" i="17"/>
  <c r="Y29" i="17" s="1"/>
  <c r="T28" i="17"/>
  <c r="P28" i="17"/>
  <c r="O28" i="17"/>
  <c r="N28" i="17"/>
  <c r="L28" i="17"/>
  <c r="M28" i="17" s="1"/>
  <c r="C28" i="17"/>
  <c r="Y28" i="17" s="1"/>
  <c r="T27" i="17"/>
  <c r="P27" i="17"/>
  <c r="O27" i="17"/>
  <c r="N27" i="17"/>
  <c r="L27" i="17"/>
  <c r="C27" i="17"/>
  <c r="S26" i="17" s="1"/>
  <c r="T26" i="17"/>
  <c r="P26" i="17"/>
  <c r="O26" i="17"/>
  <c r="N26" i="17"/>
  <c r="L26" i="17"/>
  <c r="C26" i="17"/>
  <c r="Y26" i="17" s="1"/>
  <c r="T25" i="17"/>
  <c r="P25" i="17"/>
  <c r="O25" i="17"/>
  <c r="N25" i="17"/>
  <c r="T24" i="17"/>
  <c r="P24" i="17"/>
  <c r="O24" i="17"/>
  <c r="N24" i="17"/>
  <c r="T23" i="17"/>
  <c r="P23" i="17"/>
  <c r="O23" i="17"/>
  <c r="N23" i="17"/>
  <c r="T22" i="17"/>
  <c r="T21" i="17"/>
  <c r="T20" i="17"/>
  <c r="T19" i="17"/>
  <c r="T18" i="17"/>
  <c r="T17" i="17"/>
  <c r="T16" i="17"/>
  <c r="T15" i="17"/>
  <c r="T14" i="17"/>
  <c r="T13" i="17"/>
  <c r="P13" i="17"/>
  <c r="O13" i="17"/>
  <c r="N13" i="17"/>
  <c r="L13" i="17"/>
  <c r="M13" i="17" s="1"/>
  <c r="C13" i="17"/>
  <c r="Y13" i="17" s="1"/>
  <c r="R12" i="17"/>
  <c r="K9" i="17"/>
  <c r="K8" i="17"/>
  <c r="E8" i="17"/>
  <c r="E7" i="17"/>
  <c r="E6" i="17"/>
  <c r="E5" i="17"/>
  <c r="K4" i="17"/>
  <c r="E4" i="17"/>
  <c r="T3" i="17"/>
  <c r="S61" i="18"/>
  <c r="S65" i="18"/>
  <c r="Y69" i="18"/>
  <c r="R62" i="18"/>
  <c r="A62" i="18" s="1"/>
  <c r="Y50" i="18"/>
  <c r="Y46" i="18"/>
  <c r="Y45" i="18"/>
  <c r="R65" i="18"/>
  <c r="B65" i="18" s="1"/>
  <c r="Y71" i="18"/>
  <c r="S53" i="18"/>
  <c r="Y65" i="18"/>
  <c r="Y74" i="18"/>
  <c r="R50" i="18"/>
  <c r="B50" i="18" s="1"/>
  <c r="Y70" i="18"/>
  <c r="S48" i="18"/>
  <c r="B71" i="18"/>
  <c r="A71" i="18"/>
  <c r="Q71" i="18"/>
  <c r="S51" i="18"/>
  <c r="R52" i="18"/>
  <c r="S75" i="18"/>
  <c r="R76" i="18"/>
  <c r="Y63" i="18"/>
  <c r="S42" i="18"/>
  <c r="R43" i="18"/>
  <c r="S55" i="18"/>
  <c r="R56" i="18"/>
  <c r="S67" i="18"/>
  <c r="R68" i="18"/>
  <c r="S44" i="18"/>
  <c r="S68" i="18"/>
  <c r="S45" i="18"/>
  <c r="S57" i="18"/>
  <c r="S69" i="18"/>
  <c r="S58" i="18"/>
  <c r="S70" i="18"/>
  <c r="S47" i="18"/>
  <c r="R48" i="18"/>
  <c r="S71" i="18"/>
  <c r="R72" i="18"/>
  <c r="S62" i="18"/>
  <c r="S54" i="17"/>
  <c r="S43" i="17"/>
  <c r="S30" i="17"/>
  <c r="R60" i="17"/>
  <c r="S36" i="17"/>
  <c r="S50" i="17"/>
  <c r="AX500" i="9"/>
  <c r="AX502" i="9"/>
  <c r="A503" i="9"/>
  <c r="A505" i="9"/>
  <c r="AX506" i="9"/>
  <c r="AX509" i="9"/>
  <c r="AX511" i="9"/>
  <c r="B512" i="9"/>
  <c r="B518" i="9"/>
  <c r="AX520" i="9"/>
  <c r="AX521" i="9"/>
  <c r="B524" i="9"/>
  <c r="AX527" i="9"/>
  <c r="AX529" i="9"/>
  <c r="B531" i="9"/>
  <c r="AX532" i="9"/>
  <c r="AX533" i="9"/>
  <c r="AX538" i="9"/>
  <c r="AX539" i="9"/>
  <c r="A541" i="9"/>
  <c r="AX543" i="9"/>
  <c r="AX545" i="9"/>
  <c r="AX548" i="9"/>
  <c r="AX552" i="9"/>
  <c r="B553" i="9"/>
  <c r="B554" i="9"/>
  <c r="AX555" i="9"/>
  <c r="AX556" i="9"/>
  <c r="AX559" i="9"/>
  <c r="AX560" i="9"/>
  <c r="AX562" i="9"/>
  <c r="AX563" i="9"/>
  <c r="B564" i="9"/>
  <c r="AX574" i="9"/>
  <c r="AX575" i="9"/>
  <c r="A577" i="9"/>
  <c r="A578" i="9"/>
  <c r="AX579" i="9"/>
  <c r="A586" i="9"/>
  <c r="A587" i="9"/>
  <c r="A588" i="9"/>
  <c r="A591" i="9"/>
  <c r="A601" i="9"/>
  <c r="A603" i="9"/>
  <c r="A604" i="9"/>
  <c r="A610" i="9"/>
  <c r="A613" i="9"/>
  <c r="AX614" i="9"/>
  <c r="A620" i="9"/>
  <c r="A621" i="9"/>
  <c r="AX622" i="9"/>
  <c r="AX623" i="9"/>
  <c r="AX629" i="9"/>
  <c r="A630" i="9"/>
  <c r="A632" i="9"/>
  <c r="AX637" i="9"/>
  <c r="B638" i="9"/>
  <c r="AX639" i="9"/>
  <c r="AX640" i="9"/>
  <c r="A642" i="9"/>
  <c r="B644" i="9"/>
  <c r="AX645" i="9"/>
  <c r="AX649" i="9"/>
  <c r="AX651" i="9"/>
  <c r="AX652" i="9"/>
  <c r="B653" i="9"/>
  <c r="AX654" i="9"/>
  <c r="AX658" i="9"/>
  <c r="A659" i="9"/>
  <c r="AX660" i="9"/>
  <c r="AX661" i="9"/>
  <c r="AX663" i="9"/>
  <c r="AX667" i="9"/>
  <c r="B670" i="9"/>
  <c r="AX673" i="9"/>
  <c r="AX674" i="9"/>
  <c r="AX678" i="9"/>
  <c r="AX679" i="9"/>
  <c r="B680" i="9"/>
  <c r="AX681" i="9"/>
  <c r="AX682" i="9"/>
  <c r="B683" i="9"/>
  <c r="AX684" i="9"/>
  <c r="AX685" i="9"/>
  <c r="AX687" i="9"/>
  <c r="B689" i="9"/>
  <c r="B692" i="9"/>
  <c r="AX693" i="9"/>
  <c r="AX694" i="9"/>
  <c r="B695" i="9"/>
  <c r="A697" i="9"/>
  <c r="B698" i="9"/>
  <c r="A700" i="9"/>
  <c r="AX709" i="9"/>
  <c r="A711" i="9"/>
  <c r="AX712" i="9"/>
  <c r="A713" i="9"/>
  <c r="A717" i="9"/>
  <c r="AX718" i="9"/>
  <c r="A720" i="9"/>
  <c r="A723" i="9"/>
  <c r="AX725" i="9"/>
  <c r="AX728" i="9"/>
  <c r="AX729" i="9"/>
  <c r="AX730" i="9"/>
  <c r="AX731" i="9"/>
  <c r="A732" i="9"/>
  <c r="AX733" i="9"/>
  <c r="AX734" i="9"/>
  <c r="B735" i="9"/>
  <c r="AX736" i="9"/>
  <c r="AX737" i="9"/>
  <c r="AX738" i="9"/>
  <c r="A741" i="9"/>
  <c r="AX742" i="9"/>
  <c r="AX746" i="9"/>
  <c r="A747" i="9"/>
  <c r="AX748" i="9"/>
  <c r="A751" i="9"/>
  <c r="B754" i="9"/>
  <c r="AX758" i="9"/>
  <c r="AX761" i="9"/>
  <c r="AX763" i="9"/>
  <c r="AX766" i="9"/>
  <c r="AX767" i="9"/>
  <c r="AX770" i="9"/>
  <c r="B775" i="9"/>
  <c r="AX779" i="9"/>
  <c r="A784" i="9"/>
  <c r="B785" i="9"/>
  <c r="A786" i="9"/>
  <c r="A791" i="9"/>
  <c r="AX795" i="9"/>
  <c r="AX796" i="9"/>
  <c r="AX797" i="9"/>
  <c r="AX798" i="9"/>
  <c r="AX799" i="9"/>
  <c r="A800" i="9"/>
  <c r="B804" i="9"/>
  <c r="AX807" i="9"/>
  <c r="B812" i="9"/>
  <c r="AX813" i="9"/>
  <c r="AX815" i="9"/>
  <c r="AX816" i="9"/>
  <c r="AX822" i="9"/>
  <c r="AX824" i="9"/>
  <c r="AX831" i="9"/>
  <c r="AX834" i="9"/>
  <c r="Q14" i="1"/>
  <c r="R14" i="1" s="1"/>
  <c r="P23" i="16"/>
  <c r="P24" i="16"/>
  <c r="P25" i="16"/>
  <c r="O23" i="16"/>
  <c r="O24" i="16"/>
  <c r="O25" i="16"/>
  <c r="N23" i="16"/>
  <c r="N24" i="16"/>
  <c r="N25" i="16"/>
  <c r="P21" i="15"/>
  <c r="P22" i="15"/>
  <c r="P23" i="15"/>
  <c r="O21" i="15"/>
  <c r="O22" i="15"/>
  <c r="O23" i="15"/>
  <c r="N21" i="15"/>
  <c r="N22" i="15"/>
  <c r="N23" i="15"/>
  <c r="P31" i="14"/>
  <c r="P32" i="14"/>
  <c r="O31" i="14"/>
  <c r="O32" i="14"/>
  <c r="N31" i="14"/>
  <c r="N32" i="14"/>
  <c r="K79" i="16"/>
  <c r="R77" i="16"/>
  <c r="T76" i="16"/>
  <c r="S76" i="16"/>
  <c r="P76" i="16"/>
  <c r="O76" i="16"/>
  <c r="N76" i="16"/>
  <c r="L76" i="16"/>
  <c r="M76" i="16" s="1"/>
  <c r="C76" i="16"/>
  <c r="R76" i="16" s="1"/>
  <c r="T75" i="16"/>
  <c r="P75" i="16"/>
  <c r="O75" i="16"/>
  <c r="N75" i="16"/>
  <c r="L75" i="16"/>
  <c r="M75" i="16" s="1"/>
  <c r="C75" i="16"/>
  <c r="T74" i="16"/>
  <c r="P74" i="16"/>
  <c r="O74" i="16"/>
  <c r="N74" i="16"/>
  <c r="L74" i="16"/>
  <c r="M74" i="16" s="1"/>
  <c r="C74" i="16"/>
  <c r="Y74" i="16" s="1"/>
  <c r="T73" i="16"/>
  <c r="P73" i="16"/>
  <c r="O73" i="16"/>
  <c r="N73" i="16"/>
  <c r="L73" i="16"/>
  <c r="M73" i="16"/>
  <c r="C73" i="16"/>
  <c r="Y73" i="16" s="1"/>
  <c r="T72" i="16"/>
  <c r="P72" i="16"/>
  <c r="O72" i="16"/>
  <c r="N72" i="16"/>
  <c r="L72" i="16"/>
  <c r="M72" i="16" s="1"/>
  <c r="C72" i="16"/>
  <c r="Y72" i="16" s="1"/>
  <c r="T71" i="16"/>
  <c r="P71" i="16"/>
  <c r="O71" i="16"/>
  <c r="N71" i="16"/>
  <c r="L71" i="16"/>
  <c r="M71" i="16" s="1"/>
  <c r="C71" i="16"/>
  <c r="T70" i="16"/>
  <c r="P70" i="16"/>
  <c r="O70" i="16"/>
  <c r="N70" i="16"/>
  <c r="L70" i="16"/>
  <c r="M70" i="16" s="1"/>
  <c r="C70" i="16"/>
  <c r="T69" i="16"/>
  <c r="P69" i="16"/>
  <c r="O69" i="16"/>
  <c r="N69" i="16"/>
  <c r="L69" i="16"/>
  <c r="M69" i="16" s="1"/>
  <c r="C69" i="16"/>
  <c r="T68" i="16"/>
  <c r="P68" i="16"/>
  <c r="O68" i="16"/>
  <c r="N68" i="16"/>
  <c r="L68" i="16"/>
  <c r="M68" i="16" s="1"/>
  <c r="C68" i="16"/>
  <c r="R68" i="16" s="1"/>
  <c r="T67" i="16"/>
  <c r="P67" i="16"/>
  <c r="O67" i="16"/>
  <c r="N67" i="16"/>
  <c r="L67" i="16"/>
  <c r="M67" i="16" s="1"/>
  <c r="C67" i="16"/>
  <c r="T66" i="16"/>
  <c r="P66" i="16"/>
  <c r="O66" i="16"/>
  <c r="N66" i="16"/>
  <c r="L66" i="16"/>
  <c r="M66" i="16" s="1"/>
  <c r="C66" i="16"/>
  <c r="T65" i="16"/>
  <c r="P65" i="16"/>
  <c r="O65" i="16"/>
  <c r="N65" i="16"/>
  <c r="L65" i="16"/>
  <c r="M65" i="16" s="1"/>
  <c r="C65" i="16"/>
  <c r="R65" i="16" s="1"/>
  <c r="T64" i="16"/>
  <c r="P64" i="16"/>
  <c r="O64" i="16"/>
  <c r="N64" i="16"/>
  <c r="L64" i="16"/>
  <c r="M64" i="16" s="1"/>
  <c r="C64" i="16"/>
  <c r="R64" i="16" s="1"/>
  <c r="T63" i="16"/>
  <c r="P63" i="16"/>
  <c r="O63" i="16"/>
  <c r="N63" i="16"/>
  <c r="L63" i="16"/>
  <c r="M63" i="16" s="1"/>
  <c r="C63" i="16"/>
  <c r="S62" i="16" s="1"/>
  <c r="T62" i="16"/>
  <c r="P62" i="16"/>
  <c r="O62" i="16"/>
  <c r="N62" i="16"/>
  <c r="L62" i="16"/>
  <c r="M62" i="16" s="1"/>
  <c r="C62" i="16"/>
  <c r="Y62" i="16" s="1"/>
  <c r="T61" i="16"/>
  <c r="P61" i="16"/>
  <c r="O61" i="16"/>
  <c r="N61" i="16"/>
  <c r="L61" i="16"/>
  <c r="M61" i="16" s="1"/>
  <c r="C61" i="16"/>
  <c r="R61" i="16" s="1"/>
  <c r="T60" i="16"/>
  <c r="P60" i="16"/>
  <c r="O60" i="16"/>
  <c r="N60" i="16"/>
  <c r="L60" i="16"/>
  <c r="M60" i="16" s="1"/>
  <c r="C60" i="16"/>
  <c r="T59" i="16"/>
  <c r="P59" i="16"/>
  <c r="O59" i="16"/>
  <c r="N59" i="16"/>
  <c r="L59" i="16"/>
  <c r="M59" i="16" s="1"/>
  <c r="C59" i="16"/>
  <c r="T58" i="16"/>
  <c r="P58" i="16"/>
  <c r="O58" i="16"/>
  <c r="N58" i="16"/>
  <c r="L58" i="16"/>
  <c r="M58" i="16" s="1"/>
  <c r="C58" i="16"/>
  <c r="T57" i="16"/>
  <c r="P57" i="16"/>
  <c r="O57" i="16"/>
  <c r="N57" i="16"/>
  <c r="L57" i="16"/>
  <c r="M57" i="16" s="1"/>
  <c r="C57" i="16"/>
  <c r="T56" i="16"/>
  <c r="P56" i="16"/>
  <c r="O56" i="16"/>
  <c r="N56" i="16"/>
  <c r="L56" i="16"/>
  <c r="M56" i="16" s="1"/>
  <c r="C56" i="16"/>
  <c r="R56" i="16" s="1"/>
  <c r="T55" i="16"/>
  <c r="P55" i="16"/>
  <c r="O55" i="16"/>
  <c r="N55" i="16"/>
  <c r="L55" i="16"/>
  <c r="M55" i="16" s="1"/>
  <c r="C55" i="16"/>
  <c r="T54" i="16"/>
  <c r="P54" i="16"/>
  <c r="O54" i="16"/>
  <c r="N54" i="16"/>
  <c r="L54" i="16"/>
  <c r="M54" i="16" s="1"/>
  <c r="C54" i="16"/>
  <c r="T53" i="16"/>
  <c r="P53" i="16"/>
  <c r="O53" i="16"/>
  <c r="N53" i="16"/>
  <c r="L53" i="16"/>
  <c r="M53" i="16" s="1"/>
  <c r="C53" i="16"/>
  <c r="T52" i="16"/>
  <c r="P52" i="16"/>
  <c r="O52" i="16"/>
  <c r="N52" i="16"/>
  <c r="L52" i="16"/>
  <c r="M52" i="16" s="1"/>
  <c r="C52" i="16"/>
  <c r="T51" i="16"/>
  <c r="P51" i="16"/>
  <c r="O51" i="16"/>
  <c r="N51" i="16"/>
  <c r="L51" i="16"/>
  <c r="M51" i="16" s="1"/>
  <c r="C51" i="16"/>
  <c r="T50" i="16"/>
  <c r="P50" i="16"/>
  <c r="O50" i="16"/>
  <c r="N50" i="16"/>
  <c r="L50" i="16"/>
  <c r="M50" i="16" s="1"/>
  <c r="C50" i="16"/>
  <c r="T49" i="16"/>
  <c r="P49" i="16"/>
  <c r="O49" i="16"/>
  <c r="N49" i="16"/>
  <c r="L49" i="16"/>
  <c r="M49" i="16" s="1"/>
  <c r="C49" i="16"/>
  <c r="T48" i="16"/>
  <c r="P48" i="16"/>
  <c r="O48" i="16"/>
  <c r="N48" i="16"/>
  <c r="L48" i="16"/>
  <c r="M48" i="16" s="1"/>
  <c r="C48" i="16"/>
  <c r="T47" i="16"/>
  <c r="P47" i="16"/>
  <c r="O47" i="16"/>
  <c r="N47" i="16"/>
  <c r="L47" i="16"/>
  <c r="M47" i="16" s="1"/>
  <c r="C47" i="16"/>
  <c r="S46" i="16" s="1"/>
  <c r="T46" i="16"/>
  <c r="P46" i="16"/>
  <c r="O46" i="16"/>
  <c r="N46" i="16"/>
  <c r="L46" i="16"/>
  <c r="M46" i="16" s="1"/>
  <c r="C46" i="16"/>
  <c r="Y46" i="16" s="1"/>
  <c r="T45" i="16"/>
  <c r="P45" i="16"/>
  <c r="O45" i="16"/>
  <c r="N45" i="16"/>
  <c r="L45" i="16"/>
  <c r="M45" i="16" s="1"/>
  <c r="C45" i="16"/>
  <c r="T44" i="16"/>
  <c r="P44" i="16"/>
  <c r="O44" i="16"/>
  <c r="N44" i="16"/>
  <c r="L44" i="16"/>
  <c r="M44" i="16" s="1"/>
  <c r="C44" i="16"/>
  <c r="R44" i="16" s="1"/>
  <c r="A44" i="16" s="1"/>
  <c r="T43" i="16"/>
  <c r="P43" i="16"/>
  <c r="O43" i="16"/>
  <c r="N43" i="16"/>
  <c r="L43" i="16"/>
  <c r="M43" i="16" s="1"/>
  <c r="C43" i="16"/>
  <c r="T42" i="16"/>
  <c r="P42" i="16"/>
  <c r="O42" i="16"/>
  <c r="N42" i="16"/>
  <c r="L42" i="16"/>
  <c r="M42" i="16" s="1"/>
  <c r="C42" i="16"/>
  <c r="T41" i="16"/>
  <c r="P41" i="16"/>
  <c r="O41" i="16"/>
  <c r="N41" i="16"/>
  <c r="L41" i="16"/>
  <c r="M41" i="16" s="1"/>
  <c r="C41" i="16"/>
  <c r="T40" i="16"/>
  <c r="P40" i="16"/>
  <c r="O40" i="16"/>
  <c r="N40" i="16"/>
  <c r="L40" i="16"/>
  <c r="M40" i="16" s="1"/>
  <c r="C40" i="16"/>
  <c r="S39" i="16" s="1"/>
  <c r="T39" i="16"/>
  <c r="P39" i="16"/>
  <c r="O39" i="16"/>
  <c r="N39" i="16"/>
  <c r="L39" i="16"/>
  <c r="M39" i="16" s="1"/>
  <c r="C39" i="16"/>
  <c r="Y39" i="16" s="1"/>
  <c r="T38" i="16"/>
  <c r="P38" i="16"/>
  <c r="O38" i="16"/>
  <c r="N38" i="16"/>
  <c r="L38" i="16"/>
  <c r="M38" i="16" s="1"/>
  <c r="C38" i="16"/>
  <c r="R38" i="16" s="1"/>
  <c r="T37" i="16"/>
  <c r="P37" i="16"/>
  <c r="O37" i="16"/>
  <c r="N37" i="16"/>
  <c r="L37" i="16"/>
  <c r="M37" i="16" s="1"/>
  <c r="C37" i="16"/>
  <c r="T36" i="16"/>
  <c r="P36" i="16"/>
  <c r="O36" i="16"/>
  <c r="N36" i="16"/>
  <c r="L36" i="16"/>
  <c r="M36" i="16" s="1"/>
  <c r="C36" i="16"/>
  <c r="T35" i="16"/>
  <c r="P35" i="16"/>
  <c r="O35" i="16"/>
  <c r="N35" i="16"/>
  <c r="L35" i="16"/>
  <c r="M35" i="16" s="1"/>
  <c r="C35" i="16"/>
  <c r="T34" i="16"/>
  <c r="P34" i="16"/>
  <c r="O34" i="16"/>
  <c r="N34" i="16"/>
  <c r="C34" i="16"/>
  <c r="Y34" i="16" s="1"/>
  <c r="T33" i="16"/>
  <c r="P33" i="16"/>
  <c r="O33" i="16"/>
  <c r="N33" i="16"/>
  <c r="L33" i="16"/>
  <c r="M33" i="16" s="1"/>
  <c r="C33" i="16"/>
  <c r="R33" i="16" s="1"/>
  <c r="T32" i="16"/>
  <c r="P32" i="16"/>
  <c r="O32" i="16"/>
  <c r="N32" i="16"/>
  <c r="L32" i="16"/>
  <c r="M32" i="16" s="1"/>
  <c r="C32" i="16"/>
  <c r="T31" i="16"/>
  <c r="P31" i="16"/>
  <c r="O31" i="16"/>
  <c r="N31" i="16"/>
  <c r="L31" i="16"/>
  <c r="M31" i="16" s="1"/>
  <c r="C31" i="16"/>
  <c r="Y31" i="16" s="1"/>
  <c r="T30" i="16"/>
  <c r="P30" i="16"/>
  <c r="O30" i="16"/>
  <c r="N30" i="16"/>
  <c r="L30" i="16"/>
  <c r="M30" i="16" s="1"/>
  <c r="C30" i="16"/>
  <c r="S29" i="16" s="1"/>
  <c r="T29" i="16"/>
  <c r="P29" i="16"/>
  <c r="O29" i="16"/>
  <c r="N29" i="16"/>
  <c r="L29" i="16"/>
  <c r="M29" i="16" s="1"/>
  <c r="C29" i="16"/>
  <c r="R29" i="16" s="1"/>
  <c r="T28" i="16"/>
  <c r="P28" i="16"/>
  <c r="O28" i="16"/>
  <c r="N28" i="16"/>
  <c r="L28" i="16"/>
  <c r="M28" i="16" s="1"/>
  <c r="C28" i="16"/>
  <c r="Y28" i="16" s="1"/>
  <c r="T27" i="16"/>
  <c r="P27" i="16"/>
  <c r="O27" i="16"/>
  <c r="N27" i="16"/>
  <c r="L27" i="16"/>
  <c r="C27" i="16"/>
  <c r="S26" i="16" s="1"/>
  <c r="T26" i="16"/>
  <c r="P26" i="16"/>
  <c r="O26" i="16"/>
  <c r="N26" i="16"/>
  <c r="L26" i="16"/>
  <c r="C26" i="16"/>
  <c r="T25" i="16"/>
  <c r="T24" i="16"/>
  <c r="T23" i="16"/>
  <c r="T22" i="16"/>
  <c r="T21" i="16"/>
  <c r="T20" i="16"/>
  <c r="T19" i="16"/>
  <c r="T18" i="16"/>
  <c r="T17" i="16"/>
  <c r="T16" i="16"/>
  <c r="T15" i="16"/>
  <c r="T14" i="16"/>
  <c r="T13" i="16"/>
  <c r="P13" i="16"/>
  <c r="O13" i="16"/>
  <c r="N13" i="16"/>
  <c r="L13" i="16"/>
  <c r="M13" i="16" s="1"/>
  <c r="C13" i="16"/>
  <c r="R12" i="16"/>
  <c r="K9" i="16"/>
  <c r="K8" i="16"/>
  <c r="E8" i="16"/>
  <c r="E7" i="16"/>
  <c r="E6" i="16"/>
  <c r="E5" i="16"/>
  <c r="K4" i="16"/>
  <c r="E4" i="16"/>
  <c r="T3" i="16"/>
  <c r="T14" i="15"/>
  <c r="T15" i="15"/>
  <c r="T16" i="15"/>
  <c r="T17" i="15"/>
  <c r="T18" i="15"/>
  <c r="T19" i="15"/>
  <c r="T20" i="15"/>
  <c r="T21" i="15"/>
  <c r="T22" i="15"/>
  <c r="T23" i="15"/>
  <c r="C24" i="15"/>
  <c r="L24" i="15"/>
  <c r="N24" i="15"/>
  <c r="O24" i="15"/>
  <c r="P24" i="15"/>
  <c r="T24" i="15"/>
  <c r="C25" i="15"/>
  <c r="L25" i="15"/>
  <c r="N25" i="15"/>
  <c r="O25" i="15"/>
  <c r="P25" i="15"/>
  <c r="T25" i="15"/>
  <c r="C26" i="15"/>
  <c r="R26" i="15" s="1"/>
  <c r="L26" i="15"/>
  <c r="M26" i="15" s="1"/>
  <c r="N26" i="15"/>
  <c r="O26" i="15"/>
  <c r="P26" i="15"/>
  <c r="T26" i="15"/>
  <c r="C27" i="15"/>
  <c r="Y27" i="15" s="1"/>
  <c r="L27" i="15"/>
  <c r="M27" i="15" s="1"/>
  <c r="N27" i="15"/>
  <c r="O27" i="15"/>
  <c r="P27" i="15"/>
  <c r="T27" i="15"/>
  <c r="C28" i="15"/>
  <c r="S27" i="15" s="1"/>
  <c r="L28" i="15"/>
  <c r="M28" i="15" s="1"/>
  <c r="N28" i="15"/>
  <c r="O28" i="15"/>
  <c r="P28" i="15"/>
  <c r="T28" i="15"/>
  <c r="C29" i="15"/>
  <c r="Y29" i="15" s="1"/>
  <c r="L29" i="15"/>
  <c r="M29" i="15" s="1"/>
  <c r="N29" i="15"/>
  <c r="O29" i="15"/>
  <c r="P29" i="15"/>
  <c r="T29" i="15"/>
  <c r="C30" i="15"/>
  <c r="L30" i="15"/>
  <c r="M30" i="15" s="1"/>
  <c r="N30" i="15"/>
  <c r="O30" i="15"/>
  <c r="P30" i="15"/>
  <c r="T30" i="15"/>
  <c r="C31" i="15"/>
  <c r="R31" i="15" s="1"/>
  <c r="L31" i="15"/>
  <c r="M31" i="15" s="1"/>
  <c r="N31" i="15"/>
  <c r="O31" i="15"/>
  <c r="P31" i="15"/>
  <c r="T31" i="15"/>
  <c r="C32" i="15"/>
  <c r="L32" i="15"/>
  <c r="M32" i="15" s="1"/>
  <c r="N32" i="15"/>
  <c r="O32" i="15"/>
  <c r="P32" i="15"/>
  <c r="T32" i="15"/>
  <c r="C33" i="15"/>
  <c r="S32" i="15" s="1"/>
  <c r="L33" i="15"/>
  <c r="M33" i="15" s="1"/>
  <c r="N33" i="15"/>
  <c r="O33" i="15"/>
  <c r="P33" i="15"/>
  <c r="T33" i="15"/>
  <c r="K79" i="15"/>
  <c r="R77" i="15"/>
  <c r="T76" i="15"/>
  <c r="S76" i="15"/>
  <c r="P76" i="15"/>
  <c r="O76" i="15"/>
  <c r="N76" i="15"/>
  <c r="L76" i="15"/>
  <c r="M76" i="15" s="1"/>
  <c r="C76" i="15"/>
  <c r="R76" i="15" s="1"/>
  <c r="T75" i="15"/>
  <c r="P75" i="15"/>
  <c r="O75" i="15"/>
  <c r="N75" i="15"/>
  <c r="L75" i="15"/>
  <c r="M75" i="15" s="1"/>
  <c r="C75" i="15"/>
  <c r="S74" i="15" s="1"/>
  <c r="T74" i="15"/>
  <c r="P74" i="15"/>
  <c r="O74" i="15"/>
  <c r="N74" i="15"/>
  <c r="L74" i="15"/>
  <c r="M74" i="15" s="1"/>
  <c r="C74" i="15"/>
  <c r="T73" i="15"/>
  <c r="P73" i="15"/>
  <c r="O73" i="15"/>
  <c r="N73" i="15"/>
  <c r="L73" i="15"/>
  <c r="M73" i="15" s="1"/>
  <c r="C73" i="15"/>
  <c r="T72" i="15"/>
  <c r="P72" i="15"/>
  <c r="O72" i="15"/>
  <c r="N72" i="15"/>
  <c r="L72" i="15"/>
  <c r="M72" i="15" s="1"/>
  <c r="C72" i="15"/>
  <c r="Y72" i="15" s="1"/>
  <c r="T71" i="15"/>
  <c r="P71" i="15"/>
  <c r="O71" i="15"/>
  <c r="N71" i="15"/>
  <c r="L71" i="15"/>
  <c r="M71" i="15" s="1"/>
  <c r="C71" i="15"/>
  <c r="S70" i="15" s="1"/>
  <c r="T70" i="15"/>
  <c r="P70" i="15"/>
  <c r="O70" i="15"/>
  <c r="N70" i="15"/>
  <c r="L70" i="15"/>
  <c r="M70" i="15" s="1"/>
  <c r="C70" i="15"/>
  <c r="T69" i="15"/>
  <c r="P69" i="15"/>
  <c r="O69" i="15"/>
  <c r="N69" i="15"/>
  <c r="L69" i="15"/>
  <c r="M69" i="15" s="1"/>
  <c r="C69" i="15"/>
  <c r="T68" i="15"/>
  <c r="P68" i="15"/>
  <c r="O68" i="15"/>
  <c r="N68" i="15"/>
  <c r="L68" i="15"/>
  <c r="M68" i="15" s="1"/>
  <c r="C68" i="15"/>
  <c r="R68" i="15" s="1"/>
  <c r="B68" i="15" s="1"/>
  <c r="T67" i="15"/>
  <c r="P67" i="15"/>
  <c r="O67" i="15"/>
  <c r="N67" i="15"/>
  <c r="L67" i="15"/>
  <c r="M67" i="15" s="1"/>
  <c r="C67" i="15"/>
  <c r="R67" i="15" s="1"/>
  <c r="T66" i="15"/>
  <c r="P66" i="15"/>
  <c r="O66" i="15"/>
  <c r="N66" i="15"/>
  <c r="L66" i="15"/>
  <c r="M66" i="15" s="1"/>
  <c r="C66" i="15"/>
  <c r="T65" i="15"/>
  <c r="P65" i="15"/>
  <c r="O65" i="15"/>
  <c r="N65" i="15"/>
  <c r="L65" i="15"/>
  <c r="M65" i="15" s="1"/>
  <c r="C65" i="15"/>
  <c r="Y65" i="15" s="1"/>
  <c r="T64" i="15"/>
  <c r="P64" i="15"/>
  <c r="O64" i="15"/>
  <c r="N64" i="15"/>
  <c r="L64" i="15"/>
  <c r="M64" i="15" s="1"/>
  <c r="C64" i="15"/>
  <c r="R64" i="15" s="1"/>
  <c r="T63" i="15"/>
  <c r="P63" i="15"/>
  <c r="O63" i="15"/>
  <c r="N63" i="15"/>
  <c r="L63" i="15"/>
  <c r="M63" i="15" s="1"/>
  <c r="C63" i="15"/>
  <c r="T62" i="15"/>
  <c r="P62" i="15"/>
  <c r="O62" i="15"/>
  <c r="N62" i="15"/>
  <c r="L62" i="15"/>
  <c r="M62" i="15" s="1"/>
  <c r="C62" i="15"/>
  <c r="R62" i="15" s="1"/>
  <c r="A62" i="15" s="1"/>
  <c r="T61" i="15"/>
  <c r="P61" i="15"/>
  <c r="O61" i="15"/>
  <c r="N61" i="15"/>
  <c r="L61" i="15"/>
  <c r="M61" i="15" s="1"/>
  <c r="C61" i="15"/>
  <c r="T60" i="15"/>
  <c r="P60" i="15"/>
  <c r="O60" i="15"/>
  <c r="N60" i="15"/>
  <c r="L60" i="15"/>
  <c r="M60" i="15" s="1"/>
  <c r="C60" i="15"/>
  <c r="T59" i="15"/>
  <c r="P59" i="15"/>
  <c r="O59" i="15"/>
  <c r="N59" i="15"/>
  <c r="L59" i="15"/>
  <c r="M59" i="15" s="1"/>
  <c r="C59" i="15"/>
  <c r="Y59" i="15" s="1"/>
  <c r="T58" i="15"/>
  <c r="P58" i="15"/>
  <c r="O58" i="15"/>
  <c r="N58" i="15"/>
  <c r="L58" i="15"/>
  <c r="M58" i="15" s="1"/>
  <c r="C58" i="15"/>
  <c r="T57" i="15"/>
  <c r="P57" i="15"/>
  <c r="O57" i="15"/>
  <c r="N57" i="15"/>
  <c r="L57" i="15"/>
  <c r="M57" i="15" s="1"/>
  <c r="C57" i="15"/>
  <c r="Y57" i="15" s="1"/>
  <c r="T56" i="15"/>
  <c r="P56" i="15"/>
  <c r="O56" i="15"/>
  <c r="N56" i="15"/>
  <c r="L56" i="15"/>
  <c r="M56" i="15" s="1"/>
  <c r="C56" i="15"/>
  <c r="R56" i="15" s="1"/>
  <c r="T55" i="15"/>
  <c r="P55" i="15"/>
  <c r="O55" i="15"/>
  <c r="N55" i="15"/>
  <c r="L55" i="15"/>
  <c r="M55" i="15" s="1"/>
  <c r="C55" i="15"/>
  <c r="T54" i="15"/>
  <c r="P54" i="15"/>
  <c r="O54" i="15"/>
  <c r="N54" i="15"/>
  <c r="L54" i="15"/>
  <c r="M54" i="15" s="1"/>
  <c r="C54" i="15"/>
  <c r="T53" i="15"/>
  <c r="P53" i="15"/>
  <c r="O53" i="15"/>
  <c r="N53" i="15"/>
  <c r="L53" i="15"/>
  <c r="M53" i="15" s="1"/>
  <c r="C53" i="15"/>
  <c r="Y53" i="15" s="1"/>
  <c r="T52" i="15"/>
  <c r="P52" i="15"/>
  <c r="O52" i="15"/>
  <c r="N52" i="15"/>
  <c r="L52" i="15"/>
  <c r="M52" i="15" s="1"/>
  <c r="C52" i="15"/>
  <c r="T51" i="15"/>
  <c r="P51" i="15"/>
  <c r="O51" i="15"/>
  <c r="N51" i="15"/>
  <c r="L51" i="15"/>
  <c r="M51" i="15" s="1"/>
  <c r="C51" i="15"/>
  <c r="Y51" i="15" s="1"/>
  <c r="T50" i="15"/>
  <c r="P50" i="15"/>
  <c r="O50" i="15"/>
  <c r="N50" i="15"/>
  <c r="L50" i="15"/>
  <c r="M50" i="15" s="1"/>
  <c r="C50" i="15"/>
  <c r="Y50" i="15" s="1"/>
  <c r="T49" i="15"/>
  <c r="P49" i="15"/>
  <c r="O49" i="15"/>
  <c r="N49" i="15"/>
  <c r="L49" i="15"/>
  <c r="M49" i="15" s="1"/>
  <c r="C49" i="15"/>
  <c r="Y49" i="15" s="1"/>
  <c r="T48" i="15"/>
  <c r="P48" i="15"/>
  <c r="O48" i="15"/>
  <c r="N48" i="15"/>
  <c r="L48" i="15"/>
  <c r="M48" i="15" s="1"/>
  <c r="C48" i="15"/>
  <c r="Y48" i="15" s="1"/>
  <c r="T47" i="15"/>
  <c r="P47" i="15"/>
  <c r="O47" i="15"/>
  <c r="N47" i="15"/>
  <c r="L47" i="15"/>
  <c r="M47" i="15" s="1"/>
  <c r="C47" i="15"/>
  <c r="S46" i="15" s="1"/>
  <c r="T46" i="15"/>
  <c r="P46" i="15"/>
  <c r="O46" i="15"/>
  <c r="N46" i="15"/>
  <c r="L46" i="15"/>
  <c r="M46" i="15" s="1"/>
  <c r="C46" i="15"/>
  <c r="S45" i="15" s="1"/>
  <c r="T45" i="15"/>
  <c r="P45" i="15"/>
  <c r="O45" i="15"/>
  <c r="N45" i="15"/>
  <c r="L45" i="15"/>
  <c r="M45" i="15"/>
  <c r="C45" i="15"/>
  <c r="T44" i="15"/>
  <c r="P44" i="15"/>
  <c r="O44" i="15"/>
  <c r="N44" i="15"/>
  <c r="L44" i="15"/>
  <c r="M44" i="15" s="1"/>
  <c r="C44" i="15"/>
  <c r="R44" i="15" s="1"/>
  <c r="T43" i="15"/>
  <c r="P43" i="15"/>
  <c r="O43" i="15"/>
  <c r="N43" i="15"/>
  <c r="L43" i="15"/>
  <c r="M43" i="15" s="1"/>
  <c r="C43" i="15"/>
  <c r="S42" i="15" s="1"/>
  <c r="T42" i="15"/>
  <c r="P42" i="15"/>
  <c r="O42" i="15"/>
  <c r="N42" i="15"/>
  <c r="L42" i="15"/>
  <c r="M42" i="15" s="1"/>
  <c r="C42" i="15"/>
  <c r="T41" i="15"/>
  <c r="P41" i="15"/>
  <c r="O41" i="15"/>
  <c r="N41" i="15"/>
  <c r="L41" i="15"/>
  <c r="M41" i="15" s="1"/>
  <c r="C41" i="15"/>
  <c r="Y41" i="15" s="1"/>
  <c r="T40" i="15"/>
  <c r="P40" i="15"/>
  <c r="O40" i="15"/>
  <c r="N40" i="15"/>
  <c r="L40" i="15"/>
  <c r="M40" i="15" s="1"/>
  <c r="C40" i="15"/>
  <c r="T39" i="15"/>
  <c r="P39" i="15"/>
  <c r="O39" i="15"/>
  <c r="N39" i="15"/>
  <c r="L39" i="15"/>
  <c r="M39" i="15" s="1"/>
  <c r="C39" i="15"/>
  <c r="Y39" i="15" s="1"/>
  <c r="T38" i="15"/>
  <c r="P38" i="15"/>
  <c r="O38" i="15"/>
  <c r="N38" i="15"/>
  <c r="L38" i="15"/>
  <c r="M38" i="15" s="1"/>
  <c r="C38" i="15"/>
  <c r="R38" i="15" s="1"/>
  <c r="T37" i="15"/>
  <c r="P37" i="15"/>
  <c r="O37" i="15"/>
  <c r="N37" i="15"/>
  <c r="L37" i="15"/>
  <c r="M37" i="15" s="1"/>
  <c r="C37" i="15"/>
  <c r="R37" i="15" s="1"/>
  <c r="T36" i="15"/>
  <c r="P36" i="15"/>
  <c r="O36" i="15"/>
  <c r="N36" i="15"/>
  <c r="L36" i="15"/>
  <c r="M36" i="15" s="1"/>
  <c r="C36" i="15"/>
  <c r="S35" i="15" s="1"/>
  <c r="T35" i="15"/>
  <c r="P35" i="15"/>
  <c r="O35" i="15"/>
  <c r="N35" i="15"/>
  <c r="L35" i="15"/>
  <c r="M35" i="15" s="1"/>
  <c r="C35" i="15"/>
  <c r="T34" i="15"/>
  <c r="P34" i="15"/>
  <c r="O34" i="15"/>
  <c r="N34" i="15"/>
  <c r="C34" i="15"/>
  <c r="Y34" i="15" s="1"/>
  <c r="T13" i="15"/>
  <c r="P13" i="15"/>
  <c r="O13" i="15"/>
  <c r="N13" i="15"/>
  <c r="L13" i="15"/>
  <c r="M13" i="15" s="1"/>
  <c r="C13" i="15"/>
  <c r="R12" i="15"/>
  <c r="K9" i="15"/>
  <c r="K8" i="15"/>
  <c r="E8" i="15"/>
  <c r="E7" i="15"/>
  <c r="B12" i="15" s="1"/>
  <c r="E6" i="15"/>
  <c r="E5" i="15"/>
  <c r="K4" i="15"/>
  <c r="E4" i="15"/>
  <c r="T3" i="15"/>
  <c r="AK32" i="14"/>
  <c r="AK31" i="14"/>
  <c r="AI24" i="14"/>
  <c r="AI25" i="14"/>
  <c r="AI21" i="14"/>
  <c r="AI22" i="14" s="1"/>
  <c r="K79" i="14"/>
  <c r="R77" i="14"/>
  <c r="T76" i="14"/>
  <c r="S76" i="14"/>
  <c r="P76" i="14"/>
  <c r="O76" i="14"/>
  <c r="N76" i="14"/>
  <c r="L76" i="14"/>
  <c r="M76" i="14" s="1"/>
  <c r="C76" i="14"/>
  <c r="T75" i="14"/>
  <c r="P75" i="14"/>
  <c r="O75" i="14"/>
  <c r="N75" i="14"/>
  <c r="L75" i="14"/>
  <c r="M75" i="14" s="1"/>
  <c r="C75" i="14"/>
  <c r="Y75" i="14" s="1"/>
  <c r="T74" i="14"/>
  <c r="P74" i="14"/>
  <c r="O74" i="14"/>
  <c r="N74" i="14"/>
  <c r="L74" i="14"/>
  <c r="M74" i="14" s="1"/>
  <c r="C74" i="14"/>
  <c r="T73" i="14"/>
  <c r="P73" i="14"/>
  <c r="O73" i="14"/>
  <c r="N73" i="14"/>
  <c r="L73" i="14"/>
  <c r="M73" i="14" s="1"/>
  <c r="C73" i="14"/>
  <c r="T72" i="14"/>
  <c r="P72" i="14"/>
  <c r="O72" i="14"/>
  <c r="N72" i="14"/>
  <c r="L72" i="14"/>
  <c r="M72" i="14" s="1"/>
  <c r="C72" i="14"/>
  <c r="T71" i="14"/>
  <c r="P71" i="14"/>
  <c r="O71" i="14"/>
  <c r="N71" i="14"/>
  <c r="L71" i="14"/>
  <c r="M71" i="14" s="1"/>
  <c r="C71" i="14"/>
  <c r="T70" i="14"/>
  <c r="P70" i="14"/>
  <c r="O70" i="14"/>
  <c r="N70" i="14"/>
  <c r="L70" i="14"/>
  <c r="M70" i="14" s="1"/>
  <c r="C70" i="14"/>
  <c r="T69" i="14"/>
  <c r="P69" i="14"/>
  <c r="O69" i="14"/>
  <c r="N69" i="14"/>
  <c r="L69" i="14"/>
  <c r="M69" i="14" s="1"/>
  <c r="C69" i="14"/>
  <c r="Y69" i="14" s="1"/>
  <c r="T68" i="14"/>
  <c r="P68" i="14"/>
  <c r="O68" i="14"/>
  <c r="N68" i="14"/>
  <c r="L68" i="14"/>
  <c r="M68" i="14" s="1"/>
  <c r="C68" i="14"/>
  <c r="R68" i="14" s="1"/>
  <c r="B68" i="14" s="1"/>
  <c r="T67" i="14"/>
  <c r="P67" i="14"/>
  <c r="O67" i="14"/>
  <c r="N67" i="14"/>
  <c r="L67" i="14"/>
  <c r="M67" i="14" s="1"/>
  <c r="C67" i="14"/>
  <c r="T66" i="14"/>
  <c r="P66" i="14"/>
  <c r="O66" i="14"/>
  <c r="N66" i="14"/>
  <c r="L66" i="14"/>
  <c r="M66" i="14" s="1"/>
  <c r="C66" i="14"/>
  <c r="T65" i="14"/>
  <c r="P65" i="14"/>
  <c r="O65" i="14"/>
  <c r="N65" i="14"/>
  <c r="L65" i="14"/>
  <c r="M65" i="14" s="1"/>
  <c r="C65" i="14"/>
  <c r="T64" i="14"/>
  <c r="P64" i="14"/>
  <c r="O64" i="14"/>
  <c r="N64" i="14"/>
  <c r="L64" i="14"/>
  <c r="M64" i="14" s="1"/>
  <c r="C64" i="14"/>
  <c r="R64" i="14" s="1"/>
  <c r="T63" i="14"/>
  <c r="P63" i="14"/>
  <c r="O63" i="14"/>
  <c r="N63" i="14"/>
  <c r="L63" i="14"/>
  <c r="M63" i="14" s="1"/>
  <c r="C63" i="14"/>
  <c r="R63" i="14" s="1"/>
  <c r="T62" i="14"/>
  <c r="P62" i="14"/>
  <c r="O62" i="14"/>
  <c r="N62" i="14"/>
  <c r="L62" i="14"/>
  <c r="M62" i="14" s="1"/>
  <c r="C62" i="14"/>
  <c r="T61" i="14"/>
  <c r="P61" i="14"/>
  <c r="O61" i="14"/>
  <c r="N61" i="14"/>
  <c r="L61" i="14"/>
  <c r="M61" i="14" s="1"/>
  <c r="C61" i="14"/>
  <c r="Y61" i="14" s="1"/>
  <c r="T60" i="14"/>
  <c r="P60" i="14"/>
  <c r="O60" i="14"/>
  <c r="N60" i="14"/>
  <c r="L60" i="14"/>
  <c r="M60" i="14" s="1"/>
  <c r="C60" i="14"/>
  <c r="T59" i="14"/>
  <c r="P59" i="14"/>
  <c r="O59" i="14"/>
  <c r="N59" i="14"/>
  <c r="L59" i="14"/>
  <c r="M59" i="14" s="1"/>
  <c r="C59" i="14"/>
  <c r="R59" i="14" s="1"/>
  <c r="T58" i="14"/>
  <c r="P58" i="14"/>
  <c r="O58" i="14"/>
  <c r="N58" i="14"/>
  <c r="L58" i="14"/>
  <c r="M58" i="14" s="1"/>
  <c r="C58" i="14"/>
  <c r="T57" i="14"/>
  <c r="P57" i="14"/>
  <c r="O57" i="14"/>
  <c r="N57" i="14"/>
  <c r="L57" i="14"/>
  <c r="M57" i="14" s="1"/>
  <c r="C57" i="14"/>
  <c r="T56" i="14"/>
  <c r="P56" i="14"/>
  <c r="O56" i="14"/>
  <c r="N56" i="14"/>
  <c r="L56" i="14"/>
  <c r="M56" i="14" s="1"/>
  <c r="C56" i="14"/>
  <c r="T55" i="14"/>
  <c r="P55" i="14"/>
  <c r="O55" i="14"/>
  <c r="N55" i="14"/>
  <c r="L55" i="14"/>
  <c r="M55" i="14" s="1"/>
  <c r="C55" i="14"/>
  <c r="T54" i="14"/>
  <c r="P54" i="14"/>
  <c r="O54" i="14"/>
  <c r="N54" i="14"/>
  <c r="L54" i="14"/>
  <c r="M54" i="14" s="1"/>
  <c r="C54" i="14"/>
  <c r="Y54" i="14" s="1"/>
  <c r="T53" i="14"/>
  <c r="P53" i="14"/>
  <c r="O53" i="14"/>
  <c r="N53" i="14"/>
  <c r="L53" i="14"/>
  <c r="M53" i="14" s="1"/>
  <c r="C53" i="14"/>
  <c r="T52" i="14"/>
  <c r="P52" i="14"/>
  <c r="O52" i="14"/>
  <c r="N52" i="14"/>
  <c r="L52" i="14"/>
  <c r="M52" i="14" s="1"/>
  <c r="C52" i="14"/>
  <c r="T51" i="14"/>
  <c r="P51" i="14"/>
  <c r="O51" i="14"/>
  <c r="N51" i="14"/>
  <c r="L51" i="14"/>
  <c r="M51" i="14" s="1"/>
  <c r="C51" i="14"/>
  <c r="Y51" i="14" s="1"/>
  <c r="T50" i="14"/>
  <c r="P50" i="14"/>
  <c r="O50" i="14"/>
  <c r="N50" i="14"/>
  <c r="L50" i="14"/>
  <c r="M50" i="14" s="1"/>
  <c r="C50" i="14"/>
  <c r="Y50" i="14" s="1"/>
  <c r="T49" i="14"/>
  <c r="P49" i="14"/>
  <c r="O49" i="14"/>
  <c r="N49" i="14"/>
  <c r="L49" i="14"/>
  <c r="M49" i="14" s="1"/>
  <c r="C49" i="14"/>
  <c r="T48" i="14"/>
  <c r="P48" i="14"/>
  <c r="O48" i="14"/>
  <c r="N48" i="14"/>
  <c r="L48" i="14"/>
  <c r="M48" i="14" s="1"/>
  <c r="C48" i="14"/>
  <c r="Y48" i="14" s="1"/>
  <c r="T47" i="14"/>
  <c r="P47" i="14"/>
  <c r="O47" i="14"/>
  <c r="N47" i="14"/>
  <c r="L47" i="14"/>
  <c r="M47" i="14" s="1"/>
  <c r="C47" i="14"/>
  <c r="S46" i="14" s="1"/>
  <c r="T46" i="14"/>
  <c r="P46" i="14"/>
  <c r="O46" i="14"/>
  <c r="N46" i="14"/>
  <c r="L46" i="14"/>
  <c r="M46" i="14" s="1"/>
  <c r="C46" i="14"/>
  <c r="S45" i="14" s="1"/>
  <c r="T45" i="14"/>
  <c r="P45" i="14"/>
  <c r="O45" i="14"/>
  <c r="N45" i="14"/>
  <c r="L45" i="14"/>
  <c r="M45" i="14" s="1"/>
  <c r="C45" i="14"/>
  <c r="Y45" i="14" s="1"/>
  <c r="T44" i="14"/>
  <c r="P44" i="14"/>
  <c r="O44" i="14"/>
  <c r="N44" i="14"/>
  <c r="L44" i="14"/>
  <c r="M44" i="14" s="1"/>
  <c r="C44" i="14"/>
  <c r="T43" i="14"/>
  <c r="P43" i="14"/>
  <c r="O43" i="14"/>
  <c r="N43" i="14"/>
  <c r="L43" i="14"/>
  <c r="M43" i="14" s="1"/>
  <c r="C43" i="14"/>
  <c r="Y43" i="14" s="1"/>
  <c r="T42" i="14"/>
  <c r="P42" i="14"/>
  <c r="O42" i="14"/>
  <c r="N42" i="14"/>
  <c r="L42" i="14"/>
  <c r="M42" i="14" s="1"/>
  <c r="C42" i="14"/>
  <c r="T41" i="14"/>
  <c r="P41" i="14"/>
  <c r="O41" i="14"/>
  <c r="N41" i="14"/>
  <c r="L41" i="14"/>
  <c r="M41" i="14" s="1"/>
  <c r="C41" i="14"/>
  <c r="Y41" i="14" s="1"/>
  <c r="T40" i="14"/>
  <c r="P40" i="14"/>
  <c r="O40" i="14"/>
  <c r="N40" i="14"/>
  <c r="L40" i="14"/>
  <c r="M40" i="14" s="1"/>
  <c r="C40" i="14"/>
  <c r="T39" i="14"/>
  <c r="P39" i="14"/>
  <c r="O39" i="14"/>
  <c r="N39" i="14"/>
  <c r="L39" i="14"/>
  <c r="M39" i="14" s="1"/>
  <c r="C39" i="14"/>
  <c r="R39" i="14" s="1"/>
  <c r="T38" i="14"/>
  <c r="P38" i="14"/>
  <c r="O38" i="14"/>
  <c r="N38" i="14"/>
  <c r="L38" i="14"/>
  <c r="M38" i="14" s="1"/>
  <c r="C38" i="14"/>
  <c r="T37" i="14"/>
  <c r="P37" i="14"/>
  <c r="O37" i="14"/>
  <c r="N37" i="14"/>
  <c r="L37" i="14"/>
  <c r="M37" i="14" s="1"/>
  <c r="C37" i="14"/>
  <c r="Y37" i="14" s="1"/>
  <c r="T36" i="14"/>
  <c r="P36" i="14"/>
  <c r="O36" i="14"/>
  <c r="N36" i="14"/>
  <c r="L36" i="14"/>
  <c r="M36" i="14" s="1"/>
  <c r="C36" i="14"/>
  <c r="Y36" i="14" s="1"/>
  <c r="T35" i="14"/>
  <c r="P35" i="14"/>
  <c r="O35" i="14"/>
  <c r="N35" i="14"/>
  <c r="L35" i="14"/>
  <c r="M35" i="14" s="1"/>
  <c r="C35" i="14"/>
  <c r="Y35" i="14" s="1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1" i="14" s="1"/>
  <c r="P13" i="14"/>
  <c r="O13" i="14"/>
  <c r="N13" i="14"/>
  <c r="L13" i="14"/>
  <c r="M13" i="14" s="1"/>
  <c r="C13" i="14"/>
  <c r="R12" i="14"/>
  <c r="K9" i="14"/>
  <c r="K8" i="14"/>
  <c r="E8" i="14"/>
  <c r="E7" i="14"/>
  <c r="E6" i="14"/>
  <c r="E5" i="14"/>
  <c r="K4" i="14"/>
  <c r="E4" i="14"/>
  <c r="T3" i="14"/>
  <c r="T3" i="13"/>
  <c r="T3" i="11"/>
  <c r="K79" i="13"/>
  <c r="R77" i="13"/>
  <c r="T76" i="13"/>
  <c r="S76" i="13"/>
  <c r="P76" i="13"/>
  <c r="O76" i="13"/>
  <c r="N76" i="13"/>
  <c r="L76" i="13"/>
  <c r="M76" i="13" s="1"/>
  <c r="C76" i="13"/>
  <c r="T75" i="13"/>
  <c r="P75" i="13"/>
  <c r="O75" i="13"/>
  <c r="N75" i="13"/>
  <c r="L75" i="13"/>
  <c r="M75" i="13" s="1"/>
  <c r="C75" i="13"/>
  <c r="T74" i="13"/>
  <c r="P74" i="13"/>
  <c r="O74" i="13"/>
  <c r="N74" i="13"/>
  <c r="L74" i="13"/>
  <c r="M74" i="13" s="1"/>
  <c r="C74" i="13"/>
  <c r="Y74" i="13" s="1"/>
  <c r="T73" i="13"/>
  <c r="P73" i="13"/>
  <c r="O73" i="13"/>
  <c r="N73" i="13"/>
  <c r="L73" i="13"/>
  <c r="M73" i="13" s="1"/>
  <c r="C73" i="13"/>
  <c r="Y73" i="13" s="1"/>
  <c r="T72" i="13"/>
  <c r="P72" i="13"/>
  <c r="O72" i="13"/>
  <c r="N72" i="13"/>
  <c r="L72" i="13"/>
  <c r="M72" i="13" s="1"/>
  <c r="C72" i="13"/>
  <c r="Y72" i="13" s="1"/>
  <c r="T71" i="13"/>
  <c r="P71" i="13"/>
  <c r="O71" i="13"/>
  <c r="N71" i="13"/>
  <c r="L71" i="13"/>
  <c r="M71" i="13" s="1"/>
  <c r="C71" i="13"/>
  <c r="R71" i="13" s="1"/>
  <c r="T70" i="13"/>
  <c r="P70" i="13"/>
  <c r="O70" i="13"/>
  <c r="N70" i="13"/>
  <c r="L70" i="13"/>
  <c r="M70" i="13" s="1"/>
  <c r="C70" i="13"/>
  <c r="T69" i="13"/>
  <c r="P69" i="13"/>
  <c r="O69" i="13"/>
  <c r="N69" i="13"/>
  <c r="L69" i="13"/>
  <c r="M69" i="13" s="1"/>
  <c r="C69" i="13"/>
  <c r="T68" i="13"/>
  <c r="P68" i="13"/>
  <c r="O68" i="13"/>
  <c r="N68" i="13"/>
  <c r="L68" i="13"/>
  <c r="M68" i="13" s="1"/>
  <c r="C68" i="13"/>
  <c r="Y68" i="13" s="1"/>
  <c r="R68" i="13"/>
  <c r="B68" i="13" s="1"/>
  <c r="T67" i="13"/>
  <c r="P67" i="13"/>
  <c r="O67" i="13"/>
  <c r="N67" i="13"/>
  <c r="L67" i="13"/>
  <c r="M67" i="13" s="1"/>
  <c r="C67" i="13"/>
  <c r="Y67" i="13"/>
  <c r="T66" i="13"/>
  <c r="P66" i="13"/>
  <c r="O66" i="13"/>
  <c r="N66" i="13"/>
  <c r="L66" i="13"/>
  <c r="M66" i="13" s="1"/>
  <c r="C66" i="13"/>
  <c r="Y66" i="13" s="1"/>
  <c r="T65" i="13"/>
  <c r="P65" i="13"/>
  <c r="O65" i="13"/>
  <c r="N65" i="13"/>
  <c r="L65" i="13"/>
  <c r="M65" i="13" s="1"/>
  <c r="C65" i="13"/>
  <c r="Y65" i="13" s="1"/>
  <c r="T64" i="13"/>
  <c r="P64" i="13"/>
  <c r="O64" i="13"/>
  <c r="N64" i="13"/>
  <c r="L64" i="13"/>
  <c r="M64" i="13" s="1"/>
  <c r="C64" i="13"/>
  <c r="T63" i="13"/>
  <c r="P63" i="13"/>
  <c r="O63" i="13"/>
  <c r="N63" i="13"/>
  <c r="L63" i="13"/>
  <c r="M63" i="13" s="1"/>
  <c r="C63" i="13"/>
  <c r="R63" i="13" s="1"/>
  <c r="T62" i="13"/>
  <c r="P62" i="13"/>
  <c r="O62" i="13"/>
  <c r="N62" i="13"/>
  <c r="L62" i="13"/>
  <c r="M62" i="13" s="1"/>
  <c r="C62" i="13"/>
  <c r="Y62" i="13" s="1"/>
  <c r="T61" i="13"/>
  <c r="P61" i="13"/>
  <c r="O61" i="13"/>
  <c r="N61" i="13"/>
  <c r="L61" i="13"/>
  <c r="M61" i="13" s="1"/>
  <c r="C61" i="13"/>
  <c r="S60" i="13" s="1"/>
  <c r="T60" i="13"/>
  <c r="P60" i="13"/>
  <c r="O60" i="13"/>
  <c r="N60" i="13"/>
  <c r="L60" i="13"/>
  <c r="M60" i="13" s="1"/>
  <c r="C60" i="13"/>
  <c r="T59" i="13"/>
  <c r="P59" i="13"/>
  <c r="O59" i="13"/>
  <c r="N59" i="13"/>
  <c r="L59" i="13"/>
  <c r="M59" i="13" s="1"/>
  <c r="C59" i="13"/>
  <c r="R59" i="13" s="1"/>
  <c r="T58" i="13"/>
  <c r="P58" i="13"/>
  <c r="O58" i="13"/>
  <c r="N58" i="13"/>
  <c r="L58" i="13"/>
  <c r="M58" i="13" s="1"/>
  <c r="C58" i="13"/>
  <c r="R58" i="13"/>
  <c r="B58" i="13" s="1"/>
  <c r="T57" i="13"/>
  <c r="P57" i="13"/>
  <c r="O57" i="13"/>
  <c r="N57" i="13"/>
  <c r="L57" i="13"/>
  <c r="M57" i="13" s="1"/>
  <c r="C57" i="13"/>
  <c r="Y57" i="13" s="1"/>
  <c r="T56" i="13"/>
  <c r="P56" i="13"/>
  <c r="O56" i="13"/>
  <c r="N56" i="13"/>
  <c r="L56" i="13"/>
  <c r="M56" i="13" s="1"/>
  <c r="C56" i="13"/>
  <c r="T55" i="13"/>
  <c r="P55" i="13"/>
  <c r="O55" i="13"/>
  <c r="N55" i="13"/>
  <c r="L55" i="13"/>
  <c r="M55" i="13" s="1"/>
  <c r="C55" i="13"/>
  <c r="R55" i="13" s="1"/>
  <c r="T54" i="13"/>
  <c r="P54" i="13"/>
  <c r="O54" i="13"/>
  <c r="N54" i="13"/>
  <c r="L54" i="13"/>
  <c r="M54" i="13" s="1"/>
  <c r="C54" i="13"/>
  <c r="T53" i="13"/>
  <c r="P53" i="13"/>
  <c r="O53" i="13"/>
  <c r="N53" i="13"/>
  <c r="L53" i="13"/>
  <c r="M53" i="13" s="1"/>
  <c r="C53" i="13"/>
  <c r="Y53" i="13" s="1"/>
  <c r="T52" i="13"/>
  <c r="P52" i="13"/>
  <c r="O52" i="13"/>
  <c r="N52" i="13"/>
  <c r="L52" i="13"/>
  <c r="M52" i="13" s="1"/>
  <c r="C52" i="13"/>
  <c r="T51" i="13"/>
  <c r="P51" i="13"/>
  <c r="O51" i="13"/>
  <c r="N51" i="13"/>
  <c r="L51" i="13"/>
  <c r="M51" i="13" s="1"/>
  <c r="C51" i="13"/>
  <c r="R51" i="13" s="1"/>
  <c r="T50" i="13"/>
  <c r="P50" i="13"/>
  <c r="O50" i="13"/>
  <c r="N50" i="13"/>
  <c r="L50" i="13"/>
  <c r="M50" i="13" s="1"/>
  <c r="C50" i="13"/>
  <c r="Y50" i="13" s="1"/>
  <c r="T49" i="13"/>
  <c r="P49" i="13"/>
  <c r="O49" i="13"/>
  <c r="N49" i="13"/>
  <c r="L49" i="13"/>
  <c r="M49" i="13" s="1"/>
  <c r="C49" i="13"/>
  <c r="S48" i="13" s="1"/>
  <c r="T48" i="13"/>
  <c r="P48" i="13"/>
  <c r="O48" i="13"/>
  <c r="N48" i="13"/>
  <c r="L48" i="13"/>
  <c r="M48" i="13" s="1"/>
  <c r="C48" i="13"/>
  <c r="Y48" i="13" s="1"/>
  <c r="T47" i="13"/>
  <c r="P47" i="13"/>
  <c r="O47" i="13"/>
  <c r="N47" i="13"/>
  <c r="L47" i="13"/>
  <c r="M47" i="13" s="1"/>
  <c r="C47" i="13"/>
  <c r="R47" i="13" s="1"/>
  <c r="T46" i="13"/>
  <c r="P46" i="13"/>
  <c r="O46" i="13"/>
  <c r="N46" i="13"/>
  <c r="L46" i="13"/>
  <c r="M46" i="13" s="1"/>
  <c r="C46" i="13"/>
  <c r="Y46" i="13" s="1"/>
  <c r="T45" i="13"/>
  <c r="P45" i="13"/>
  <c r="O45" i="13"/>
  <c r="N45" i="13"/>
  <c r="L45" i="13"/>
  <c r="M45" i="13"/>
  <c r="C45" i="13"/>
  <c r="Y45" i="13"/>
  <c r="T44" i="13"/>
  <c r="P44" i="13"/>
  <c r="O44" i="13"/>
  <c r="N44" i="13"/>
  <c r="L44" i="13"/>
  <c r="M44" i="13" s="1"/>
  <c r="C44" i="13"/>
  <c r="T43" i="13"/>
  <c r="P43" i="13"/>
  <c r="O43" i="13"/>
  <c r="N43" i="13"/>
  <c r="L43" i="13"/>
  <c r="M43" i="13" s="1"/>
  <c r="C43" i="13"/>
  <c r="R43" i="13" s="1"/>
  <c r="T42" i="13"/>
  <c r="P42" i="13"/>
  <c r="O42" i="13"/>
  <c r="N42" i="13"/>
  <c r="L42" i="13"/>
  <c r="M42" i="13" s="1"/>
  <c r="C42" i="13"/>
  <c r="Y42" i="13" s="1"/>
  <c r="T41" i="13"/>
  <c r="P41" i="13"/>
  <c r="O41" i="13"/>
  <c r="N41" i="13"/>
  <c r="L41" i="13"/>
  <c r="M41" i="13" s="1"/>
  <c r="C41" i="13"/>
  <c r="Y41" i="13" s="1"/>
  <c r="T40" i="13"/>
  <c r="P40" i="13"/>
  <c r="O40" i="13"/>
  <c r="N40" i="13"/>
  <c r="L40" i="13"/>
  <c r="M40" i="13" s="1"/>
  <c r="C40" i="13"/>
  <c r="R40" i="13" s="1"/>
  <c r="T39" i="13"/>
  <c r="P39" i="13"/>
  <c r="O39" i="13"/>
  <c r="N39" i="13"/>
  <c r="L39" i="13"/>
  <c r="M39" i="13" s="1"/>
  <c r="C39" i="13"/>
  <c r="R39" i="13" s="1"/>
  <c r="T38" i="13"/>
  <c r="P38" i="13"/>
  <c r="O38" i="13"/>
  <c r="N38" i="13"/>
  <c r="L38" i="13"/>
  <c r="M38" i="13" s="1"/>
  <c r="C38" i="13"/>
  <c r="Y38" i="13" s="1"/>
  <c r="T37" i="13"/>
  <c r="P37" i="13"/>
  <c r="O37" i="13"/>
  <c r="N37" i="13"/>
  <c r="L37" i="13"/>
  <c r="M37" i="13" s="1"/>
  <c r="C37" i="13"/>
  <c r="Y37" i="13" s="1"/>
  <c r="T36" i="13"/>
  <c r="P36" i="13"/>
  <c r="O36" i="13"/>
  <c r="N36" i="13"/>
  <c r="L36" i="13"/>
  <c r="M36" i="13" s="1"/>
  <c r="C36" i="13"/>
  <c r="Y36" i="13" s="1"/>
  <c r="T35" i="13"/>
  <c r="P35" i="13"/>
  <c r="O35" i="13"/>
  <c r="N35" i="13"/>
  <c r="L35" i="13"/>
  <c r="M35" i="13" s="1"/>
  <c r="C35" i="13"/>
  <c r="Y35" i="13" s="1"/>
  <c r="T34" i="13"/>
  <c r="P34" i="13"/>
  <c r="O34" i="13"/>
  <c r="N34" i="13"/>
  <c r="L34" i="13"/>
  <c r="M34" i="13" s="1"/>
  <c r="C34" i="13"/>
  <c r="R34" i="13" s="1"/>
  <c r="T33" i="13"/>
  <c r="P33" i="13"/>
  <c r="O33" i="13"/>
  <c r="N33" i="13"/>
  <c r="L33" i="13"/>
  <c r="M33" i="13" s="1"/>
  <c r="C33" i="13"/>
  <c r="T32" i="13"/>
  <c r="P32" i="13"/>
  <c r="O32" i="13"/>
  <c r="N32" i="13"/>
  <c r="L32" i="13"/>
  <c r="M32" i="13" s="1"/>
  <c r="C32" i="13"/>
  <c r="T31" i="13"/>
  <c r="P31" i="13"/>
  <c r="O31" i="13"/>
  <c r="N31" i="13"/>
  <c r="L31" i="13"/>
  <c r="M31" i="13" s="1"/>
  <c r="C31" i="13"/>
  <c r="S30" i="13" s="1"/>
  <c r="T30" i="13"/>
  <c r="P30" i="13"/>
  <c r="O30" i="13"/>
  <c r="N30" i="13"/>
  <c r="L30" i="13"/>
  <c r="M30" i="13" s="1"/>
  <c r="C30" i="13"/>
  <c r="T29" i="13"/>
  <c r="P29" i="13"/>
  <c r="O29" i="13"/>
  <c r="N29" i="13"/>
  <c r="L29" i="13"/>
  <c r="M29" i="13" s="1"/>
  <c r="C29" i="13"/>
  <c r="R29" i="13" s="1"/>
  <c r="T28" i="13"/>
  <c r="P28" i="13"/>
  <c r="O28" i="13"/>
  <c r="N28" i="13"/>
  <c r="L28" i="13"/>
  <c r="M28" i="13" s="1"/>
  <c r="C28" i="13"/>
  <c r="T27" i="13"/>
  <c r="P27" i="13"/>
  <c r="O27" i="13"/>
  <c r="N27" i="13"/>
  <c r="L27" i="13"/>
  <c r="M27" i="13" s="1"/>
  <c r="C27" i="13"/>
  <c r="S26" i="13" s="1"/>
  <c r="T26" i="13"/>
  <c r="P26" i="13"/>
  <c r="O26" i="13"/>
  <c r="N26" i="13"/>
  <c r="L26" i="13"/>
  <c r="M26" i="13" s="1"/>
  <c r="C26" i="13"/>
  <c r="R26" i="13" s="1"/>
  <c r="T25" i="13"/>
  <c r="P25" i="13"/>
  <c r="O25" i="13"/>
  <c r="N25" i="13"/>
  <c r="L25" i="13"/>
  <c r="M25" i="13" s="1"/>
  <c r="C25" i="13"/>
  <c r="R25" i="13" s="1"/>
  <c r="T24" i="13"/>
  <c r="P24" i="13"/>
  <c r="O24" i="13"/>
  <c r="N24" i="13"/>
  <c r="L24" i="13"/>
  <c r="M24" i="13" s="1"/>
  <c r="C24" i="13"/>
  <c r="T23" i="13"/>
  <c r="P23" i="13"/>
  <c r="O23" i="13"/>
  <c r="N23" i="13"/>
  <c r="L23" i="13"/>
  <c r="M23" i="13" s="1"/>
  <c r="C23" i="13"/>
  <c r="Y23" i="13" s="1"/>
  <c r="T22" i="13"/>
  <c r="P22" i="13"/>
  <c r="O22" i="13"/>
  <c r="N22" i="13"/>
  <c r="L22" i="13"/>
  <c r="M22" i="13" s="1"/>
  <c r="C22" i="13"/>
  <c r="Y22" i="13" s="1"/>
  <c r="T21" i="13"/>
  <c r="P21" i="13"/>
  <c r="O21" i="13"/>
  <c r="N21" i="13"/>
  <c r="L21" i="13"/>
  <c r="M21" i="13"/>
  <c r="C21" i="13"/>
  <c r="T20" i="13"/>
  <c r="P20" i="13"/>
  <c r="O20" i="13"/>
  <c r="N20" i="13"/>
  <c r="L20" i="13"/>
  <c r="M20" i="13" s="1"/>
  <c r="C20" i="13"/>
  <c r="R20" i="13" s="1"/>
  <c r="T19" i="13"/>
  <c r="P19" i="13"/>
  <c r="O19" i="13"/>
  <c r="N19" i="13"/>
  <c r="T18" i="13"/>
  <c r="P18" i="13"/>
  <c r="O18" i="13"/>
  <c r="N18" i="13"/>
  <c r="T17" i="13"/>
  <c r="P17" i="13"/>
  <c r="O17" i="13"/>
  <c r="N17" i="13"/>
  <c r="T16" i="13"/>
  <c r="T15" i="13"/>
  <c r="T14" i="13"/>
  <c r="P14" i="13"/>
  <c r="O14" i="13"/>
  <c r="N14" i="13"/>
  <c r="L14" i="13"/>
  <c r="M14" i="13" s="1"/>
  <c r="C14" i="13"/>
  <c r="Y14" i="13" s="1"/>
  <c r="T13" i="13"/>
  <c r="P13" i="13"/>
  <c r="O13" i="13"/>
  <c r="N13" i="13"/>
  <c r="L13" i="13"/>
  <c r="M13" i="13" s="1"/>
  <c r="C13" i="13"/>
  <c r="R13" i="13" s="1"/>
  <c r="R12" i="13"/>
  <c r="K9" i="13"/>
  <c r="K8" i="13"/>
  <c r="E8" i="13"/>
  <c r="E7" i="13"/>
  <c r="E6" i="13"/>
  <c r="E5" i="13"/>
  <c r="K4" i="13"/>
  <c r="E4" i="13"/>
  <c r="K8" i="11"/>
  <c r="K9" i="11"/>
  <c r="K4" i="11"/>
  <c r="E5" i="11"/>
  <c r="E6" i="11"/>
  <c r="E7" i="11"/>
  <c r="E8" i="11"/>
  <c r="E4" i="11"/>
  <c r="K79" i="11"/>
  <c r="R77" i="11"/>
  <c r="B77" i="11" s="1"/>
  <c r="T76" i="11"/>
  <c r="S76" i="11"/>
  <c r="P76" i="11"/>
  <c r="O76" i="11"/>
  <c r="N76" i="11"/>
  <c r="L76" i="11"/>
  <c r="M76" i="11" s="1"/>
  <c r="C76" i="11"/>
  <c r="T75" i="11"/>
  <c r="P75" i="11"/>
  <c r="O75" i="11"/>
  <c r="N75" i="11"/>
  <c r="L75" i="11"/>
  <c r="M75" i="11" s="1"/>
  <c r="C75" i="11"/>
  <c r="T74" i="11"/>
  <c r="P74" i="11"/>
  <c r="O74" i="11"/>
  <c r="N74" i="11"/>
  <c r="L74" i="11"/>
  <c r="M74" i="11" s="1"/>
  <c r="C74" i="11"/>
  <c r="T73" i="11"/>
  <c r="P73" i="11"/>
  <c r="O73" i="11"/>
  <c r="N73" i="11"/>
  <c r="L73" i="11"/>
  <c r="M73" i="11" s="1"/>
  <c r="C73" i="11"/>
  <c r="T72" i="11"/>
  <c r="P72" i="11"/>
  <c r="O72" i="11"/>
  <c r="N72" i="11"/>
  <c r="L72" i="11"/>
  <c r="M72" i="11" s="1"/>
  <c r="C72" i="11"/>
  <c r="T71" i="11"/>
  <c r="P71" i="11"/>
  <c r="O71" i="11"/>
  <c r="N71" i="11"/>
  <c r="L71" i="11"/>
  <c r="M71" i="11" s="1"/>
  <c r="C71" i="11"/>
  <c r="T70" i="11"/>
  <c r="P70" i="11"/>
  <c r="O70" i="11"/>
  <c r="N70" i="11"/>
  <c r="L70" i="11"/>
  <c r="M70" i="11" s="1"/>
  <c r="C70" i="11"/>
  <c r="T69" i="11"/>
  <c r="P69" i="11"/>
  <c r="O69" i="11"/>
  <c r="N69" i="11"/>
  <c r="L69" i="11"/>
  <c r="M69" i="11" s="1"/>
  <c r="C69" i="11"/>
  <c r="T68" i="11"/>
  <c r="P68" i="11"/>
  <c r="O68" i="11"/>
  <c r="N68" i="11"/>
  <c r="L68" i="11"/>
  <c r="M68" i="11" s="1"/>
  <c r="C68" i="11"/>
  <c r="Y68" i="11" s="1"/>
  <c r="T67" i="11"/>
  <c r="P67" i="11"/>
  <c r="O67" i="11"/>
  <c r="N67" i="11"/>
  <c r="L67" i="11"/>
  <c r="M67" i="11" s="1"/>
  <c r="C67" i="11"/>
  <c r="T66" i="11"/>
  <c r="P66" i="11"/>
  <c r="O66" i="11"/>
  <c r="N66" i="11"/>
  <c r="L66" i="11"/>
  <c r="M66" i="11" s="1"/>
  <c r="C66" i="11"/>
  <c r="S65" i="11" s="1"/>
  <c r="T65" i="11"/>
  <c r="P65" i="11"/>
  <c r="O65" i="11"/>
  <c r="N65" i="11"/>
  <c r="L65" i="11"/>
  <c r="M65" i="11" s="1"/>
  <c r="C65" i="11"/>
  <c r="T64" i="11"/>
  <c r="P64" i="11"/>
  <c r="O64" i="11"/>
  <c r="N64" i="11"/>
  <c r="L64" i="11"/>
  <c r="M64" i="11" s="1"/>
  <c r="C64" i="11"/>
  <c r="Y64" i="11" s="1"/>
  <c r="T63" i="11"/>
  <c r="P63" i="11"/>
  <c r="O63" i="11"/>
  <c r="N63" i="11"/>
  <c r="L63" i="11"/>
  <c r="M63" i="11" s="1"/>
  <c r="C63" i="11"/>
  <c r="T62" i="11"/>
  <c r="P62" i="11"/>
  <c r="O62" i="11"/>
  <c r="N62" i="11"/>
  <c r="L62" i="11"/>
  <c r="M62" i="11" s="1"/>
  <c r="C62" i="11"/>
  <c r="S61" i="11" s="1"/>
  <c r="T61" i="11"/>
  <c r="P61" i="11"/>
  <c r="O61" i="11"/>
  <c r="N61" i="11"/>
  <c r="L61" i="11"/>
  <c r="M61" i="11" s="1"/>
  <c r="C61" i="11"/>
  <c r="Y61" i="11" s="1"/>
  <c r="T60" i="11"/>
  <c r="P60" i="11"/>
  <c r="O60" i="11"/>
  <c r="N60" i="11"/>
  <c r="L60" i="11"/>
  <c r="M60" i="11" s="1"/>
  <c r="C60" i="11"/>
  <c r="Y60" i="11" s="1"/>
  <c r="T59" i="11"/>
  <c r="P59" i="11"/>
  <c r="O59" i="11"/>
  <c r="N59" i="11"/>
  <c r="L59" i="11"/>
  <c r="M59" i="11" s="1"/>
  <c r="C59" i="11"/>
  <c r="T58" i="11"/>
  <c r="P58" i="11"/>
  <c r="O58" i="11"/>
  <c r="N58" i="11"/>
  <c r="L58" i="11"/>
  <c r="M58" i="11" s="1"/>
  <c r="C58" i="11"/>
  <c r="Y58" i="11" s="1"/>
  <c r="T57" i="11"/>
  <c r="P57" i="11"/>
  <c r="O57" i="11"/>
  <c r="N57" i="11"/>
  <c r="L57" i="11"/>
  <c r="M57" i="11" s="1"/>
  <c r="C57" i="11"/>
  <c r="T56" i="11"/>
  <c r="P56" i="11"/>
  <c r="O56" i="11"/>
  <c r="N56" i="11"/>
  <c r="L56" i="11"/>
  <c r="M56" i="11" s="1"/>
  <c r="C56" i="11"/>
  <c r="Y56" i="11" s="1"/>
  <c r="T55" i="11"/>
  <c r="P55" i="11"/>
  <c r="O55" i="11"/>
  <c r="N55" i="11"/>
  <c r="L55" i="11"/>
  <c r="M55" i="11" s="1"/>
  <c r="C55" i="11"/>
  <c r="R55" i="11" s="1"/>
  <c r="T54" i="11"/>
  <c r="P54" i="11"/>
  <c r="O54" i="11"/>
  <c r="N54" i="11"/>
  <c r="L54" i="11"/>
  <c r="M54" i="11" s="1"/>
  <c r="C54" i="11"/>
  <c r="Y54" i="11" s="1"/>
  <c r="T53" i="11"/>
  <c r="P53" i="11"/>
  <c r="O53" i="11"/>
  <c r="N53" i="11"/>
  <c r="L53" i="11"/>
  <c r="M53" i="11" s="1"/>
  <c r="C53" i="11"/>
  <c r="R53" i="11" s="1"/>
  <c r="T52" i="11"/>
  <c r="P52" i="11"/>
  <c r="O52" i="11"/>
  <c r="N52" i="11"/>
  <c r="L52" i="11"/>
  <c r="M52" i="11" s="1"/>
  <c r="C52" i="11"/>
  <c r="Y52" i="11" s="1"/>
  <c r="T51" i="11"/>
  <c r="P51" i="11"/>
  <c r="O51" i="11"/>
  <c r="N51" i="11"/>
  <c r="L51" i="11"/>
  <c r="M51" i="11" s="1"/>
  <c r="C51" i="11"/>
  <c r="T50" i="11"/>
  <c r="P50" i="11"/>
  <c r="O50" i="11"/>
  <c r="N50" i="11"/>
  <c r="L50" i="11"/>
  <c r="M50" i="11" s="1"/>
  <c r="C50" i="11"/>
  <c r="T49" i="11"/>
  <c r="P49" i="11"/>
  <c r="O49" i="11"/>
  <c r="N49" i="11"/>
  <c r="L49" i="11"/>
  <c r="M49" i="11" s="1"/>
  <c r="C49" i="11"/>
  <c r="R49" i="11" s="1"/>
  <c r="T48" i="11"/>
  <c r="P48" i="11"/>
  <c r="O48" i="11"/>
  <c r="N48" i="11"/>
  <c r="L48" i="11"/>
  <c r="M48" i="11" s="1"/>
  <c r="C48" i="11"/>
  <c r="T47" i="11"/>
  <c r="P47" i="11"/>
  <c r="O47" i="11"/>
  <c r="N47" i="11"/>
  <c r="L47" i="11"/>
  <c r="M47" i="11" s="1"/>
  <c r="C47" i="11"/>
  <c r="T46" i="11"/>
  <c r="P46" i="11"/>
  <c r="O46" i="11"/>
  <c r="N46" i="11"/>
  <c r="L46" i="11"/>
  <c r="M46" i="11" s="1"/>
  <c r="C46" i="11"/>
  <c r="R46" i="11" s="1"/>
  <c r="T45" i="11"/>
  <c r="P45" i="11"/>
  <c r="O45" i="11"/>
  <c r="N45" i="11"/>
  <c r="L45" i="11"/>
  <c r="M45" i="11" s="1"/>
  <c r="C45" i="11"/>
  <c r="T44" i="11"/>
  <c r="P44" i="11"/>
  <c r="O44" i="11"/>
  <c r="N44" i="11"/>
  <c r="L44" i="11"/>
  <c r="M44" i="11" s="1"/>
  <c r="C44" i="11"/>
  <c r="T43" i="11"/>
  <c r="P43" i="11"/>
  <c r="O43" i="11"/>
  <c r="N43" i="11"/>
  <c r="L43" i="11"/>
  <c r="M43" i="11" s="1"/>
  <c r="C43" i="11"/>
  <c r="R43" i="11" s="1"/>
  <c r="T42" i="11"/>
  <c r="P42" i="11"/>
  <c r="O42" i="11"/>
  <c r="N42" i="11"/>
  <c r="L42" i="11"/>
  <c r="M42" i="11" s="1"/>
  <c r="C42" i="11"/>
  <c r="R42" i="11" s="1"/>
  <c r="T41" i="11"/>
  <c r="P41" i="11"/>
  <c r="O41" i="11"/>
  <c r="N41" i="11"/>
  <c r="L41" i="11"/>
  <c r="M41" i="11" s="1"/>
  <c r="C41" i="11"/>
  <c r="S40" i="11" s="1"/>
  <c r="T40" i="11"/>
  <c r="P40" i="11"/>
  <c r="O40" i="11"/>
  <c r="N40" i="11"/>
  <c r="L40" i="11"/>
  <c r="M40" i="11" s="1"/>
  <c r="C40" i="11"/>
  <c r="Y40" i="11" s="1"/>
  <c r="T39" i="11"/>
  <c r="P39" i="11"/>
  <c r="O39" i="11"/>
  <c r="N39" i="11"/>
  <c r="L39" i="11"/>
  <c r="M39" i="11" s="1"/>
  <c r="C39" i="11"/>
  <c r="T38" i="11"/>
  <c r="P38" i="11"/>
  <c r="O38" i="11"/>
  <c r="N38" i="11"/>
  <c r="L38" i="11"/>
  <c r="M38" i="11" s="1"/>
  <c r="C38" i="11"/>
  <c r="S37" i="11" s="1"/>
  <c r="T37" i="11"/>
  <c r="P37" i="11"/>
  <c r="O37" i="11"/>
  <c r="N37" i="11"/>
  <c r="L37" i="11"/>
  <c r="M37" i="11" s="1"/>
  <c r="C37" i="11"/>
  <c r="T36" i="11"/>
  <c r="P36" i="11"/>
  <c r="O36" i="11"/>
  <c r="N36" i="11"/>
  <c r="L36" i="11"/>
  <c r="M36" i="11" s="1"/>
  <c r="C36" i="11"/>
  <c r="Y36" i="11" s="1"/>
  <c r="T35" i="11"/>
  <c r="P35" i="11"/>
  <c r="O35" i="11"/>
  <c r="N35" i="11"/>
  <c r="L35" i="11"/>
  <c r="M35" i="11" s="1"/>
  <c r="C35" i="11"/>
  <c r="R35" i="11" s="1"/>
  <c r="T34" i="11"/>
  <c r="P34" i="11"/>
  <c r="O34" i="11"/>
  <c r="N34" i="11"/>
  <c r="L34" i="11"/>
  <c r="M34" i="11" s="1"/>
  <c r="C34" i="11"/>
  <c r="R34" i="11" s="1"/>
  <c r="T33" i="11"/>
  <c r="P33" i="11"/>
  <c r="O33" i="11"/>
  <c r="N33" i="11"/>
  <c r="L33" i="11"/>
  <c r="M33" i="11" s="1"/>
  <c r="C33" i="11"/>
  <c r="T32" i="11"/>
  <c r="P32" i="11"/>
  <c r="O32" i="11"/>
  <c r="N32" i="11"/>
  <c r="L32" i="11"/>
  <c r="M32" i="11" s="1"/>
  <c r="C32" i="11"/>
  <c r="R32" i="11" s="1"/>
  <c r="T31" i="11"/>
  <c r="P31" i="11"/>
  <c r="O31" i="11"/>
  <c r="N31" i="11"/>
  <c r="L31" i="11"/>
  <c r="M31" i="11" s="1"/>
  <c r="C31" i="11"/>
  <c r="R31" i="11" s="1"/>
  <c r="T30" i="11"/>
  <c r="P30" i="11"/>
  <c r="O30" i="11"/>
  <c r="N30" i="11"/>
  <c r="L30" i="11"/>
  <c r="M30" i="11" s="1"/>
  <c r="C30" i="11"/>
  <c r="Y30" i="11" s="1"/>
  <c r="T29" i="11"/>
  <c r="P29" i="11"/>
  <c r="O29" i="11"/>
  <c r="N29" i="11"/>
  <c r="L29" i="11"/>
  <c r="M29" i="11" s="1"/>
  <c r="C29" i="11"/>
  <c r="S28" i="11" s="1"/>
  <c r="T28" i="11"/>
  <c r="P28" i="11"/>
  <c r="O28" i="11"/>
  <c r="N28" i="11"/>
  <c r="L28" i="11"/>
  <c r="M28" i="11" s="1"/>
  <c r="C28" i="11"/>
  <c r="Y28" i="11" s="1"/>
  <c r="T27" i="11"/>
  <c r="P27" i="11"/>
  <c r="O27" i="11"/>
  <c r="N27" i="11"/>
  <c r="L27" i="11"/>
  <c r="M27" i="11" s="1"/>
  <c r="C27" i="11"/>
  <c r="T26" i="11"/>
  <c r="P26" i="11"/>
  <c r="O26" i="11"/>
  <c r="N26" i="11"/>
  <c r="L26" i="11"/>
  <c r="M26" i="11" s="1"/>
  <c r="C26" i="11"/>
  <c r="Y26" i="11" s="1"/>
  <c r="T25" i="11"/>
  <c r="P25" i="11"/>
  <c r="O25" i="11"/>
  <c r="N25" i="11"/>
  <c r="L25" i="11"/>
  <c r="M25" i="11" s="1"/>
  <c r="C25" i="11"/>
  <c r="S24" i="11" s="1"/>
  <c r="T24" i="11"/>
  <c r="P24" i="11"/>
  <c r="O24" i="11"/>
  <c r="N24" i="11"/>
  <c r="L24" i="11"/>
  <c r="M24" i="11" s="1"/>
  <c r="C24" i="11"/>
  <c r="R24" i="11" s="1"/>
  <c r="T23" i="11"/>
  <c r="P23" i="11"/>
  <c r="O23" i="11"/>
  <c r="N23" i="11"/>
  <c r="L23" i="11"/>
  <c r="M23" i="11" s="1"/>
  <c r="C23" i="11"/>
  <c r="R23" i="11" s="1"/>
  <c r="T22" i="11"/>
  <c r="P22" i="11"/>
  <c r="O22" i="11"/>
  <c r="N22" i="11"/>
  <c r="L22" i="11"/>
  <c r="M22" i="11" s="1"/>
  <c r="C22" i="11"/>
  <c r="R22" i="11" s="1"/>
  <c r="T21" i="11"/>
  <c r="P21" i="11"/>
  <c r="O21" i="11"/>
  <c r="N21" i="11"/>
  <c r="L21" i="11"/>
  <c r="M21" i="11" s="1"/>
  <c r="C21" i="11"/>
  <c r="T20" i="11"/>
  <c r="P20" i="11"/>
  <c r="O20" i="11"/>
  <c r="N20" i="11"/>
  <c r="L20" i="11"/>
  <c r="M20" i="11" s="1"/>
  <c r="C20" i="11"/>
  <c r="S19" i="11" s="1"/>
  <c r="T19" i="11"/>
  <c r="P19" i="11"/>
  <c r="O19" i="11"/>
  <c r="N19" i="11"/>
  <c r="T18" i="11"/>
  <c r="P18" i="11"/>
  <c r="O18" i="11"/>
  <c r="N18" i="11"/>
  <c r="T17" i="11"/>
  <c r="P17" i="11"/>
  <c r="O17" i="11"/>
  <c r="N17" i="11"/>
  <c r="T16" i="11"/>
  <c r="T15" i="11"/>
  <c r="T14" i="11"/>
  <c r="P14" i="11"/>
  <c r="O14" i="11"/>
  <c r="N14" i="11"/>
  <c r="L14" i="11"/>
  <c r="M14" i="11" s="1"/>
  <c r="C14" i="11"/>
  <c r="S13" i="11" s="1"/>
  <c r="T13" i="11"/>
  <c r="P13" i="11"/>
  <c r="O13" i="11"/>
  <c r="N13" i="11"/>
  <c r="L13" i="11"/>
  <c r="M13" i="11" s="1"/>
  <c r="C13" i="11"/>
  <c r="S12" i="11" s="1"/>
  <c r="R12" i="11"/>
  <c r="AD13" i="1"/>
  <c r="E6" i="9"/>
  <c r="E7" i="9"/>
  <c r="S12" i="9"/>
  <c r="L842" i="9"/>
  <c r="D842" i="9"/>
  <c r="S842" i="9" s="1"/>
  <c r="AX842" i="9" s="1"/>
  <c r="L838" i="9"/>
  <c r="D838" i="9"/>
  <c r="S838" i="9" s="1"/>
  <c r="AX838" i="9" s="1"/>
  <c r="P494" i="1"/>
  <c r="L837" i="9" s="1"/>
  <c r="K8" i="9"/>
  <c r="J8" i="9"/>
  <c r="E8" i="9"/>
  <c r="C8" i="9"/>
  <c r="K7" i="9"/>
  <c r="J7" i="9"/>
  <c r="C7" i="9"/>
  <c r="K6" i="9"/>
  <c r="J6" i="9"/>
  <c r="C6" i="9"/>
  <c r="K5" i="9"/>
  <c r="J5" i="9"/>
  <c r="E5" i="9"/>
  <c r="C5" i="9"/>
  <c r="K4" i="9"/>
  <c r="J4" i="9"/>
  <c r="E4" i="9"/>
  <c r="C4" i="9"/>
  <c r="K3" i="9"/>
  <c r="K2" i="9"/>
  <c r="K1" i="9"/>
  <c r="Q13" i="1"/>
  <c r="R13" i="1" s="1"/>
  <c r="F18" i="7"/>
  <c r="P18" i="7"/>
  <c r="B18" i="7" s="1"/>
  <c r="F19" i="7"/>
  <c r="P19" i="7"/>
  <c r="B19" i="7" s="1"/>
  <c r="F20" i="7"/>
  <c r="P20" i="7"/>
  <c r="C20" i="7" s="1"/>
  <c r="F21" i="7"/>
  <c r="P21" i="7"/>
  <c r="C21" i="7" s="1"/>
  <c r="F22" i="7"/>
  <c r="P22" i="7"/>
  <c r="C22" i="7" s="1"/>
  <c r="F23" i="7"/>
  <c r="P23" i="7"/>
  <c r="F24" i="7"/>
  <c r="P24" i="7"/>
  <c r="A24" i="7" s="1"/>
  <c r="F25" i="7"/>
  <c r="P25" i="7"/>
  <c r="O25" i="7" s="1"/>
  <c r="L85" i="7"/>
  <c r="L81" i="7"/>
  <c r="R489" i="1"/>
  <c r="W489" i="1"/>
  <c r="U489" i="1"/>
  <c r="T489" i="1"/>
  <c r="S489" i="1"/>
  <c r="W486" i="1"/>
  <c r="U486" i="1"/>
  <c r="T486" i="1"/>
  <c r="S486" i="1"/>
  <c r="R486" i="1"/>
  <c r="W485" i="1"/>
  <c r="U485" i="1"/>
  <c r="T485" i="1"/>
  <c r="S485" i="1"/>
  <c r="R485" i="1"/>
  <c r="W484" i="1"/>
  <c r="U484" i="1"/>
  <c r="T484" i="1"/>
  <c r="S484" i="1"/>
  <c r="R484" i="1"/>
  <c r="P31" i="7"/>
  <c r="P77" i="7"/>
  <c r="W491" i="1"/>
  <c r="U491" i="1"/>
  <c r="T491" i="1"/>
  <c r="S491" i="1"/>
  <c r="P491" i="1"/>
  <c r="P49" i="7"/>
  <c r="P48" i="7"/>
  <c r="P47" i="7"/>
  <c r="P69" i="7"/>
  <c r="P68" i="7"/>
  <c r="P67" i="7"/>
  <c r="P66" i="7"/>
  <c r="P46" i="7"/>
  <c r="P45" i="7"/>
  <c r="P44" i="7"/>
  <c r="P78" i="7"/>
  <c r="P76" i="7"/>
  <c r="C76" i="7" s="1"/>
  <c r="P75" i="7"/>
  <c r="P73" i="7"/>
  <c r="P72" i="7"/>
  <c r="P71" i="7"/>
  <c r="P62" i="7"/>
  <c r="P63" i="7"/>
  <c r="P64" i="7"/>
  <c r="C64" i="7" s="1"/>
  <c r="P35" i="7"/>
  <c r="P32" i="7"/>
  <c r="C32" i="7" s="1"/>
  <c r="P30" i="7"/>
  <c r="A30" i="7" s="1"/>
  <c r="P29" i="7"/>
  <c r="W492" i="1"/>
  <c r="W490" i="1"/>
  <c r="W488" i="1"/>
  <c r="W487" i="1"/>
  <c r="AX487" i="1" s="1"/>
  <c r="U487" i="1"/>
  <c r="T487" i="1"/>
  <c r="S487" i="1"/>
  <c r="R487" i="1"/>
  <c r="S490" i="1"/>
  <c r="K3" i="7"/>
  <c r="K2" i="7"/>
  <c r="K1" i="7"/>
  <c r="P74" i="7"/>
  <c r="P65" i="7"/>
  <c r="P43" i="7"/>
  <c r="P34" i="7"/>
  <c r="P33" i="7"/>
  <c r="P27" i="7"/>
  <c r="P26" i="7"/>
  <c r="AX26" i="7" s="1"/>
  <c r="W12" i="1"/>
  <c r="AX12" i="1" s="1"/>
  <c r="P70" i="7"/>
  <c r="P61" i="7"/>
  <c r="C61" i="7" s="1"/>
  <c r="P28" i="7"/>
  <c r="K6" i="7"/>
  <c r="K7" i="7"/>
  <c r="K8" i="7"/>
  <c r="K5" i="7"/>
  <c r="K4" i="7"/>
  <c r="P12" i="7"/>
  <c r="U490" i="1"/>
  <c r="T490" i="1"/>
  <c r="G24" i="8"/>
  <c r="G20" i="8"/>
  <c r="D20" i="8"/>
  <c r="D81" i="7"/>
  <c r="E8" i="7"/>
  <c r="E7" i="7"/>
  <c r="E6" i="7"/>
  <c r="E5" i="7"/>
  <c r="E4" i="7"/>
  <c r="F8" i="8"/>
  <c r="F7" i="8"/>
  <c r="F6" i="8"/>
  <c r="F5" i="8"/>
  <c r="F4" i="8"/>
  <c r="D8" i="8"/>
  <c r="D7" i="8"/>
  <c r="D6" i="8"/>
  <c r="D5" i="8"/>
  <c r="D4" i="8"/>
  <c r="D85" i="7"/>
  <c r="D24" i="8" s="1"/>
  <c r="G3" i="8"/>
  <c r="G2" i="8"/>
  <c r="G1" i="8"/>
  <c r="E8" i="8"/>
  <c r="E7" i="8"/>
  <c r="E6" i="8"/>
  <c r="E5" i="8"/>
  <c r="E4" i="8"/>
  <c r="C8" i="8"/>
  <c r="C7" i="8"/>
  <c r="C6" i="8"/>
  <c r="C5" i="8"/>
  <c r="C4" i="8"/>
  <c r="J8" i="7"/>
  <c r="J7" i="7"/>
  <c r="J6" i="7"/>
  <c r="J5" i="7"/>
  <c r="J4" i="7"/>
  <c r="C8" i="7"/>
  <c r="C7" i="7"/>
  <c r="C6" i="7"/>
  <c r="C5" i="7"/>
  <c r="C4" i="7"/>
  <c r="W483" i="1"/>
  <c r="AX483" i="1" s="1"/>
  <c r="AX832" i="9"/>
  <c r="AX823" i="9"/>
  <c r="AX762" i="9"/>
  <c r="AX777" i="9"/>
  <c r="AX827" i="9"/>
  <c r="AX818" i="9"/>
  <c r="AX809" i="9"/>
  <c r="AX765" i="9"/>
  <c r="AX669" i="9"/>
  <c r="AX819" i="9"/>
  <c r="AX820" i="9"/>
  <c r="AX810" i="9"/>
  <c r="AX702" i="9"/>
  <c r="AX835" i="9"/>
  <c r="AX826" i="9"/>
  <c r="AX808" i="9"/>
  <c r="AX778" i="9"/>
  <c r="AX788" i="9"/>
  <c r="AX708" i="9"/>
  <c r="AX672" i="9"/>
  <c r="AX699" i="9"/>
  <c r="AX696" i="9"/>
  <c r="AX666" i="9"/>
  <c r="AX664" i="9"/>
  <c r="AX690" i="9"/>
  <c r="B675" i="9"/>
  <c r="AX657" i="9"/>
  <c r="AX764" i="9"/>
  <c r="B714" i="9"/>
  <c r="AX648" i="9"/>
  <c r="A643" i="9"/>
  <c r="AX628" i="9"/>
  <c r="AX619" i="9"/>
  <c r="AX655" i="9"/>
  <c r="AX646" i="9"/>
  <c r="AX635" i="9"/>
  <c r="AX617" i="9"/>
  <c r="AX608" i="9"/>
  <c r="AX599" i="9"/>
  <c r="AX594" i="9"/>
  <c r="AX585" i="9"/>
  <c r="AX573" i="9"/>
  <c r="AX634" i="9"/>
  <c r="AX616" i="9"/>
  <c r="AX557" i="9"/>
  <c r="A515" i="9"/>
  <c r="AX665" i="9"/>
  <c r="AX656" i="9"/>
  <c r="AX647" i="9"/>
  <c r="AX641" i="9"/>
  <c r="AX633" i="9"/>
  <c r="AX624" i="9"/>
  <c r="AX615" i="9"/>
  <c r="AX606" i="9"/>
  <c r="AX597" i="9"/>
  <c r="AX590" i="9"/>
  <c r="AX581" i="9"/>
  <c r="AX540" i="9"/>
  <c r="AX522" i="9"/>
  <c r="AX514" i="9"/>
  <c r="AX501" i="9"/>
  <c r="AX558" i="9"/>
  <c r="AX534" i="9"/>
  <c r="AX516" i="9"/>
  <c r="AX544" i="9"/>
  <c r="AX526" i="9"/>
  <c r="AX504" i="9"/>
  <c r="B546" i="9"/>
  <c r="AX510" i="9"/>
  <c r="P34" i="14"/>
  <c r="O34" i="14"/>
  <c r="N34" i="14"/>
  <c r="C34" i="14"/>
  <c r="Y34" i="14" s="1"/>
  <c r="B54" i="7" l="1"/>
  <c r="B53" i="7"/>
  <c r="B52" i="7"/>
  <c r="B56" i="7"/>
  <c r="B50" i="7"/>
  <c r="B55" i="7"/>
  <c r="B57" i="7"/>
  <c r="B51" i="7"/>
  <c r="A48" i="7"/>
  <c r="A57" i="7"/>
  <c r="A56" i="7"/>
  <c r="A55" i="7"/>
  <c r="A54" i="7"/>
  <c r="A53" i="7"/>
  <c r="A52" i="7"/>
  <c r="A51" i="7"/>
  <c r="A50" i="7"/>
  <c r="Y42" i="18"/>
  <c r="S41" i="18"/>
  <c r="Q77" i="16"/>
  <c r="A12" i="18"/>
  <c r="Q52" i="18"/>
  <c r="B52" i="18"/>
  <c r="A52" i="18"/>
  <c r="Q76" i="18"/>
  <c r="B76" i="18"/>
  <c r="A76" i="18"/>
  <c r="B43" i="18"/>
  <c r="A43" i="18"/>
  <c r="Q43" i="18"/>
  <c r="B56" i="18"/>
  <c r="A56" i="18"/>
  <c r="Q56" i="18"/>
  <c r="B68" i="18"/>
  <c r="A68" i="18"/>
  <c r="Q68" i="18"/>
  <c r="A48" i="18"/>
  <c r="Q48" i="18"/>
  <c r="B48" i="18"/>
  <c r="A72" i="18"/>
  <c r="Q72" i="18"/>
  <c r="B72" i="18"/>
  <c r="Q60" i="17"/>
  <c r="A60" i="17"/>
  <c r="Q12" i="16"/>
  <c r="B12" i="18"/>
  <c r="T11" i="13"/>
  <c r="A12" i="13"/>
  <c r="A77" i="15"/>
  <c r="Q77" i="15"/>
  <c r="R58" i="15"/>
  <c r="Y58" i="15"/>
  <c r="R70" i="13"/>
  <c r="S69" i="13"/>
  <c r="Y69" i="13"/>
  <c r="S68" i="13"/>
  <c r="R69" i="13"/>
  <c r="Y51" i="11"/>
  <c r="S50" i="11"/>
  <c r="R51" i="11"/>
  <c r="A51" i="11" s="1"/>
  <c r="B77" i="17"/>
  <c r="A77" i="17"/>
  <c r="Q77" i="17"/>
  <c r="Q77" i="11"/>
  <c r="R59" i="18"/>
  <c r="Y59" i="18"/>
  <c r="Y49" i="18"/>
  <c r="R49" i="18"/>
  <c r="R39" i="18"/>
  <c r="Y39" i="18"/>
  <c r="Y37" i="18"/>
  <c r="R37" i="18"/>
  <c r="S36" i="18"/>
  <c r="Y36" i="18"/>
  <c r="R36" i="18"/>
  <c r="B36" i="18" s="1"/>
  <c r="S35" i="18"/>
  <c r="R34" i="18"/>
  <c r="S33" i="18"/>
  <c r="Y34" i="18"/>
  <c r="R33" i="18"/>
  <c r="Y33" i="18"/>
  <c r="S32" i="18"/>
  <c r="Y32" i="18"/>
  <c r="R32" i="18"/>
  <c r="Y31" i="18"/>
  <c r="S30" i="18"/>
  <c r="R31" i="18"/>
  <c r="Y30" i="18"/>
  <c r="R30" i="18"/>
  <c r="S29" i="18"/>
  <c r="Y29" i="18"/>
  <c r="R29" i="18"/>
  <c r="B29" i="18" s="1"/>
  <c r="S27" i="18"/>
  <c r="R28" i="18"/>
  <c r="Y27" i="18"/>
  <c r="S26" i="18"/>
  <c r="R27" i="18"/>
  <c r="S25" i="18"/>
  <c r="Y26" i="18"/>
  <c r="Y24" i="18"/>
  <c r="S23" i="18"/>
  <c r="R24" i="18"/>
  <c r="Y23" i="18"/>
  <c r="R23" i="18"/>
  <c r="Y21" i="18"/>
  <c r="S20" i="18"/>
  <c r="R21" i="18"/>
  <c r="Q21" i="18" s="1"/>
  <c r="S13" i="18"/>
  <c r="R14" i="18"/>
  <c r="Y14" i="18"/>
  <c r="T11" i="18"/>
  <c r="U11" i="18"/>
  <c r="Y13" i="18"/>
  <c r="C15" i="18"/>
  <c r="S14" i="18" s="1"/>
  <c r="S12" i="18"/>
  <c r="R69" i="17"/>
  <c r="S68" i="17"/>
  <c r="S51" i="17"/>
  <c r="Y52" i="17"/>
  <c r="S41" i="17"/>
  <c r="R42" i="17"/>
  <c r="A42" i="17" s="1"/>
  <c r="T11" i="17"/>
  <c r="U11" i="17"/>
  <c r="A77" i="16"/>
  <c r="B77" i="16"/>
  <c r="Y75" i="16"/>
  <c r="R75" i="16"/>
  <c r="B75" i="16" s="1"/>
  <c r="R71" i="16"/>
  <c r="Y71" i="16"/>
  <c r="R70" i="16"/>
  <c r="Y70" i="16"/>
  <c r="S69" i="16"/>
  <c r="Y69" i="16"/>
  <c r="S68" i="16"/>
  <c r="R69" i="16"/>
  <c r="B69" i="16" s="1"/>
  <c r="Y67" i="16"/>
  <c r="S66" i="16"/>
  <c r="Y66" i="16"/>
  <c r="R66" i="16"/>
  <c r="S65" i="16"/>
  <c r="Y63" i="16"/>
  <c r="R63" i="16"/>
  <c r="B63" i="16" s="1"/>
  <c r="Y60" i="16"/>
  <c r="S59" i="16"/>
  <c r="R60" i="16"/>
  <c r="Q60" i="16" s="1"/>
  <c r="S58" i="16"/>
  <c r="R59" i="16"/>
  <c r="B59" i="16" s="1"/>
  <c r="Y59" i="16"/>
  <c r="R58" i="16"/>
  <c r="S57" i="16"/>
  <c r="Y58" i="16"/>
  <c r="S56" i="16"/>
  <c r="R57" i="16"/>
  <c r="B57" i="16" s="1"/>
  <c r="Y55" i="16"/>
  <c r="S54" i="16"/>
  <c r="R55" i="16"/>
  <c r="B55" i="16" s="1"/>
  <c r="Y54" i="16"/>
  <c r="R54" i="16"/>
  <c r="Y53" i="16"/>
  <c r="R53" i="16"/>
  <c r="S52" i="16"/>
  <c r="S51" i="16"/>
  <c r="R52" i="16"/>
  <c r="B52" i="16" s="1"/>
  <c r="Y51" i="16"/>
  <c r="R51" i="16"/>
  <c r="Q51" i="16" s="1"/>
  <c r="R50" i="16"/>
  <c r="S49" i="16"/>
  <c r="R49" i="16"/>
  <c r="Q49" i="16" s="1"/>
  <c r="Y49" i="16"/>
  <c r="S48" i="16"/>
  <c r="R48" i="16"/>
  <c r="S47" i="16"/>
  <c r="Y45" i="16"/>
  <c r="S44" i="16"/>
  <c r="R45" i="16"/>
  <c r="B45" i="16" s="1"/>
  <c r="S42" i="16"/>
  <c r="R43" i="16"/>
  <c r="Y43" i="16"/>
  <c r="Y42" i="16"/>
  <c r="S41" i="16"/>
  <c r="R42" i="16"/>
  <c r="A42" i="16" s="1"/>
  <c r="Y41" i="16"/>
  <c r="S40" i="16"/>
  <c r="R41" i="16"/>
  <c r="B41" i="16" s="1"/>
  <c r="R39" i="16"/>
  <c r="B39" i="16" s="1"/>
  <c r="S38" i="16"/>
  <c r="R37" i="16"/>
  <c r="Y37" i="16"/>
  <c r="S36" i="16"/>
  <c r="Y36" i="16"/>
  <c r="S35" i="16"/>
  <c r="R35" i="16"/>
  <c r="S34" i="16"/>
  <c r="Y32" i="16"/>
  <c r="S31" i="16"/>
  <c r="S25" i="16"/>
  <c r="R26" i="16"/>
  <c r="B26" i="16" s="1"/>
  <c r="U11" i="16"/>
  <c r="T11" i="16"/>
  <c r="Y13" i="16"/>
  <c r="C14" i="16"/>
  <c r="C15" i="16" s="1"/>
  <c r="R13" i="16"/>
  <c r="Q13" i="16" s="1"/>
  <c r="S12" i="16"/>
  <c r="B12" i="16"/>
  <c r="A12" i="16"/>
  <c r="R24" i="15"/>
  <c r="S23" i="15"/>
  <c r="Y25" i="15"/>
  <c r="S24" i="15"/>
  <c r="S29" i="15"/>
  <c r="Y30" i="15"/>
  <c r="R30" i="15"/>
  <c r="S31" i="15"/>
  <c r="Y32" i="15"/>
  <c r="R32" i="15"/>
  <c r="R33" i="15"/>
  <c r="A33" i="15" s="1"/>
  <c r="Y33" i="15"/>
  <c r="S73" i="15"/>
  <c r="R74" i="15"/>
  <c r="Q74" i="15" s="1"/>
  <c r="Y74" i="15"/>
  <c r="Y73" i="15"/>
  <c r="R73" i="15"/>
  <c r="Y70" i="15"/>
  <c r="R70" i="15"/>
  <c r="Q70" i="15" s="1"/>
  <c r="S69" i="15"/>
  <c r="Y69" i="15"/>
  <c r="S68" i="15"/>
  <c r="R69" i="15"/>
  <c r="Y66" i="15"/>
  <c r="S65" i="15"/>
  <c r="Y63" i="15"/>
  <c r="R63" i="15"/>
  <c r="S62" i="15"/>
  <c r="Y61" i="15"/>
  <c r="R61" i="15"/>
  <c r="Y60" i="15"/>
  <c r="S59" i="15"/>
  <c r="R60" i="15"/>
  <c r="B60" i="15" s="1"/>
  <c r="R55" i="15"/>
  <c r="A55" i="15" s="1"/>
  <c r="Y55" i="15"/>
  <c r="Y54" i="15"/>
  <c r="S53" i="15"/>
  <c r="R54" i="15"/>
  <c r="B54" i="15" s="1"/>
  <c r="R52" i="15"/>
  <c r="Y52" i="15"/>
  <c r="S51" i="15"/>
  <c r="Y45" i="15"/>
  <c r="S44" i="15"/>
  <c r="R45" i="15"/>
  <c r="Y42" i="15"/>
  <c r="R42" i="15"/>
  <c r="B42" i="15" s="1"/>
  <c r="R40" i="15"/>
  <c r="Y40" i="15"/>
  <c r="S39" i="15"/>
  <c r="Y35" i="15"/>
  <c r="R35" i="15"/>
  <c r="S34" i="15"/>
  <c r="U11" i="15"/>
  <c r="T11" i="15"/>
  <c r="Y13" i="15"/>
  <c r="S12" i="15"/>
  <c r="C14" i="15"/>
  <c r="R13" i="15"/>
  <c r="R76" i="14"/>
  <c r="Y76" i="14"/>
  <c r="S75" i="14"/>
  <c r="Y74" i="14"/>
  <c r="S73" i="14"/>
  <c r="R74" i="14"/>
  <c r="Y73" i="14"/>
  <c r="S72" i="14"/>
  <c r="R73" i="14"/>
  <c r="Y72" i="14"/>
  <c r="S71" i="14"/>
  <c r="S70" i="14"/>
  <c r="Y71" i="14"/>
  <c r="R71" i="14"/>
  <c r="S69" i="14"/>
  <c r="R70" i="14"/>
  <c r="R67" i="14"/>
  <c r="S66" i="14"/>
  <c r="Y67" i="14"/>
  <c r="Y66" i="14"/>
  <c r="S65" i="14"/>
  <c r="Y65" i="14"/>
  <c r="R65" i="14"/>
  <c r="S64" i="14"/>
  <c r="S61" i="14"/>
  <c r="R62" i="14"/>
  <c r="Y60" i="14"/>
  <c r="R60" i="14"/>
  <c r="S59" i="14"/>
  <c r="Y58" i="14"/>
  <c r="R58" i="14"/>
  <c r="A58" i="14" s="1"/>
  <c r="S57" i="14"/>
  <c r="Y57" i="14"/>
  <c r="R57" i="14"/>
  <c r="S56" i="14"/>
  <c r="R56" i="14"/>
  <c r="Y56" i="14"/>
  <c r="S54" i="14"/>
  <c r="R55" i="14"/>
  <c r="Y53" i="14"/>
  <c r="R53" i="14"/>
  <c r="S52" i="14"/>
  <c r="R52" i="14"/>
  <c r="S51" i="14"/>
  <c r="Y49" i="14"/>
  <c r="S48" i="14"/>
  <c r="R44" i="14"/>
  <c r="S43" i="14"/>
  <c r="Y44" i="14"/>
  <c r="Y42" i="14"/>
  <c r="R42" i="14"/>
  <c r="Q42" i="14" s="1"/>
  <c r="R40" i="14"/>
  <c r="S39" i="14"/>
  <c r="Y40" i="14"/>
  <c r="R38" i="14"/>
  <c r="Y38" i="14"/>
  <c r="S37" i="14"/>
  <c r="R13" i="14"/>
  <c r="S12" i="14"/>
  <c r="Y13" i="14"/>
  <c r="C14" i="14"/>
  <c r="A12" i="14"/>
  <c r="B12" i="14"/>
  <c r="Q12" i="14"/>
  <c r="Y76" i="13"/>
  <c r="S75" i="13"/>
  <c r="R75" i="13"/>
  <c r="S74" i="13"/>
  <c r="S66" i="13"/>
  <c r="R67" i="13"/>
  <c r="A67" i="13" s="1"/>
  <c r="Y64" i="13"/>
  <c r="S63" i="13"/>
  <c r="Y60" i="13"/>
  <c r="S59" i="13"/>
  <c r="R60" i="13"/>
  <c r="Y58" i="13"/>
  <c r="S57" i="13"/>
  <c r="Y56" i="13"/>
  <c r="S55" i="13"/>
  <c r="Y54" i="13"/>
  <c r="S53" i="13"/>
  <c r="R54" i="13"/>
  <c r="Y52" i="13"/>
  <c r="S51" i="13"/>
  <c r="R45" i="13"/>
  <c r="S44" i="13"/>
  <c r="R44" i="13"/>
  <c r="S43" i="13"/>
  <c r="Y33" i="13"/>
  <c r="S32" i="13"/>
  <c r="R32" i="13"/>
  <c r="S31" i="13"/>
  <c r="Y30" i="13"/>
  <c r="S29" i="13"/>
  <c r="R30" i="13"/>
  <c r="Y28" i="13"/>
  <c r="S27" i="13"/>
  <c r="Y24" i="13"/>
  <c r="S23" i="13"/>
  <c r="R24" i="13"/>
  <c r="Y21" i="13"/>
  <c r="S20" i="13"/>
  <c r="R21" i="13"/>
  <c r="Y76" i="11"/>
  <c r="S75" i="11"/>
  <c r="R76" i="11"/>
  <c r="Y75" i="11"/>
  <c r="R75" i="11"/>
  <c r="S74" i="11"/>
  <c r="Y74" i="11"/>
  <c r="S73" i="11"/>
  <c r="R74" i="11"/>
  <c r="Y73" i="11"/>
  <c r="R73" i="11"/>
  <c r="S72" i="11"/>
  <c r="Y72" i="11"/>
  <c r="S71" i="11"/>
  <c r="R72" i="11"/>
  <c r="Y71" i="11"/>
  <c r="S70" i="11"/>
  <c r="R71" i="11"/>
  <c r="Q71" i="11" s="1"/>
  <c r="Y70" i="11"/>
  <c r="R70" i="11"/>
  <c r="Y69" i="11"/>
  <c r="S68" i="11"/>
  <c r="R69" i="11"/>
  <c r="S66" i="11"/>
  <c r="Y67" i="11"/>
  <c r="R65" i="11"/>
  <c r="Y65" i="11"/>
  <c r="S64" i="11"/>
  <c r="Y63" i="11"/>
  <c r="S62" i="11"/>
  <c r="R63" i="11"/>
  <c r="B63" i="11" s="1"/>
  <c r="R59" i="11"/>
  <c r="S58" i="11"/>
  <c r="Y57" i="11"/>
  <c r="S56" i="11"/>
  <c r="R57" i="11"/>
  <c r="Y50" i="11"/>
  <c r="R50" i="11"/>
  <c r="Y48" i="11"/>
  <c r="S47" i="11"/>
  <c r="R48" i="11"/>
  <c r="Y47" i="11"/>
  <c r="S46" i="11"/>
  <c r="Y45" i="11"/>
  <c r="R45" i="11"/>
  <c r="S44" i="11"/>
  <c r="Y44" i="11"/>
  <c r="S43" i="11"/>
  <c r="Y39" i="11"/>
  <c r="S38" i="11"/>
  <c r="R39" i="11"/>
  <c r="R37" i="11"/>
  <c r="S36" i="11"/>
  <c r="Y33" i="11"/>
  <c r="S32" i="11"/>
  <c r="R33" i="11"/>
  <c r="B33" i="11" s="1"/>
  <c r="Y27" i="11"/>
  <c r="S26" i="11"/>
  <c r="R27" i="11"/>
  <c r="Y21" i="11"/>
  <c r="S20" i="11"/>
  <c r="T11" i="11"/>
  <c r="U11" i="11"/>
  <c r="C85" i="9" a="1"/>
  <c r="S85" i="9"/>
  <c r="R85" i="9" s="1"/>
  <c r="S84" i="9"/>
  <c r="R84" i="9" s="1"/>
  <c r="C84" i="9" a="1"/>
  <c r="A12" i="15"/>
  <c r="A12" i="17"/>
  <c r="B12" i="11"/>
  <c r="Q12" i="13"/>
  <c r="Q77" i="14"/>
  <c r="B22" i="21"/>
  <c r="A22" i="21"/>
  <c r="Q22" i="21"/>
  <c r="B538" i="9"/>
  <c r="B46" i="18"/>
  <c r="A46" i="18"/>
  <c r="Q46" i="18"/>
  <c r="A69" i="18"/>
  <c r="Q69" i="18"/>
  <c r="B69" i="18"/>
  <c r="Q36" i="18"/>
  <c r="M22" i="18"/>
  <c r="A77" i="11"/>
  <c r="Y64" i="14"/>
  <c r="Y40" i="16"/>
  <c r="A36" i="18"/>
  <c r="S46" i="13"/>
  <c r="S28" i="15"/>
  <c r="S12" i="17"/>
  <c r="R75" i="17"/>
  <c r="Q75" i="17" s="1"/>
  <c r="R45" i="14"/>
  <c r="B28" i="18"/>
  <c r="A12" i="9"/>
  <c r="S37" i="13"/>
  <c r="S58" i="13"/>
  <c r="S44" i="14"/>
  <c r="S33" i="15"/>
  <c r="Y75" i="18"/>
  <c r="M21" i="18"/>
  <c r="Q77" i="18"/>
  <c r="S52" i="18"/>
  <c r="Y47" i="14"/>
  <c r="S42" i="17"/>
  <c r="S74" i="18"/>
  <c r="R47" i="14"/>
  <c r="Q77" i="13"/>
  <c r="R53" i="18"/>
  <c r="C14" i="17"/>
  <c r="Y14" i="17" s="1"/>
  <c r="S63" i="14"/>
  <c r="Y68" i="16"/>
  <c r="A65" i="7"/>
  <c r="S74" i="17"/>
  <c r="R55" i="18"/>
  <c r="S19" i="13"/>
  <c r="B77" i="15"/>
  <c r="S67" i="16"/>
  <c r="A74" i="7"/>
  <c r="R38" i="13"/>
  <c r="S54" i="18"/>
  <c r="R40" i="16"/>
  <c r="Y70" i="17"/>
  <c r="W14" i="1"/>
  <c r="B14" i="1" s="1"/>
  <c r="AD14" i="1"/>
  <c r="B22" i="7"/>
  <c r="A22" i="7"/>
  <c r="A691" i="9"/>
  <c r="A545" i="9"/>
  <c r="A593" i="9"/>
  <c r="A598" i="9"/>
  <c r="A627" i="9"/>
  <c r="A622" i="9"/>
  <c r="B545" i="9"/>
  <c r="B622" i="9"/>
  <c r="B529" i="9"/>
  <c r="A529" i="9"/>
  <c r="B816" i="9"/>
  <c r="A816" i="9"/>
  <c r="B798" i="9"/>
  <c r="A798" i="9"/>
  <c r="B831" i="9"/>
  <c r="A831" i="9"/>
  <c r="A538" i="9"/>
  <c r="B789" i="9"/>
  <c r="A70" i="18"/>
  <c r="B70" i="18"/>
  <c r="S39" i="18"/>
  <c r="A29" i="18"/>
  <c r="Q29" i="18"/>
  <c r="R60" i="18"/>
  <c r="S19" i="18"/>
  <c r="S59" i="18"/>
  <c r="R67" i="18"/>
  <c r="B21" i="18"/>
  <c r="S66" i="18"/>
  <c r="A21" i="18"/>
  <c r="Q65" i="18"/>
  <c r="Q62" i="18"/>
  <c r="R40" i="18"/>
  <c r="B62" i="18"/>
  <c r="Q51" i="18"/>
  <c r="B51" i="18"/>
  <c r="A51" i="18"/>
  <c r="B22" i="18"/>
  <c r="A22" i="18"/>
  <c r="Q22" i="18"/>
  <c r="B33" i="18"/>
  <c r="A33" i="18"/>
  <c r="Q33" i="18"/>
  <c r="B35" i="18"/>
  <c r="A35" i="18"/>
  <c r="Q35" i="18"/>
  <c r="B59" i="18"/>
  <c r="A59" i="18"/>
  <c r="Q59" i="18"/>
  <c r="Q39" i="18"/>
  <c r="B39" i="18"/>
  <c r="A39" i="18"/>
  <c r="B45" i="18"/>
  <c r="A45" i="18"/>
  <c r="Q45" i="18"/>
  <c r="Q63" i="18"/>
  <c r="B63" i="18"/>
  <c r="A63" i="18"/>
  <c r="B34" i="18"/>
  <c r="A34" i="18"/>
  <c r="Q34" i="18"/>
  <c r="B58" i="18"/>
  <c r="A58" i="18"/>
  <c r="Q58" i="18"/>
  <c r="Q75" i="18"/>
  <c r="B75" i="18"/>
  <c r="A75" i="18"/>
  <c r="S50" i="18"/>
  <c r="S56" i="18"/>
  <c r="S31" i="18"/>
  <c r="R64" i="18"/>
  <c r="S60" i="18"/>
  <c r="R61" i="18"/>
  <c r="S24" i="18"/>
  <c r="B77" i="18"/>
  <c r="Y15" i="18"/>
  <c r="Y44" i="18"/>
  <c r="R47" i="18"/>
  <c r="R57" i="18"/>
  <c r="Y73" i="18"/>
  <c r="S63" i="18"/>
  <c r="S46" i="18"/>
  <c r="A77" i="18"/>
  <c r="R20" i="18"/>
  <c r="Y38" i="18"/>
  <c r="Y35" i="18"/>
  <c r="R13" i="18"/>
  <c r="R42" i="18"/>
  <c r="R66" i="18"/>
  <c r="S34" i="18"/>
  <c r="R15" i="18"/>
  <c r="R26" i="18"/>
  <c r="Y51" i="18"/>
  <c r="Y58" i="18"/>
  <c r="R74" i="18"/>
  <c r="S22" i="18"/>
  <c r="A65" i="18"/>
  <c r="Q50" i="18"/>
  <c r="C16" i="18"/>
  <c r="R25" i="18"/>
  <c r="Y41" i="18"/>
  <c r="R54" i="18"/>
  <c r="R41" i="18"/>
  <c r="A50" i="18"/>
  <c r="Q32" i="18"/>
  <c r="R44" i="18"/>
  <c r="Q70" i="18"/>
  <c r="R38" i="18"/>
  <c r="R73" i="18"/>
  <c r="S21" i="18"/>
  <c r="Y22" i="18"/>
  <c r="S41" i="15"/>
  <c r="Y68" i="15"/>
  <c r="S75" i="15"/>
  <c r="Y64" i="15"/>
  <c r="R71" i="15"/>
  <c r="B71" i="15" s="1"/>
  <c r="R28" i="15"/>
  <c r="Y36" i="15"/>
  <c r="S47" i="15"/>
  <c r="Y71" i="15"/>
  <c r="Q33" i="15"/>
  <c r="S63" i="15"/>
  <c r="R59" i="15"/>
  <c r="S58" i="15"/>
  <c r="S72" i="15"/>
  <c r="Y46" i="15"/>
  <c r="Y76" i="15"/>
  <c r="S50" i="15"/>
  <c r="R51" i="15"/>
  <c r="A51" i="15" s="1"/>
  <c r="S25" i="15"/>
  <c r="R48" i="15"/>
  <c r="S38" i="15"/>
  <c r="S60" i="15"/>
  <c r="Y26" i="15"/>
  <c r="Y24" i="15"/>
  <c r="S67" i="15"/>
  <c r="R66" i="15"/>
  <c r="R39" i="15"/>
  <c r="Q39" i="15" s="1"/>
  <c r="S39" i="17"/>
  <c r="S69" i="17"/>
  <c r="S56" i="17"/>
  <c r="C15" i="17"/>
  <c r="R15" i="17" s="1"/>
  <c r="Q15" i="17" s="1"/>
  <c r="Y32" i="17"/>
  <c r="R68" i="17"/>
  <c r="B68" i="17" s="1"/>
  <c r="S67" i="17"/>
  <c r="B60" i="17"/>
  <c r="B42" i="17"/>
  <c r="S48" i="17"/>
  <c r="Y69" i="17"/>
  <c r="R55" i="17"/>
  <c r="B55" i="17" s="1"/>
  <c r="Y64" i="17"/>
  <c r="S61" i="17"/>
  <c r="S60" i="17"/>
  <c r="R59" i="17"/>
  <c r="B59" i="17" s="1"/>
  <c r="Y38" i="17"/>
  <c r="Y42" i="17"/>
  <c r="R53" i="17"/>
  <c r="B53" i="17" s="1"/>
  <c r="R58" i="17"/>
  <c r="A58" i="17" s="1"/>
  <c r="R47" i="17"/>
  <c r="R29" i="17"/>
  <c r="A29" i="17" s="1"/>
  <c r="S53" i="17"/>
  <c r="Q12" i="17"/>
  <c r="Y58" i="17"/>
  <c r="S35" i="17"/>
  <c r="Y40" i="17"/>
  <c r="Y43" i="17"/>
  <c r="R49" i="17"/>
  <c r="A44" i="17"/>
  <c r="Q44" i="17"/>
  <c r="B44" i="17"/>
  <c r="B40" i="17"/>
  <c r="Q40" i="17"/>
  <c r="A40" i="17"/>
  <c r="Q43" i="17"/>
  <c r="B43" i="17"/>
  <c r="A43" i="17"/>
  <c r="S62" i="17"/>
  <c r="S58" i="17"/>
  <c r="C16" i="17"/>
  <c r="C17" i="17" s="1"/>
  <c r="Y47" i="17"/>
  <c r="R54" i="17"/>
  <c r="B54" i="17" s="1"/>
  <c r="Y65" i="17"/>
  <c r="S38" i="17"/>
  <c r="S28" i="17"/>
  <c r="R30" i="17"/>
  <c r="A30" i="17" s="1"/>
  <c r="Y63" i="17"/>
  <c r="R76" i="17"/>
  <c r="A76" i="17" s="1"/>
  <c r="R35" i="17"/>
  <c r="Q42" i="17"/>
  <c r="S34" i="17"/>
  <c r="B49" i="17"/>
  <c r="A75" i="17"/>
  <c r="R31" i="17"/>
  <c r="A31" i="17" s="1"/>
  <c r="Y36" i="17"/>
  <c r="R41" i="17"/>
  <c r="R51" i="17"/>
  <c r="Y53" i="17"/>
  <c r="R57" i="17"/>
  <c r="R34" i="17"/>
  <c r="B75" i="17"/>
  <c r="S40" i="17"/>
  <c r="R52" i="17"/>
  <c r="Q52" i="17" s="1"/>
  <c r="R62" i="17"/>
  <c r="R14" i="17"/>
  <c r="B14" i="17" s="1"/>
  <c r="Y27" i="17"/>
  <c r="S29" i="17"/>
  <c r="Y60" i="17"/>
  <c r="R65" i="17"/>
  <c r="B65" i="17" s="1"/>
  <c r="Y66" i="17"/>
  <c r="R71" i="17"/>
  <c r="S70" i="17"/>
  <c r="S31" i="17"/>
  <c r="R46" i="17"/>
  <c r="A46" i="17" s="1"/>
  <c r="A58" i="16"/>
  <c r="B58" i="16"/>
  <c r="A48" i="16"/>
  <c r="Q48" i="16"/>
  <c r="B48" i="16"/>
  <c r="R36" i="16"/>
  <c r="Q36" i="16" s="1"/>
  <c r="R28" i="16"/>
  <c r="Y48" i="16"/>
  <c r="A41" i="16"/>
  <c r="S33" i="16"/>
  <c r="R62" i="16"/>
  <c r="B62" i="16" s="1"/>
  <c r="S63" i="16"/>
  <c r="S61" i="16"/>
  <c r="S27" i="16"/>
  <c r="Q63" i="16"/>
  <c r="Q54" i="16"/>
  <c r="A63" i="16"/>
  <c r="A26" i="16"/>
  <c r="R46" i="16"/>
  <c r="S74" i="16"/>
  <c r="Y64" i="16"/>
  <c r="Y26" i="16"/>
  <c r="Q26" i="16"/>
  <c r="S45" i="16"/>
  <c r="A13" i="16"/>
  <c r="Q40" i="16"/>
  <c r="Q41" i="16"/>
  <c r="R34" i="16"/>
  <c r="S70" i="16"/>
  <c r="Y50" i="16"/>
  <c r="Q53" i="16"/>
  <c r="R32" i="16"/>
  <c r="A32" i="17"/>
  <c r="Q32" i="17"/>
  <c r="B32" i="17"/>
  <c r="Q37" i="17"/>
  <c r="A37" i="17"/>
  <c r="B37" i="17"/>
  <c r="Q61" i="17"/>
  <c r="A61" i="17"/>
  <c r="B61" i="17"/>
  <c r="Q39" i="17"/>
  <c r="B39" i="17"/>
  <c r="A39" i="17"/>
  <c r="Q64" i="17"/>
  <c r="B64" i="17"/>
  <c r="A64" i="17"/>
  <c r="B36" i="17"/>
  <c r="A36" i="17"/>
  <c r="Q36" i="17"/>
  <c r="B69" i="17"/>
  <c r="A69" i="17"/>
  <c r="Q69" i="17"/>
  <c r="B38" i="17"/>
  <c r="A38" i="17"/>
  <c r="Q38" i="17"/>
  <c r="Q63" i="17"/>
  <c r="B63" i="17"/>
  <c r="A63" i="17"/>
  <c r="B45" i="17"/>
  <c r="A45" i="17"/>
  <c r="Q45" i="17"/>
  <c r="B66" i="17"/>
  <c r="Q66" i="17"/>
  <c r="A66" i="17"/>
  <c r="Y48" i="17"/>
  <c r="S63" i="17"/>
  <c r="S65" i="17"/>
  <c r="R67" i="17"/>
  <c r="Y16" i="17"/>
  <c r="R72" i="17"/>
  <c r="B12" i="17"/>
  <c r="S71" i="17"/>
  <c r="R26" i="17"/>
  <c r="R27" i="17"/>
  <c r="R28" i="17"/>
  <c r="S49" i="17"/>
  <c r="R50" i="17"/>
  <c r="A70" i="17"/>
  <c r="S75" i="17"/>
  <c r="S27" i="17"/>
  <c r="S37" i="17"/>
  <c r="Y39" i="17"/>
  <c r="Y45" i="17"/>
  <c r="Y61" i="17"/>
  <c r="R73" i="17"/>
  <c r="R33" i="17"/>
  <c r="S44" i="17"/>
  <c r="Q54" i="17"/>
  <c r="R13" i="17"/>
  <c r="S33" i="17"/>
  <c r="S72" i="17"/>
  <c r="S73" i="17"/>
  <c r="R74" i="17"/>
  <c r="R48" i="17"/>
  <c r="S32" i="17"/>
  <c r="S66" i="17"/>
  <c r="B31" i="17"/>
  <c r="S25" i="17"/>
  <c r="Y37" i="17"/>
  <c r="A15" i="17"/>
  <c r="S13" i="17"/>
  <c r="A65" i="17"/>
  <c r="A14" i="17"/>
  <c r="R56" i="17"/>
  <c r="A52" i="17"/>
  <c r="M26" i="17"/>
  <c r="M27" i="17"/>
  <c r="Q65" i="17"/>
  <c r="Q70" i="17"/>
  <c r="S55" i="17"/>
  <c r="Q37" i="16"/>
  <c r="B37" i="16"/>
  <c r="A37" i="16"/>
  <c r="B64" i="16"/>
  <c r="Q64" i="16"/>
  <c r="A64" i="16"/>
  <c r="Y44" i="16"/>
  <c r="A60" i="16"/>
  <c r="S55" i="16"/>
  <c r="Q62" i="16"/>
  <c r="S43" i="16"/>
  <c r="A62" i="16"/>
  <c r="S37" i="16"/>
  <c r="Q45" i="16"/>
  <c r="A45" i="16"/>
  <c r="Q55" i="16"/>
  <c r="Y61" i="16"/>
  <c r="Y56" i="16"/>
  <c r="S53" i="16"/>
  <c r="A55" i="16"/>
  <c r="Q58" i="16"/>
  <c r="S60" i="16"/>
  <c r="Q61" i="16"/>
  <c r="B61" i="16"/>
  <c r="A61" i="16"/>
  <c r="A38" i="16"/>
  <c r="B38" i="16"/>
  <c r="B35" i="16"/>
  <c r="A35" i="16"/>
  <c r="Q35" i="16"/>
  <c r="B50" i="16"/>
  <c r="A50" i="16"/>
  <c r="Q50" i="16"/>
  <c r="B70" i="16"/>
  <c r="A70" i="16"/>
  <c r="R67" i="16"/>
  <c r="Y47" i="16"/>
  <c r="Y35" i="16"/>
  <c r="Y38" i="16"/>
  <c r="Y57" i="16"/>
  <c r="Q52" i="16"/>
  <c r="R72" i="16"/>
  <c r="Y65" i="16"/>
  <c r="A52" i="16"/>
  <c r="S71" i="16"/>
  <c r="A49" i="16"/>
  <c r="B49" i="16"/>
  <c r="B60" i="16"/>
  <c r="Y29" i="16"/>
  <c r="A69" i="16"/>
  <c r="Q57" i="16"/>
  <c r="R31" i="16"/>
  <c r="Q31" i="16" s="1"/>
  <c r="Q44" i="16"/>
  <c r="R47" i="16"/>
  <c r="A57" i="16"/>
  <c r="B44" i="16"/>
  <c r="Y52" i="16"/>
  <c r="B36" i="16"/>
  <c r="S64" i="16"/>
  <c r="S30" i="16"/>
  <c r="A36" i="16"/>
  <c r="S73" i="16"/>
  <c r="R74" i="16"/>
  <c r="Q65" i="16"/>
  <c r="B65" i="16"/>
  <c r="A65" i="16"/>
  <c r="S14" i="16"/>
  <c r="Y15" i="16"/>
  <c r="R15" i="16"/>
  <c r="B76" i="16"/>
  <c r="A76" i="16"/>
  <c r="Q76" i="16"/>
  <c r="A56" i="16"/>
  <c r="B56" i="16"/>
  <c r="Q56" i="16"/>
  <c r="B71" i="16"/>
  <c r="A71" i="16"/>
  <c r="Q71" i="16"/>
  <c r="A29" i="16"/>
  <c r="B29" i="16"/>
  <c r="Q29" i="16"/>
  <c r="B68" i="16"/>
  <c r="A68" i="16"/>
  <c r="Q68" i="16"/>
  <c r="B33" i="16"/>
  <c r="Q33" i="16"/>
  <c r="A33" i="16"/>
  <c r="Q69" i="16"/>
  <c r="A51" i="16"/>
  <c r="Q70" i="16"/>
  <c r="A39" i="16"/>
  <c r="M27" i="16"/>
  <c r="R30" i="16"/>
  <c r="Y33" i="16"/>
  <c r="S50" i="16"/>
  <c r="R73" i="16"/>
  <c r="Y76" i="16"/>
  <c r="Q39" i="16"/>
  <c r="S75" i="16"/>
  <c r="S28" i="16"/>
  <c r="S13" i="16"/>
  <c r="Y14" i="16"/>
  <c r="B51" i="16"/>
  <c r="M26" i="16"/>
  <c r="R14" i="16"/>
  <c r="Q75" i="16"/>
  <c r="Q32" i="16"/>
  <c r="A75" i="16"/>
  <c r="S32" i="16"/>
  <c r="Y27" i="16"/>
  <c r="A59" i="16"/>
  <c r="C16" i="16"/>
  <c r="Y30" i="16"/>
  <c r="B13" i="16"/>
  <c r="Q38" i="16"/>
  <c r="Q59" i="16"/>
  <c r="R27" i="16"/>
  <c r="S72" i="16"/>
  <c r="B61" i="15"/>
  <c r="B74" i="15"/>
  <c r="R65" i="15"/>
  <c r="A65" i="15" s="1"/>
  <c r="Q71" i="15"/>
  <c r="A71" i="15"/>
  <c r="R29" i="15"/>
  <c r="R75" i="15"/>
  <c r="A75" i="15" s="1"/>
  <c r="S43" i="15"/>
  <c r="A42" i="15"/>
  <c r="Q42" i="15"/>
  <c r="S66" i="15"/>
  <c r="B70" i="15"/>
  <c r="S57" i="15"/>
  <c r="S26" i="15"/>
  <c r="R43" i="15"/>
  <c r="A43" i="15" s="1"/>
  <c r="Q63" i="15"/>
  <c r="B51" i="15"/>
  <c r="S54" i="15"/>
  <c r="R46" i="15"/>
  <c r="Q12" i="15"/>
  <c r="S48" i="15"/>
  <c r="Q51" i="15"/>
  <c r="A74" i="15"/>
  <c r="S64" i="15"/>
  <c r="R49" i="15"/>
  <c r="B49" i="15" s="1"/>
  <c r="R27" i="15"/>
  <c r="B27" i="15" s="1"/>
  <c r="Y75" i="15"/>
  <c r="B33" i="15"/>
  <c r="Y67" i="15"/>
  <c r="B39" i="15"/>
  <c r="B55" i="15"/>
  <c r="Q55" i="15"/>
  <c r="Q26" i="15"/>
  <c r="B26" i="15"/>
  <c r="A26" i="15"/>
  <c r="Q30" i="15"/>
  <c r="A73" i="15"/>
  <c r="S56" i="15"/>
  <c r="Q60" i="15"/>
  <c r="S61" i="15"/>
  <c r="Q54" i="15"/>
  <c r="A60" i="15"/>
  <c r="A70" i="15"/>
  <c r="A39" i="15"/>
  <c r="Y43" i="15"/>
  <c r="S71" i="15"/>
  <c r="Q59" i="15"/>
  <c r="R36" i="15"/>
  <c r="Q43" i="15"/>
  <c r="A54" i="15"/>
  <c r="R72" i="15"/>
  <c r="R34" i="15"/>
  <c r="A34" i="15" s="1"/>
  <c r="Y62" i="15"/>
  <c r="R57" i="15"/>
  <c r="B57" i="15" s="1"/>
  <c r="A76" i="15"/>
  <c r="Q76" i="15"/>
  <c r="B76" i="15"/>
  <c r="A56" i="15"/>
  <c r="B56" i="15"/>
  <c r="Q56" i="15"/>
  <c r="A37" i="15"/>
  <c r="Q37" i="15"/>
  <c r="B37" i="15"/>
  <c r="B38" i="15"/>
  <c r="Q38" i="15"/>
  <c r="A38" i="15"/>
  <c r="A64" i="15"/>
  <c r="Q64" i="15"/>
  <c r="B64" i="15"/>
  <c r="B44" i="15"/>
  <c r="A44" i="15"/>
  <c r="Q44" i="15"/>
  <c r="B67" i="15"/>
  <c r="A67" i="15"/>
  <c r="Q67" i="15"/>
  <c r="Q31" i="15"/>
  <c r="A31" i="15"/>
  <c r="B31" i="15"/>
  <c r="R47" i="15"/>
  <c r="Y37" i="15"/>
  <c r="S30" i="15"/>
  <c r="Y28" i="15"/>
  <c r="R25" i="15"/>
  <c r="S36" i="15"/>
  <c r="Q62" i="15"/>
  <c r="Y38" i="15"/>
  <c r="S49" i="15"/>
  <c r="B62" i="15"/>
  <c r="Q68" i="15"/>
  <c r="A68" i="15"/>
  <c r="Y56" i="15"/>
  <c r="Y47" i="15"/>
  <c r="M24" i="15"/>
  <c r="Y44" i="15"/>
  <c r="R50" i="15"/>
  <c r="S37" i="15"/>
  <c r="Y31" i="15"/>
  <c r="R53" i="15"/>
  <c r="R41" i="15"/>
  <c r="S52" i="15"/>
  <c r="S55" i="15"/>
  <c r="S40" i="15"/>
  <c r="M25" i="15"/>
  <c r="B77" i="14"/>
  <c r="R37" i="14"/>
  <c r="A77" i="14"/>
  <c r="S49" i="14"/>
  <c r="S42" i="14"/>
  <c r="R48" i="14"/>
  <c r="R50" i="14"/>
  <c r="A50" i="14" s="1"/>
  <c r="S36" i="14"/>
  <c r="S47" i="14"/>
  <c r="R35" i="14"/>
  <c r="A35" i="14" s="1"/>
  <c r="S34" i="14"/>
  <c r="S38" i="14"/>
  <c r="R66" i="14"/>
  <c r="S67" i="14"/>
  <c r="R61" i="14"/>
  <c r="R75" i="14"/>
  <c r="Q75" i="14" s="1"/>
  <c r="S55" i="14"/>
  <c r="Y70" i="14"/>
  <c r="S62" i="14"/>
  <c r="R43" i="14"/>
  <c r="S60" i="14"/>
  <c r="S40" i="14"/>
  <c r="R54" i="14"/>
  <c r="S74" i="14"/>
  <c r="R41" i="14"/>
  <c r="S33" i="14"/>
  <c r="Y63" i="14"/>
  <c r="Y52" i="14"/>
  <c r="Y68" i="14"/>
  <c r="R34" i="14"/>
  <c r="B34" i="14" s="1"/>
  <c r="R46" i="14"/>
  <c r="Y55" i="14"/>
  <c r="Y46" i="14"/>
  <c r="R36" i="14"/>
  <c r="S35" i="14"/>
  <c r="R51" i="14"/>
  <c r="S50" i="14"/>
  <c r="R69" i="14"/>
  <c r="R49" i="14"/>
  <c r="S68" i="14"/>
  <c r="R72" i="14"/>
  <c r="S53" i="14"/>
  <c r="S41" i="14"/>
  <c r="Y39" i="14"/>
  <c r="B59" i="14"/>
  <c r="A59" i="14"/>
  <c r="Q59" i="14"/>
  <c r="Q64" i="14"/>
  <c r="B64" i="14"/>
  <c r="A64" i="14"/>
  <c r="B63" i="14"/>
  <c r="Q63" i="14"/>
  <c r="A63" i="14"/>
  <c r="A39" i="14"/>
  <c r="B39" i="14"/>
  <c r="Q39" i="14"/>
  <c r="Q68" i="14"/>
  <c r="Q43" i="14"/>
  <c r="Y62" i="14"/>
  <c r="A68" i="14"/>
  <c r="Y59" i="14"/>
  <c r="Q35" i="14"/>
  <c r="S58" i="14"/>
  <c r="S39" i="13"/>
  <c r="Y31" i="13"/>
  <c r="S12" i="13"/>
  <c r="Y61" i="13"/>
  <c r="R53" i="13"/>
  <c r="B53" i="13" s="1"/>
  <c r="R28" i="13"/>
  <c r="Y43" i="13"/>
  <c r="R42" i="13"/>
  <c r="B42" i="13" s="1"/>
  <c r="Y29" i="13"/>
  <c r="Y44" i="13"/>
  <c r="S41" i="13"/>
  <c r="Q68" i="13"/>
  <c r="C15" i="13"/>
  <c r="S67" i="13"/>
  <c r="Y49" i="13"/>
  <c r="A68" i="13"/>
  <c r="S25" i="13"/>
  <c r="Y47" i="13"/>
  <c r="S45" i="13"/>
  <c r="Y20" i="13"/>
  <c r="R27" i="13"/>
  <c r="B27" i="13" s="1"/>
  <c r="Y39" i="13"/>
  <c r="R72" i="13"/>
  <c r="S21" i="13"/>
  <c r="Q53" i="13"/>
  <c r="R56" i="13"/>
  <c r="S71" i="13"/>
  <c r="Y27" i="13"/>
  <c r="Y32" i="13"/>
  <c r="R48" i="13"/>
  <c r="Y59" i="13"/>
  <c r="S47" i="13"/>
  <c r="R22" i="13"/>
  <c r="B22" i="13" s="1"/>
  <c r="R46" i="13"/>
  <c r="R30" i="11"/>
  <c r="S53" i="11"/>
  <c r="S29" i="11"/>
  <c r="R60" i="11"/>
  <c r="B60" i="11" s="1"/>
  <c r="R38" i="11"/>
  <c r="A38" i="11" s="1"/>
  <c r="S59" i="11"/>
  <c r="R56" i="11"/>
  <c r="A56" i="11" s="1"/>
  <c r="R66" i="11"/>
  <c r="A66" i="11" s="1"/>
  <c r="S23" i="11"/>
  <c r="Y66" i="11"/>
  <c r="R58" i="11"/>
  <c r="B58" i="11" s="1"/>
  <c r="Y22" i="11"/>
  <c r="W13" i="1"/>
  <c r="A13" i="1" s="1"/>
  <c r="A638" i="9"/>
  <c r="A618" i="9"/>
  <c r="A735" i="9"/>
  <c r="A663" i="9"/>
  <c r="B539" i="9"/>
  <c r="A715" i="9"/>
  <c r="B800" i="9"/>
  <c r="A507" i="9"/>
  <c r="A685" i="9"/>
  <c r="B549" i="9"/>
  <c r="A539" i="9"/>
  <c r="B685" i="9"/>
  <c r="B720" i="9"/>
  <c r="B799" i="9"/>
  <c r="B770" i="9"/>
  <c r="A799" i="9"/>
  <c r="B502" i="9"/>
  <c r="B711" i="9"/>
  <c r="A770" i="9"/>
  <c r="B710" i="9"/>
  <c r="B790" i="9"/>
  <c r="A584" i="9"/>
  <c r="A502" i="9"/>
  <c r="A26" i="7"/>
  <c r="A687" i="9"/>
  <c r="B505" i="9"/>
  <c r="B717" i="9"/>
  <c r="A589" i="9"/>
  <c r="B640" i="9"/>
  <c r="B791" i="9"/>
  <c r="B761" i="9"/>
  <c r="B723" i="9"/>
  <c r="A583" i="9"/>
  <c r="A511" i="9"/>
  <c r="B566" i="9"/>
  <c r="A556" i="9"/>
  <c r="A571" i="9"/>
  <c r="B663" i="9"/>
  <c r="B561" i="9"/>
  <c r="A533" i="9"/>
  <c r="B654" i="9"/>
  <c r="A652" i="9"/>
  <c r="A654" i="9"/>
  <c r="B662" i="9"/>
  <c r="B652" i="9"/>
  <c r="B533" i="9"/>
  <c r="B511" i="9"/>
  <c r="B707" i="9"/>
  <c r="A667" i="9"/>
  <c r="A521" i="9"/>
  <c r="B506" i="9"/>
  <c r="B730" i="9"/>
  <c r="A564" i="9"/>
  <c r="B521" i="9"/>
  <c r="A506" i="9"/>
  <c r="A682" i="9"/>
  <c r="B667" i="9"/>
  <c r="A730" i="9"/>
  <c r="B684" i="9"/>
  <c r="A581" i="9"/>
  <c r="A684" i="9"/>
  <c r="A709" i="9"/>
  <c r="B628" i="9"/>
  <c r="B682" i="9"/>
  <c r="B709" i="9"/>
  <c r="B556" i="9"/>
  <c r="R36" i="11"/>
  <c r="Q36" i="11" s="1"/>
  <c r="S35" i="11"/>
  <c r="Y14" i="11"/>
  <c r="R14" i="11"/>
  <c r="Y38" i="11"/>
  <c r="B34" i="13"/>
  <c r="A34" i="13"/>
  <c r="Q34" i="13"/>
  <c r="B70" i="13"/>
  <c r="A70" i="13"/>
  <c r="Q70" i="13"/>
  <c r="Q59" i="13"/>
  <c r="B59" i="13"/>
  <c r="A59" i="13"/>
  <c r="Y34" i="13"/>
  <c r="S65" i="13"/>
  <c r="S28" i="13"/>
  <c r="Y71" i="13"/>
  <c r="R66" i="13"/>
  <c r="S33" i="13"/>
  <c r="B72" i="13"/>
  <c r="S24" i="13"/>
  <c r="S52" i="13"/>
  <c r="R64" i="13"/>
  <c r="S70" i="13"/>
  <c r="Y75" i="13"/>
  <c r="R65" i="13"/>
  <c r="C16" i="13"/>
  <c r="Y25" i="13"/>
  <c r="Y70" i="13"/>
  <c r="Q58" i="13"/>
  <c r="A53" i="13"/>
  <c r="S56" i="13"/>
  <c r="A58" i="13"/>
  <c r="B12" i="13"/>
  <c r="R57" i="13"/>
  <c r="Y26" i="13"/>
  <c r="R52" i="13"/>
  <c r="R33" i="13"/>
  <c r="B33" i="13" s="1"/>
  <c r="S42" i="13"/>
  <c r="Q43" i="13"/>
  <c r="A43" i="13"/>
  <c r="B43" i="13"/>
  <c r="Q13" i="13"/>
  <c r="A13" i="13"/>
  <c r="B13" i="13"/>
  <c r="A26" i="13"/>
  <c r="Q26" i="13"/>
  <c r="B26" i="13"/>
  <c r="Q40" i="13"/>
  <c r="B40" i="13"/>
  <c r="A40" i="13"/>
  <c r="Q51" i="13"/>
  <c r="B51" i="13"/>
  <c r="A51" i="13"/>
  <c r="B29" i="13"/>
  <c r="Q29" i="13"/>
  <c r="A29" i="13"/>
  <c r="Q20" i="13"/>
  <c r="A20" i="13"/>
  <c r="B20" i="13"/>
  <c r="A25" i="13"/>
  <c r="B25" i="13"/>
  <c r="Q25" i="13"/>
  <c r="Q71" i="13"/>
  <c r="B71" i="13"/>
  <c r="A71" i="13"/>
  <c r="B39" i="13"/>
  <c r="A39" i="13"/>
  <c r="Q39" i="13"/>
  <c r="A55" i="13"/>
  <c r="Q55" i="13"/>
  <c r="B55" i="13"/>
  <c r="Q63" i="13"/>
  <c r="B63" i="13"/>
  <c r="A63" i="13"/>
  <c r="B47" i="13"/>
  <c r="A47" i="13"/>
  <c r="Q47" i="13"/>
  <c r="S62" i="13"/>
  <c r="S13" i="13"/>
  <c r="R14" i="13"/>
  <c r="R41" i="13"/>
  <c r="Y55" i="13"/>
  <c r="R74" i="13"/>
  <c r="R76" i="13"/>
  <c r="S50" i="13"/>
  <c r="R36" i="13"/>
  <c r="S64" i="13"/>
  <c r="R73" i="13"/>
  <c r="S35" i="13"/>
  <c r="Y13" i="13"/>
  <c r="S40" i="13"/>
  <c r="S72" i="13"/>
  <c r="S73" i="13"/>
  <c r="R23" i="13"/>
  <c r="R37" i="13"/>
  <c r="S14" i="13"/>
  <c r="B77" i="13"/>
  <c r="A77" i="13"/>
  <c r="S36" i="13"/>
  <c r="S38" i="13"/>
  <c r="Y40" i="13"/>
  <c r="R15" i="13"/>
  <c r="S22" i="13"/>
  <c r="Y51" i="13"/>
  <c r="Y63" i="13"/>
  <c r="Y15" i="13"/>
  <c r="R31" i="13"/>
  <c r="R35" i="13"/>
  <c r="R49" i="13"/>
  <c r="R50" i="13"/>
  <c r="R61" i="13"/>
  <c r="R62" i="13"/>
  <c r="Q42" i="13"/>
  <c r="S49" i="13"/>
  <c r="S61" i="13"/>
  <c r="S34" i="13"/>
  <c r="A42" i="13"/>
  <c r="S54" i="13"/>
  <c r="R68" i="11"/>
  <c r="Y53" i="11"/>
  <c r="S67" i="11"/>
  <c r="B56" i="11"/>
  <c r="A60" i="11"/>
  <c r="R13" i="11"/>
  <c r="S69" i="11"/>
  <c r="Y13" i="11"/>
  <c r="R67" i="11"/>
  <c r="Q67" i="11" s="1"/>
  <c r="C15" i="11"/>
  <c r="R15" i="11" s="1"/>
  <c r="S41" i="11"/>
  <c r="R54" i="11"/>
  <c r="Y42" i="11"/>
  <c r="B24" i="7"/>
  <c r="A19" i="7"/>
  <c r="A788" i="9"/>
  <c r="A616" i="9"/>
  <c r="B616" i="9"/>
  <c r="B788" i="9"/>
  <c r="B678" i="9"/>
  <c r="A658" i="9"/>
  <c r="O19" i="7"/>
  <c r="A761" i="9"/>
  <c r="B532" i="9"/>
  <c r="B748" i="9"/>
  <c r="A748" i="9"/>
  <c r="A532" i="9"/>
  <c r="A756" i="9"/>
  <c r="B645" i="9"/>
  <c r="A645" i="9"/>
  <c r="B702" i="9"/>
  <c r="A702" i="9"/>
  <c r="A640" i="9"/>
  <c r="B687" i="9"/>
  <c r="B819" i="9"/>
  <c r="A516" i="9"/>
  <c r="A819" i="9"/>
  <c r="A826" i="9"/>
  <c r="B699" i="9"/>
  <c r="B826" i="9"/>
  <c r="A699" i="9"/>
  <c r="A628" i="9"/>
  <c r="A808" i="9"/>
  <c r="B808" i="9"/>
  <c r="B763" i="9"/>
  <c r="A779" i="9"/>
  <c r="B597" i="9"/>
  <c r="A728" i="9"/>
  <c r="A635" i="9"/>
  <c r="B635" i="9"/>
  <c r="A602" i="9"/>
  <c r="A647" i="9"/>
  <c r="A615" i="9"/>
  <c r="B615" i="9"/>
  <c r="B729" i="9"/>
  <c r="A562" i="9"/>
  <c r="B581" i="9"/>
  <c r="B834" i="9"/>
  <c r="B832" i="9"/>
  <c r="B747" i="9"/>
  <c r="B741" i="9"/>
  <c r="A668" i="9"/>
  <c r="B658" i="9"/>
  <c r="A673" i="9"/>
  <c r="A746" i="9"/>
  <c r="A608" i="9"/>
  <c r="B693" i="9"/>
  <c r="B802" i="9"/>
  <c r="B732" i="9"/>
  <c r="A736" i="9"/>
  <c r="B608" i="9"/>
  <c r="B673" i="9"/>
  <c r="B784" i="9"/>
  <c r="B731" i="9"/>
  <c r="B725" i="9"/>
  <c r="B807" i="9"/>
  <c r="B767" i="9"/>
  <c r="B746" i="9"/>
  <c r="B552" i="9"/>
  <c r="A731" i="9"/>
  <c r="A725" i="9"/>
  <c r="A807" i="9"/>
  <c r="A552" i="9"/>
  <c r="A767" i="9"/>
  <c r="B500" i="9"/>
  <c r="A678" i="9"/>
  <c r="B822" i="9"/>
  <c r="A703" i="9"/>
  <c r="A729" i="9"/>
  <c r="B779" i="9"/>
  <c r="A500" i="9"/>
  <c r="B562" i="9"/>
  <c r="B728" i="9"/>
  <c r="A763" i="9"/>
  <c r="B736" i="9"/>
  <c r="A822" i="9"/>
  <c r="B26" i="7"/>
  <c r="O26" i="7"/>
  <c r="A32" i="7"/>
  <c r="B76" i="7"/>
  <c r="C18" i="7"/>
  <c r="AX487" i="9"/>
  <c r="A483" i="9"/>
  <c r="AX427" i="9"/>
  <c r="B32" i="11"/>
  <c r="Q32" i="11"/>
  <c r="A32" i="11"/>
  <c r="Q22" i="11"/>
  <c r="A22" i="11"/>
  <c r="B22" i="11"/>
  <c r="A53" i="11"/>
  <c r="B53" i="11"/>
  <c r="Q53" i="11"/>
  <c r="Q24" i="11"/>
  <c r="A24" i="11"/>
  <c r="B24" i="11"/>
  <c r="Q43" i="11"/>
  <c r="B43" i="11"/>
  <c r="A43" i="11"/>
  <c r="Q55" i="11"/>
  <c r="B55" i="11"/>
  <c r="A55" i="11"/>
  <c r="B46" i="11"/>
  <c r="A46" i="11"/>
  <c r="Q46" i="11"/>
  <c r="Q31" i="11"/>
  <c r="A31" i="11"/>
  <c r="B31" i="11"/>
  <c r="B35" i="11"/>
  <c r="Q35" i="11"/>
  <c r="A35" i="11"/>
  <c r="B23" i="11"/>
  <c r="A23" i="11"/>
  <c r="Q23" i="11"/>
  <c r="A42" i="11"/>
  <c r="B42" i="11"/>
  <c r="Q42" i="11"/>
  <c r="Q34" i="11"/>
  <c r="A34" i="11"/>
  <c r="B34" i="11"/>
  <c r="B49" i="11"/>
  <c r="Q49" i="11"/>
  <c r="A49" i="11"/>
  <c r="Q58" i="11"/>
  <c r="Y46" i="11"/>
  <c r="Y35" i="11"/>
  <c r="S31" i="11"/>
  <c r="S34" i="11"/>
  <c r="R21" i="11"/>
  <c r="R44" i="11"/>
  <c r="R29" i="11"/>
  <c r="S48" i="11"/>
  <c r="Y24" i="11"/>
  <c r="S55" i="11"/>
  <c r="B51" i="11"/>
  <c r="C16" i="11"/>
  <c r="C17" i="11" s="1"/>
  <c r="S22" i="11"/>
  <c r="S39" i="11"/>
  <c r="R26" i="11"/>
  <c r="S49" i="11"/>
  <c r="S57" i="11"/>
  <c r="Y25" i="11"/>
  <c r="Q12" i="11"/>
  <c r="Q51" i="11"/>
  <c r="S60" i="11"/>
  <c r="R28" i="11"/>
  <c r="Y31" i="11"/>
  <c r="B30" i="11"/>
  <c r="A12" i="11"/>
  <c r="R64" i="11"/>
  <c r="S54" i="11"/>
  <c r="Y41" i="11"/>
  <c r="Q56" i="11"/>
  <c r="S45" i="11"/>
  <c r="S42" i="11"/>
  <c r="R62" i="11"/>
  <c r="S63" i="11"/>
  <c r="Y43" i="11"/>
  <c r="S25" i="11"/>
  <c r="R20" i="11"/>
  <c r="R40" i="11"/>
  <c r="S30" i="11"/>
  <c r="Y23" i="11"/>
  <c r="Y20" i="11"/>
  <c r="Y29" i="11"/>
  <c r="Y32" i="11"/>
  <c r="R41" i="11"/>
  <c r="R47" i="11"/>
  <c r="S52" i="11"/>
  <c r="Y59" i="11"/>
  <c r="Y62" i="11"/>
  <c r="S21" i="11"/>
  <c r="B67" i="11"/>
  <c r="S51" i="11"/>
  <c r="R25" i="11"/>
  <c r="A67" i="11"/>
  <c r="Y55" i="11"/>
  <c r="R52" i="11"/>
  <c r="Y49" i="11"/>
  <c r="Y34" i="11"/>
  <c r="S33" i="11"/>
  <c r="R61" i="11"/>
  <c r="Y37" i="11"/>
  <c r="S27" i="11"/>
  <c r="B656" i="9"/>
  <c r="B786" i="9"/>
  <c r="A650" i="9"/>
  <c r="B824" i="9"/>
  <c r="A738" i="9"/>
  <c r="A514" i="9"/>
  <c r="B660" i="9"/>
  <c r="B669" i="9"/>
  <c r="A834" i="9"/>
  <c r="A660" i="9"/>
  <c r="B739" i="9"/>
  <c r="B641" i="9"/>
  <c r="B12" i="9"/>
  <c r="A641" i="9"/>
  <c r="B504" i="9"/>
  <c r="B661" i="9"/>
  <c r="B514" i="9"/>
  <c r="A815" i="9"/>
  <c r="B801" i="9"/>
  <c r="B815" i="9"/>
  <c r="B594" i="9"/>
  <c r="B810" i="9"/>
  <c r="A810" i="9"/>
  <c r="A504" i="9"/>
  <c r="B540" i="9"/>
  <c r="A540" i="9"/>
  <c r="A590" i="9"/>
  <c r="B558" i="9"/>
  <c r="B718" i="9"/>
  <c r="A634" i="9"/>
  <c r="B818" i="9"/>
  <c r="A558" i="9"/>
  <c r="B634" i="9"/>
  <c r="A818" i="9"/>
  <c r="A656" i="9"/>
  <c r="B637" i="9"/>
  <c r="A597" i="9"/>
  <c r="B719" i="9"/>
  <c r="B734" i="9"/>
  <c r="B575" i="9"/>
  <c r="B544" i="9"/>
  <c r="A655" i="9"/>
  <c r="A734" i="9"/>
  <c r="B655" i="9"/>
  <c r="A544" i="9"/>
  <c r="B510" i="9"/>
  <c r="A599" i="9"/>
  <c r="A510" i="9"/>
  <c r="B542" i="9"/>
  <c r="B599" i="9"/>
  <c r="A669" i="9"/>
  <c r="B560" i="9"/>
  <c r="A637" i="9"/>
  <c r="A718" i="9"/>
  <c r="A526" i="9"/>
  <c r="B651" i="9"/>
  <c r="A742" i="9"/>
  <c r="B823" i="9"/>
  <c r="A823" i="9"/>
  <c r="B522" i="9"/>
  <c r="A775" i="9"/>
  <c r="B690" i="9"/>
  <c r="B737" i="9"/>
  <c r="A522" i="9"/>
  <c r="A690" i="9"/>
  <c r="B657" i="9"/>
  <c r="B708" i="9"/>
  <c r="A657" i="9"/>
  <c r="A560" i="9"/>
  <c r="B555" i="9"/>
  <c r="A661" i="9"/>
  <c r="A708" i="9"/>
  <c r="B526" i="9"/>
  <c r="B647" i="9"/>
  <c r="A575" i="9"/>
  <c r="A555" i="9"/>
  <c r="A651" i="9"/>
  <c r="B534" i="9"/>
  <c r="A617" i="9"/>
  <c r="A534" i="9"/>
  <c r="B617" i="9"/>
  <c r="B681" i="9"/>
  <c r="B762" i="9"/>
  <c r="A681" i="9"/>
  <c r="A762" i="9"/>
  <c r="B764" i="9"/>
  <c r="B573" i="9"/>
  <c r="A764" i="9"/>
  <c r="A633" i="9"/>
  <c r="A573" i="9"/>
  <c r="B633" i="9"/>
  <c r="AX727" i="9"/>
  <c r="B829" i="9"/>
  <c r="AX829" i="9"/>
  <c r="A793" i="9"/>
  <c r="AX793" i="9"/>
  <c r="B768" i="9"/>
  <c r="AX768" i="9"/>
  <c r="AX751" i="9"/>
  <c r="A704" i="9"/>
  <c r="AX704" i="9"/>
  <c r="B659" i="9"/>
  <c r="AX659" i="9"/>
  <c r="A644" i="9"/>
  <c r="AX644" i="9"/>
  <c r="A550" i="9"/>
  <c r="AX550" i="9"/>
  <c r="A530" i="9"/>
  <c r="AX530" i="9"/>
  <c r="AX525" i="9"/>
  <c r="A513" i="9"/>
  <c r="AX513" i="9"/>
  <c r="A508" i="9"/>
  <c r="AX508" i="9"/>
  <c r="AX503" i="9"/>
  <c r="B516" i="9"/>
  <c r="B525" i="9"/>
  <c r="A639" i="9"/>
  <c r="B513" i="9"/>
  <c r="A789" i="9"/>
  <c r="AX789" i="9"/>
  <c r="B783" i="9"/>
  <c r="AX783" i="9"/>
  <c r="B724" i="9"/>
  <c r="AX724" i="9"/>
  <c r="B700" i="9"/>
  <c r="AX700" i="9"/>
  <c r="A689" i="9"/>
  <c r="AX689" i="9"/>
  <c r="B632" i="9"/>
  <c r="AX632" i="9"/>
  <c r="B627" i="9"/>
  <c r="AX627" i="9"/>
  <c r="B610" i="9"/>
  <c r="AX610" i="9"/>
  <c r="B598" i="9"/>
  <c r="AX598" i="9"/>
  <c r="B593" i="9"/>
  <c r="AX593" i="9"/>
  <c r="B588" i="9"/>
  <c r="AX588" i="9"/>
  <c r="B578" i="9"/>
  <c r="AX578" i="9"/>
  <c r="A554" i="9"/>
  <c r="AX554" i="9"/>
  <c r="A518" i="9"/>
  <c r="AX518" i="9"/>
  <c r="B603" i="9"/>
  <c r="AX603" i="9"/>
  <c r="B583" i="9"/>
  <c r="AX583" i="9"/>
  <c r="B571" i="9"/>
  <c r="AX571" i="9"/>
  <c r="A566" i="9"/>
  <c r="AX566" i="9"/>
  <c r="A561" i="9"/>
  <c r="AX561" i="9"/>
  <c r="AX780" i="9"/>
  <c r="B716" i="9"/>
  <c r="AX716" i="9"/>
  <c r="B813" i="9"/>
  <c r="A740" i="9"/>
  <c r="AX740" i="9"/>
  <c r="B642" i="9"/>
  <c r="AX642" i="9"/>
  <c r="A809" i="9"/>
  <c r="A619" i="9"/>
  <c r="B509" i="9"/>
  <c r="A758" i="9"/>
  <c r="A813" i="9"/>
  <c r="B503" i="9"/>
  <c r="A812" i="9"/>
  <c r="AX812" i="9"/>
  <c r="AX791" i="9"/>
  <c r="B756" i="9"/>
  <c r="AX756" i="9"/>
  <c r="AX735" i="9"/>
  <c r="A707" i="9"/>
  <c r="AX707" i="9"/>
  <c r="B697" i="9"/>
  <c r="AX697" i="9"/>
  <c r="A692" i="9"/>
  <c r="AX692" i="9"/>
  <c r="A662" i="9"/>
  <c r="AX662" i="9"/>
  <c r="B630" i="9"/>
  <c r="AX630" i="9"/>
  <c r="B620" i="9"/>
  <c r="AX620" i="9"/>
  <c r="B591" i="9"/>
  <c r="AX591" i="9"/>
  <c r="A743" i="9"/>
  <c r="AX743" i="9"/>
  <c r="B612" i="9"/>
  <c r="AX612" i="9"/>
  <c r="B580" i="9"/>
  <c r="AX580" i="9"/>
  <c r="A546" i="9"/>
  <c r="AX546" i="9"/>
  <c r="B809" i="9"/>
  <c r="A580" i="9"/>
  <c r="B520" i="9"/>
  <c r="AX817" i="9"/>
  <c r="B758" i="9"/>
  <c r="B501" i="9"/>
  <c r="A829" i="9"/>
  <c r="A624" i="9"/>
  <c r="B777" i="9"/>
  <c r="B672" i="9"/>
  <c r="A600" i="9"/>
  <c r="A714" i="9"/>
  <c r="AX714" i="9"/>
  <c r="A563" i="9"/>
  <c r="A520" i="9"/>
  <c r="A768" i="9"/>
  <c r="A612" i="9"/>
  <c r="A804" i="9"/>
  <c r="AX804" i="9"/>
  <c r="AX786" i="9"/>
  <c r="AX723" i="9"/>
  <c r="AX717" i="9"/>
  <c r="B613" i="9"/>
  <c r="AX613" i="9"/>
  <c r="B601" i="9"/>
  <c r="AX601" i="9"/>
  <c r="B586" i="9"/>
  <c r="AX586" i="9"/>
  <c r="AX564" i="9"/>
  <c r="A606" i="9"/>
  <c r="B624" i="9"/>
  <c r="B619" i="9"/>
  <c r="A777" i="9"/>
  <c r="A672" i="9"/>
  <c r="B820" i="9"/>
  <c r="A527" i="9"/>
  <c r="B530" i="9"/>
  <c r="AX643" i="9"/>
  <c r="B766" i="9"/>
  <c r="AX800" i="9"/>
  <c r="A790" i="9"/>
  <c r="AX790" i="9"/>
  <c r="A754" i="9"/>
  <c r="AX754" i="9"/>
  <c r="A739" i="9"/>
  <c r="AX739" i="9"/>
  <c r="A695" i="9"/>
  <c r="AX695" i="9"/>
  <c r="A680" i="9"/>
  <c r="AX680" i="9"/>
  <c r="B650" i="9"/>
  <c r="AX650" i="9"/>
  <c r="B618" i="9"/>
  <c r="AX618" i="9"/>
  <c r="B589" i="9"/>
  <c r="AX589" i="9"/>
  <c r="B541" i="9"/>
  <c r="AX541" i="9"/>
  <c r="A531" i="9"/>
  <c r="AX531" i="9"/>
  <c r="AX505" i="9"/>
  <c r="A501" i="9"/>
  <c r="B606" i="9"/>
  <c r="A820" i="9"/>
  <c r="B607" i="9"/>
  <c r="AX607" i="9"/>
  <c r="B563" i="9"/>
  <c r="A814" i="9"/>
  <c r="AX814" i="9"/>
  <c r="A766" i="9"/>
  <c r="AX784" i="9"/>
  <c r="AX747" i="9"/>
  <c r="AX720" i="9"/>
  <c r="B715" i="9"/>
  <c r="AX715" i="9"/>
  <c r="AX711" i="9"/>
  <c r="A710" i="9"/>
  <c r="AX710" i="9"/>
  <c r="B691" i="9"/>
  <c r="AX691" i="9"/>
  <c r="A670" i="9"/>
  <c r="AX670" i="9"/>
  <c r="B611" i="9"/>
  <c r="AX611" i="9"/>
  <c r="B551" i="9"/>
  <c r="AX551" i="9"/>
  <c r="B547" i="9"/>
  <c r="AX547" i="9"/>
  <c r="A536" i="9"/>
  <c r="AX536" i="9"/>
  <c r="A519" i="9"/>
  <c r="AX519" i="9"/>
  <c r="AX785" i="9"/>
  <c r="B600" i="9"/>
  <c r="AX600" i="9"/>
  <c r="B827" i="9"/>
  <c r="A585" i="9"/>
  <c r="A649" i="9"/>
  <c r="A776" i="9"/>
  <c r="AX776" i="9"/>
  <c r="R12" i="9"/>
  <c r="AX12" i="9"/>
  <c r="A802" i="9"/>
  <c r="AX802" i="9"/>
  <c r="AX741" i="9"/>
  <c r="AX732" i="9"/>
  <c r="AX638" i="9"/>
  <c r="B621" i="9"/>
  <c r="AX621" i="9"/>
  <c r="B604" i="9"/>
  <c r="AX604" i="9"/>
  <c r="B584" i="9"/>
  <c r="AX584" i="9"/>
  <c r="B572" i="9"/>
  <c r="AX572" i="9"/>
  <c r="A568" i="9"/>
  <c r="AX568" i="9"/>
  <c r="B567" i="9"/>
  <c r="AX567" i="9"/>
  <c r="A549" i="9"/>
  <c r="AX549" i="9"/>
  <c r="A524" i="9"/>
  <c r="AX524" i="9"/>
  <c r="A512" i="9"/>
  <c r="AX512" i="9"/>
  <c r="B507" i="9"/>
  <c r="AX507" i="9"/>
  <c r="A525" i="9"/>
  <c r="A827" i="9"/>
  <c r="B778" i="9"/>
  <c r="A509" i="9"/>
  <c r="B515" i="9"/>
  <c r="AX515" i="9"/>
  <c r="A625" i="9"/>
  <c r="AX625" i="9"/>
  <c r="B742" i="9"/>
  <c r="B740" i="9"/>
  <c r="A830" i="9"/>
  <c r="AX830" i="9"/>
  <c r="A825" i="9"/>
  <c r="AX825" i="9"/>
  <c r="A792" i="9"/>
  <c r="AX792" i="9"/>
  <c r="A782" i="9"/>
  <c r="AX782" i="9"/>
  <c r="AX772" i="9"/>
  <c r="AX757" i="9"/>
  <c r="AX753" i="9"/>
  <c r="A752" i="9"/>
  <c r="AX752" i="9"/>
  <c r="AX750" i="9"/>
  <c r="A749" i="9"/>
  <c r="AX749" i="9"/>
  <c r="AX744" i="9"/>
  <c r="B713" i="9"/>
  <c r="AX713" i="9"/>
  <c r="B703" i="9"/>
  <c r="AX703" i="9"/>
  <c r="A698" i="9"/>
  <c r="AX698" i="9"/>
  <c r="A683" i="9"/>
  <c r="AX683" i="9"/>
  <c r="B668" i="9"/>
  <c r="AX668" i="9"/>
  <c r="A653" i="9"/>
  <c r="AX653" i="9"/>
  <c r="A609" i="9"/>
  <c r="AX609" i="9"/>
  <c r="B592" i="9"/>
  <c r="AX592" i="9"/>
  <c r="B587" i="9"/>
  <c r="AX587" i="9"/>
  <c r="B577" i="9"/>
  <c r="AX577" i="9"/>
  <c r="B535" i="9"/>
  <c r="AX535" i="9"/>
  <c r="A785" i="9"/>
  <c r="A677" i="9"/>
  <c r="AX677" i="9"/>
  <c r="B585" i="9"/>
  <c r="B648" i="9"/>
  <c r="A594" i="9"/>
  <c r="A646" i="9"/>
  <c r="B765" i="9"/>
  <c r="A778" i="9"/>
  <c r="B649" i="9"/>
  <c r="A828" i="9"/>
  <c r="AX828" i="9"/>
  <c r="B677" i="9"/>
  <c r="A801" i="9"/>
  <c r="AX801" i="9"/>
  <c r="A719" i="9"/>
  <c r="AX719" i="9"/>
  <c r="B636" i="9"/>
  <c r="AX636" i="9"/>
  <c r="B602" i="9"/>
  <c r="AX602" i="9"/>
  <c r="B570" i="9"/>
  <c r="AX570" i="9"/>
  <c r="A565" i="9"/>
  <c r="AX565" i="9"/>
  <c r="A553" i="9"/>
  <c r="AX553" i="9"/>
  <c r="A666" i="9"/>
  <c r="AX675" i="9"/>
  <c r="B639" i="9"/>
  <c r="B806" i="9"/>
  <c r="AX806" i="9"/>
  <c r="A648" i="9"/>
  <c r="B646" i="9"/>
  <c r="A765" i="9"/>
  <c r="B666" i="9"/>
  <c r="A528" i="9"/>
  <c r="AX528" i="9"/>
  <c r="B508" i="9"/>
  <c r="B550" i="9"/>
  <c r="B527" i="9"/>
  <c r="B626" i="9"/>
  <c r="AX626" i="9"/>
  <c r="B576" i="9"/>
  <c r="AX576" i="9"/>
  <c r="B811" i="9"/>
  <c r="AX811" i="9"/>
  <c r="B751" i="9"/>
  <c r="AX775" i="9"/>
  <c r="B706" i="9"/>
  <c r="AX706" i="9"/>
  <c r="A701" i="9"/>
  <c r="AX701" i="9"/>
  <c r="B676" i="9"/>
  <c r="AX676" i="9"/>
  <c r="B671" i="9"/>
  <c r="AX671" i="9"/>
  <c r="B595" i="9"/>
  <c r="AX595" i="9"/>
  <c r="A542" i="9"/>
  <c r="AX542" i="9"/>
  <c r="B25" i="7"/>
  <c r="C25" i="7"/>
  <c r="O61" i="7"/>
  <c r="AX61" i="7"/>
  <c r="O30" i="7"/>
  <c r="AX30" i="7"/>
  <c r="C73" i="7"/>
  <c r="AX73" i="7"/>
  <c r="B67" i="7"/>
  <c r="AX67" i="7"/>
  <c r="B77" i="7"/>
  <c r="AX77" i="7"/>
  <c r="A25" i="7"/>
  <c r="AX25" i="7"/>
  <c r="A18" i="7"/>
  <c r="AX18" i="7"/>
  <c r="O29" i="7"/>
  <c r="AX29" i="7"/>
  <c r="O32" i="7"/>
  <c r="AX32" i="7"/>
  <c r="O76" i="7"/>
  <c r="AX76" i="7"/>
  <c r="B69" i="7"/>
  <c r="AX69" i="7"/>
  <c r="B21" i="7"/>
  <c r="AX21" i="7"/>
  <c r="O70" i="7"/>
  <c r="AX70" i="7"/>
  <c r="B75" i="7"/>
  <c r="AX75" i="7"/>
  <c r="O68" i="7"/>
  <c r="AX68" i="7"/>
  <c r="B31" i="7"/>
  <c r="AX31" i="7"/>
  <c r="B35" i="7"/>
  <c r="AX35" i="7"/>
  <c r="C78" i="7"/>
  <c r="AX78" i="7"/>
  <c r="A47" i="7"/>
  <c r="AX47" i="7"/>
  <c r="AX48" i="7"/>
  <c r="C24" i="7"/>
  <c r="AX24" i="7"/>
  <c r="B12" i="7"/>
  <c r="AX12" i="7"/>
  <c r="B27" i="7"/>
  <c r="AX27" i="7"/>
  <c r="B49" i="7"/>
  <c r="AX49" i="7"/>
  <c r="B20" i="7"/>
  <c r="AX20" i="7"/>
  <c r="O66" i="7"/>
  <c r="AX66" i="7"/>
  <c r="O34" i="7"/>
  <c r="AX34" i="7"/>
  <c r="B64" i="7"/>
  <c r="AX64" i="7"/>
  <c r="C44" i="7"/>
  <c r="AX44" i="7"/>
  <c r="A23" i="7"/>
  <c r="AX23" i="7"/>
  <c r="C72" i="7"/>
  <c r="AX72" i="7"/>
  <c r="C19" i="7"/>
  <c r="AX19" i="7"/>
  <c r="A28" i="7"/>
  <c r="AX28" i="7"/>
  <c r="B33" i="7"/>
  <c r="AX33" i="7"/>
  <c r="O43" i="7"/>
  <c r="AX43" i="7"/>
  <c r="O63" i="7"/>
  <c r="AX63" i="7"/>
  <c r="A45" i="7"/>
  <c r="AX45" i="7"/>
  <c r="O65" i="7"/>
  <c r="AX65" i="7"/>
  <c r="B62" i="7"/>
  <c r="AX62" i="7"/>
  <c r="B46" i="7"/>
  <c r="AX46" i="7"/>
  <c r="B65" i="7"/>
  <c r="B74" i="7"/>
  <c r="AX74" i="7"/>
  <c r="C71" i="7"/>
  <c r="AX71" i="7"/>
  <c r="O22" i="7"/>
  <c r="AX22" i="7"/>
  <c r="AX492" i="9"/>
  <c r="A485" i="1"/>
  <c r="AX485" i="1"/>
  <c r="A484" i="1"/>
  <c r="AX484" i="1"/>
  <c r="B486" i="1"/>
  <c r="AX486" i="1"/>
  <c r="A488" i="1"/>
  <c r="AX488" i="1"/>
  <c r="V489" i="1"/>
  <c r="AX489" i="1"/>
  <c r="B491" i="1"/>
  <c r="AX491" i="1"/>
  <c r="A490" i="1"/>
  <c r="AX490" i="1"/>
  <c r="B492" i="1"/>
  <c r="AX492" i="1"/>
  <c r="A49" i="7"/>
  <c r="A12" i="7"/>
  <c r="O28" i="7"/>
  <c r="C29" i="7"/>
  <c r="C35" i="7"/>
  <c r="A29" i="7"/>
  <c r="A72" i="7"/>
  <c r="A63" i="7"/>
  <c r="A35" i="7"/>
  <c r="A75" i="7"/>
  <c r="O75" i="7"/>
  <c r="B47" i="7"/>
  <c r="B29" i="7"/>
  <c r="B32" i="7"/>
  <c r="O47" i="7"/>
  <c r="C66" i="7"/>
  <c r="C67" i="7" s="1"/>
  <c r="C68" i="7" s="1"/>
  <c r="C62" i="7"/>
  <c r="A31" i="7"/>
  <c r="O48" i="7"/>
  <c r="A66" i="7"/>
  <c r="A69" i="7"/>
  <c r="B66" i="7"/>
  <c r="B48" i="7"/>
  <c r="O62" i="7"/>
  <c r="O49" i="7"/>
  <c r="A78" i="7"/>
  <c r="O31" i="7"/>
  <c r="O35" i="7"/>
  <c r="B73" i="7"/>
  <c r="B63" i="7"/>
  <c r="B28" i="7"/>
  <c r="O27" i="7"/>
  <c r="C69" i="7"/>
  <c r="A76" i="7"/>
  <c r="A46" i="7"/>
  <c r="O78" i="7"/>
  <c r="A33" i="7"/>
  <c r="C34" i="7"/>
  <c r="B72" i="7"/>
  <c r="C31" i="7"/>
  <c r="O71" i="7"/>
  <c r="B78" i="7"/>
  <c r="C28" i="7"/>
  <c r="A73" i="7"/>
  <c r="O46" i="7"/>
  <c r="B71" i="7"/>
  <c r="A34" i="7"/>
  <c r="O72" i="7"/>
  <c r="A64" i="7"/>
  <c r="O64" i="7"/>
  <c r="O74" i="7"/>
  <c r="C75" i="7"/>
  <c r="A67" i="7"/>
  <c r="A62" i="7"/>
  <c r="O33" i="7"/>
  <c r="A71" i="7"/>
  <c r="B34" i="7"/>
  <c r="O77" i="7"/>
  <c r="O67" i="7"/>
  <c r="C45" i="7"/>
  <c r="O69" i="7"/>
  <c r="B70" i="7"/>
  <c r="O44" i="7"/>
  <c r="O45" i="7"/>
  <c r="A70" i="7"/>
  <c r="O18" i="7"/>
  <c r="A44" i="7"/>
  <c r="O24" i="7"/>
  <c r="B61" i="7"/>
  <c r="A27" i="7"/>
  <c r="B43" i="7"/>
  <c r="C30" i="7"/>
  <c r="C63" i="7"/>
  <c r="A77" i="7"/>
  <c r="O20" i="7"/>
  <c r="B23" i="7"/>
  <c r="A20" i="7"/>
  <c r="C70" i="7"/>
  <c r="O12" i="7"/>
  <c r="C77" i="7"/>
  <c r="O21" i="7"/>
  <c r="A61" i="7"/>
  <c r="C23" i="7"/>
  <c r="B44" i="7"/>
  <c r="B45" i="7"/>
  <c r="A68" i="7"/>
  <c r="B68" i="7"/>
  <c r="O73" i="7"/>
  <c r="O23" i="7"/>
  <c r="A21" i="7"/>
  <c r="A43" i="7"/>
  <c r="B30" i="7"/>
  <c r="AX96" i="9"/>
  <c r="AX203" i="9"/>
  <c r="AX133" i="9"/>
  <c r="B484" i="1"/>
  <c r="B485" i="1"/>
  <c r="V485" i="1"/>
  <c r="AX148" i="9"/>
  <c r="AX236" i="9"/>
  <c r="AX212" i="9"/>
  <c r="V484" i="1"/>
  <c r="V492" i="1"/>
  <c r="AX199" i="9"/>
  <c r="AX44" i="9"/>
  <c r="AX453" i="9"/>
  <c r="AX232" i="9"/>
  <c r="AX72" i="9"/>
  <c r="AX493" i="9"/>
  <c r="V486" i="1"/>
  <c r="AX486" i="9"/>
  <c r="A486" i="1"/>
  <c r="A492" i="1"/>
  <c r="AX231" i="9"/>
  <c r="B488" i="1"/>
  <c r="V488" i="1"/>
  <c r="A772" i="9"/>
  <c r="B828" i="9"/>
  <c r="B749" i="9"/>
  <c r="B625" i="9"/>
  <c r="B752" i="9"/>
  <c r="B776" i="9"/>
  <c r="B792" i="9"/>
  <c r="A757" i="9"/>
  <c r="B744" i="9"/>
  <c r="B782" i="9"/>
  <c r="A753" i="9"/>
  <c r="B757" i="9"/>
  <c r="A744" i="9"/>
  <c r="A817" i="9"/>
  <c r="B830" i="9"/>
  <c r="B817" i="9"/>
  <c r="A611" i="9"/>
  <c r="B825" i="9"/>
  <c r="B753" i="9"/>
  <c r="B750" i="9"/>
  <c r="B772" i="9"/>
  <c r="A750" i="9"/>
  <c r="AX440" i="9"/>
  <c r="B489" i="1"/>
  <c r="A489" i="1"/>
  <c r="V491" i="1"/>
  <c r="A491" i="1"/>
  <c r="AX498" i="9"/>
  <c r="B483" i="1"/>
  <c r="A483" i="1"/>
  <c r="V483" i="1"/>
  <c r="V12" i="1"/>
  <c r="A12" i="1"/>
  <c r="B12" i="1"/>
  <c r="B490" i="1"/>
  <c r="V490" i="1"/>
  <c r="AX485" i="9"/>
  <c r="AX499" i="9"/>
  <c r="AX484" i="9"/>
  <c r="B487" i="1"/>
  <c r="V487" i="1"/>
  <c r="A487" i="1"/>
  <c r="AX490" i="9"/>
  <c r="B643" i="9"/>
  <c r="A806" i="9"/>
  <c r="A570" i="9"/>
  <c r="B536" i="9"/>
  <c r="A676" i="9"/>
  <c r="B528" i="9"/>
  <c r="A675" i="9"/>
  <c r="A626" i="9"/>
  <c r="A595" i="9"/>
  <c r="B727" i="9"/>
  <c r="A706" i="9"/>
  <c r="A535" i="9"/>
  <c r="A567" i="9"/>
  <c r="A727" i="9"/>
  <c r="B519" i="9"/>
  <c r="B704" i="9"/>
  <c r="A572" i="9"/>
  <c r="A551" i="9"/>
  <c r="B701" i="9"/>
  <c r="B780" i="9"/>
  <c r="B743" i="9"/>
  <c r="A592" i="9"/>
  <c r="A576" i="9"/>
  <c r="B793" i="9"/>
  <c r="A607" i="9"/>
  <c r="A547" i="9"/>
  <c r="A783" i="9"/>
  <c r="B814" i="9"/>
  <c r="B565" i="9"/>
  <c r="A780" i="9"/>
  <c r="B568" i="9"/>
  <c r="A636" i="9"/>
  <c r="A733" i="9"/>
  <c r="B733" i="9"/>
  <c r="A696" i="9"/>
  <c r="B696" i="9"/>
  <c r="B797" i="9"/>
  <c r="A797" i="9"/>
  <c r="B664" i="9"/>
  <c r="A664" i="9"/>
  <c r="A548" i="9"/>
  <c r="B548" i="9"/>
  <c r="A543" i="9"/>
  <c r="B543" i="9"/>
  <c r="A811" i="9"/>
  <c r="B579" i="9"/>
  <c r="A579" i="9"/>
  <c r="A574" i="9"/>
  <c r="B574" i="9"/>
  <c r="A559" i="9"/>
  <c r="B559" i="9"/>
  <c r="B609" i="9"/>
  <c r="B557" i="9"/>
  <c r="A557" i="9"/>
  <c r="B614" i="9"/>
  <c r="A614" i="9"/>
  <c r="B679" i="9"/>
  <c r="A679" i="9"/>
  <c r="A674" i="9"/>
  <c r="B674" i="9"/>
  <c r="B629" i="9"/>
  <c r="A629" i="9"/>
  <c r="B590" i="9"/>
  <c r="A665" i="9"/>
  <c r="B665" i="9"/>
  <c r="B835" i="9"/>
  <c r="A835" i="9"/>
  <c r="A832" i="9"/>
  <c r="A796" i="9"/>
  <c r="B796" i="9"/>
  <c r="B694" i="9"/>
  <c r="A694" i="9"/>
  <c r="B712" i="9"/>
  <c r="A712" i="9"/>
  <c r="AX805" i="9"/>
  <c r="B738" i="9"/>
  <c r="AX774" i="9"/>
  <c r="A795" i="9"/>
  <c r="B795" i="9"/>
  <c r="AX787" i="9"/>
  <c r="AX833" i="9"/>
  <c r="AX803" i="9"/>
  <c r="AX605" i="9"/>
  <c r="AX821" i="9"/>
  <c r="AX755" i="9"/>
  <c r="A693" i="9"/>
  <c r="B623" i="9"/>
  <c r="A623" i="9"/>
  <c r="A824" i="9"/>
  <c r="A737" i="9"/>
  <c r="A716" i="9"/>
  <c r="A724" i="9"/>
  <c r="A671" i="9"/>
  <c r="AX794" i="9"/>
  <c r="AX781" i="9"/>
  <c r="AX686" i="9"/>
  <c r="AX523" i="9"/>
  <c r="AX722" i="9"/>
  <c r="AX705" i="9"/>
  <c r="AX688" i="9"/>
  <c r="AX726" i="9"/>
  <c r="AX631" i="9"/>
  <c r="AX596" i="9"/>
  <c r="AX582" i="9"/>
  <c r="AX569" i="9"/>
  <c r="AX537" i="9"/>
  <c r="AX760" i="9"/>
  <c r="AX769" i="9"/>
  <c r="AX773" i="9"/>
  <c r="AX771" i="9"/>
  <c r="AX759" i="9"/>
  <c r="AX745" i="9"/>
  <c r="AX517" i="9"/>
  <c r="AX721" i="9"/>
  <c r="S492" i="1"/>
  <c r="U492" i="1"/>
  <c r="G19" i="8"/>
  <c r="T492" i="1"/>
  <c r="E13" i="7"/>
  <c r="L80" i="7"/>
  <c r="U11" i="14"/>
  <c r="U11" i="13"/>
  <c r="Z11" i="1"/>
  <c r="C46" i="7" l="1"/>
  <c r="C47" i="7" s="1"/>
  <c r="B63" i="15"/>
  <c r="A63" i="15"/>
  <c r="Q29" i="15"/>
  <c r="B29" i="15"/>
  <c r="C15" i="15"/>
  <c r="R15" i="15" s="1"/>
  <c r="R14" i="15"/>
  <c r="B14" i="15" s="1"/>
  <c r="A59" i="15"/>
  <c r="B59" i="15"/>
  <c r="A58" i="15"/>
  <c r="Q58" i="15"/>
  <c r="B58" i="15"/>
  <c r="B54" i="16"/>
  <c r="A54" i="16"/>
  <c r="A61" i="15"/>
  <c r="Q61" i="15"/>
  <c r="B52" i="15"/>
  <c r="A52" i="15"/>
  <c r="Q52" i="15"/>
  <c r="A69" i="13"/>
  <c r="B69" i="13"/>
  <c r="Q69" i="13"/>
  <c r="Q24" i="15"/>
  <c r="A24" i="15"/>
  <c r="B24" i="15"/>
  <c r="B73" i="15"/>
  <c r="Q73" i="15"/>
  <c r="Q40" i="15"/>
  <c r="A40" i="15"/>
  <c r="B40" i="15"/>
  <c r="Q76" i="14"/>
  <c r="A76" i="14"/>
  <c r="B76" i="14"/>
  <c r="B67" i="14"/>
  <c r="Q67" i="14"/>
  <c r="A67" i="14"/>
  <c r="Q56" i="14"/>
  <c r="A56" i="14"/>
  <c r="B56" i="14"/>
  <c r="B52" i="14"/>
  <c r="Q52" i="14"/>
  <c r="A52" i="14"/>
  <c r="A44" i="14"/>
  <c r="B44" i="14"/>
  <c r="Q44" i="14"/>
  <c r="A40" i="14"/>
  <c r="Q40" i="14"/>
  <c r="B40" i="14"/>
  <c r="Q38" i="14"/>
  <c r="A38" i="14"/>
  <c r="B38" i="14"/>
  <c r="A13" i="14"/>
  <c r="B13" i="14"/>
  <c r="Q13" i="14"/>
  <c r="A75" i="13"/>
  <c r="Q75" i="13"/>
  <c r="B75" i="13"/>
  <c r="Q60" i="13"/>
  <c r="B60" i="13"/>
  <c r="A60" i="13"/>
  <c r="B45" i="13"/>
  <c r="A45" i="13"/>
  <c r="Q45" i="13"/>
  <c r="A44" i="13"/>
  <c r="Q44" i="13"/>
  <c r="B44" i="13"/>
  <c r="B32" i="13"/>
  <c r="A32" i="13"/>
  <c r="Q32" i="13"/>
  <c r="A30" i="13"/>
  <c r="B30" i="13"/>
  <c r="Q30" i="13"/>
  <c r="A24" i="13"/>
  <c r="B24" i="13"/>
  <c r="Q24" i="13"/>
  <c r="B21" i="13"/>
  <c r="A21" i="13"/>
  <c r="Q21" i="13"/>
  <c r="Q76" i="11"/>
  <c r="B76" i="11"/>
  <c r="A76" i="11"/>
  <c r="Q75" i="11"/>
  <c r="A75" i="11"/>
  <c r="B75" i="11"/>
  <c r="A74" i="11"/>
  <c r="Q74" i="11"/>
  <c r="B74" i="11"/>
  <c r="B72" i="11"/>
  <c r="A72" i="11"/>
  <c r="Q72" i="11"/>
  <c r="A70" i="11"/>
  <c r="Q70" i="11"/>
  <c r="B70" i="11"/>
  <c r="B69" i="11"/>
  <c r="Q69" i="11"/>
  <c r="A69" i="11"/>
  <c r="Q65" i="11"/>
  <c r="A65" i="11"/>
  <c r="B65" i="11"/>
  <c r="Q59" i="11"/>
  <c r="A59" i="11"/>
  <c r="B59" i="11"/>
  <c r="B50" i="11"/>
  <c r="Q50" i="11"/>
  <c r="A50" i="11"/>
  <c r="B48" i="11"/>
  <c r="Q48" i="11"/>
  <c r="A48" i="11"/>
  <c r="B45" i="11"/>
  <c r="Q45" i="11"/>
  <c r="A45" i="11"/>
  <c r="Q37" i="11"/>
  <c r="A37" i="11"/>
  <c r="B37" i="11"/>
  <c r="A27" i="11"/>
  <c r="B27" i="11"/>
  <c r="Q27" i="11"/>
  <c r="B49" i="18"/>
  <c r="Q49" i="18"/>
  <c r="A49" i="18"/>
  <c r="Q37" i="18"/>
  <c r="B37" i="18"/>
  <c r="A37" i="18"/>
  <c r="B32" i="18"/>
  <c r="A32" i="18"/>
  <c r="Q31" i="18"/>
  <c r="A31" i="18"/>
  <c r="B31" i="18"/>
  <c r="A30" i="18"/>
  <c r="Q30" i="18"/>
  <c r="B30" i="18"/>
  <c r="A28" i="18"/>
  <c r="Q28" i="18"/>
  <c r="Q27" i="18"/>
  <c r="B27" i="18"/>
  <c r="A27" i="18"/>
  <c r="B24" i="18"/>
  <c r="Q24" i="18"/>
  <c r="A24" i="18"/>
  <c r="Q23" i="18"/>
  <c r="A23" i="18"/>
  <c r="B23" i="18"/>
  <c r="B14" i="18"/>
  <c r="A14" i="18"/>
  <c r="Q14" i="18"/>
  <c r="Q66" i="16"/>
  <c r="B66" i="16"/>
  <c r="A66" i="16"/>
  <c r="A53" i="16"/>
  <c r="B53" i="16"/>
  <c r="B43" i="16"/>
  <c r="Q43" i="16"/>
  <c r="A43" i="16"/>
  <c r="Q42" i="16"/>
  <c r="B42" i="16"/>
  <c r="B30" i="15"/>
  <c r="A30" i="15"/>
  <c r="Q57" i="14"/>
  <c r="A57" i="14"/>
  <c r="B57" i="14"/>
  <c r="Q67" i="13"/>
  <c r="B67" i="13"/>
  <c r="Q54" i="13"/>
  <c r="B54" i="13"/>
  <c r="A54" i="13"/>
  <c r="Q33" i="11"/>
  <c r="A33" i="11"/>
  <c r="Q32" i="15"/>
  <c r="A32" i="15"/>
  <c r="B32" i="15"/>
  <c r="B69" i="15"/>
  <c r="Q69" i="15"/>
  <c r="A69" i="15"/>
  <c r="B45" i="15"/>
  <c r="Q45" i="15"/>
  <c r="A45" i="15"/>
  <c r="B35" i="15"/>
  <c r="A35" i="15"/>
  <c r="Q35" i="15"/>
  <c r="S13" i="15"/>
  <c r="Y14" i="15"/>
  <c r="Q13" i="15"/>
  <c r="A13" i="15"/>
  <c r="B13" i="15"/>
  <c r="Q74" i="14"/>
  <c r="A74" i="14"/>
  <c r="B74" i="14"/>
  <c r="Q73" i="14"/>
  <c r="B73" i="14"/>
  <c r="A73" i="14"/>
  <c r="A71" i="14"/>
  <c r="B71" i="14"/>
  <c r="Q71" i="14"/>
  <c r="A70" i="14"/>
  <c r="B70" i="14"/>
  <c r="Q70" i="14"/>
  <c r="B65" i="14"/>
  <c r="Q65" i="14"/>
  <c r="A65" i="14"/>
  <c r="Q62" i="14"/>
  <c r="A62" i="14"/>
  <c r="B62" i="14"/>
  <c r="A60" i="14"/>
  <c r="Q60" i="14"/>
  <c r="B60" i="14"/>
  <c r="Q58" i="14"/>
  <c r="B58" i="14"/>
  <c r="A55" i="14"/>
  <c r="Q55" i="14"/>
  <c r="B55" i="14"/>
  <c r="B53" i="14"/>
  <c r="A53" i="14"/>
  <c r="Q53" i="14"/>
  <c r="B42" i="14"/>
  <c r="A42" i="14"/>
  <c r="R14" i="14"/>
  <c r="Y14" i="14"/>
  <c r="C15" i="14"/>
  <c r="S13" i="14"/>
  <c r="Q73" i="11"/>
  <c r="A73" i="11"/>
  <c r="B73" i="11"/>
  <c r="A71" i="11"/>
  <c r="B71" i="11"/>
  <c r="Q63" i="11"/>
  <c r="A63" i="11"/>
  <c r="A57" i="11"/>
  <c r="B57" i="11"/>
  <c r="Q57" i="11"/>
  <c r="A39" i="11"/>
  <c r="Q39" i="11"/>
  <c r="B39" i="11"/>
  <c r="B45" i="14"/>
  <c r="A45" i="14"/>
  <c r="Q45" i="14"/>
  <c r="A47" i="14"/>
  <c r="Q47" i="14"/>
  <c r="B47" i="14"/>
  <c r="B38" i="13"/>
  <c r="Q38" i="13"/>
  <c r="A38" i="13"/>
  <c r="A28" i="15"/>
  <c r="B28" i="15"/>
  <c r="Q28" i="15"/>
  <c r="B15" i="15"/>
  <c r="A15" i="15"/>
  <c r="Q15" i="15"/>
  <c r="A14" i="1"/>
  <c r="V14" i="1"/>
  <c r="AX14" i="1"/>
  <c r="D13" i="9" a="1"/>
  <c r="S103" i="9"/>
  <c r="R103" i="9" s="1"/>
  <c r="C103" i="9" a="1"/>
  <c r="S102" i="9"/>
  <c r="R102" i="9" s="1"/>
  <c r="C102" i="9" a="1"/>
  <c r="Q60" i="11"/>
  <c r="B38" i="11"/>
  <c r="A40" i="16"/>
  <c r="B40" i="16"/>
  <c r="A58" i="11"/>
  <c r="Q53" i="18"/>
  <c r="B53" i="18"/>
  <c r="A53" i="18"/>
  <c r="Q14" i="17"/>
  <c r="A53" i="17"/>
  <c r="Q58" i="17"/>
  <c r="Q38" i="11"/>
  <c r="B58" i="17"/>
  <c r="B55" i="18"/>
  <c r="A55" i="18"/>
  <c r="Q55" i="18"/>
  <c r="V13" i="1"/>
  <c r="AX13" i="1"/>
  <c r="B13" i="1"/>
  <c r="A134" i="9"/>
  <c r="B67" i="18"/>
  <c r="A67" i="18"/>
  <c r="Q67" i="18"/>
  <c r="A60" i="18"/>
  <c r="Q60" i="18"/>
  <c r="B60" i="18"/>
  <c r="Q40" i="18"/>
  <c r="B40" i="18"/>
  <c r="A40" i="18"/>
  <c r="A41" i="18"/>
  <c r="Q41" i="18"/>
  <c r="B41" i="18"/>
  <c r="Q26" i="18"/>
  <c r="B26" i="18"/>
  <c r="A26" i="18"/>
  <c r="A54" i="18"/>
  <c r="B54" i="18"/>
  <c r="Q54" i="18"/>
  <c r="Q15" i="18"/>
  <c r="B15" i="18"/>
  <c r="A15" i="18"/>
  <c r="B57" i="18"/>
  <c r="A57" i="18"/>
  <c r="Q57" i="18"/>
  <c r="B47" i="18"/>
  <c r="A47" i="18"/>
  <c r="Q47" i="18"/>
  <c r="A25" i="18"/>
  <c r="B25" i="18"/>
  <c r="Q25" i="18"/>
  <c r="B66" i="18"/>
  <c r="Q66" i="18"/>
  <c r="A66" i="18"/>
  <c r="Y16" i="18"/>
  <c r="S15" i="18"/>
  <c r="C17" i="18"/>
  <c r="R16" i="18"/>
  <c r="B42" i="18"/>
  <c r="A42" i="18"/>
  <c r="Q42" i="18"/>
  <c r="A13" i="18"/>
  <c r="Q13" i="18"/>
  <c r="B13" i="18"/>
  <c r="A73" i="18"/>
  <c r="Q73" i="18"/>
  <c r="B73" i="18"/>
  <c r="B38" i="18"/>
  <c r="A38" i="18"/>
  <c r="Q38" i="18"/>
  <c r="B61" i="18"/>
  <c r="Q61" i="18"/>
  <c r="A61" i="18"/>
  <c r="Q74" i="18"/>
  <c r="A74" i="18"/>
  <c r="B74" i="18"/>
  <c r="B20" i="18"/>
  <c r="A20" i="18"/>
  <c r="Q20" i="18"/>
  <c r="B44" i="18"/>
  <c r="A44" i="18"/>
  <c r="Q44" i="18"/>
  <c r="B64" i="18"/>
  <c r="Q64" i="18"/>
  <c r="A64" i="18"/>
  <c r="A48" i="15"/>
  <c r="B48" i="15"/>
  <c r="Q48" i="15"/>
  <c r="A66" i="15"/>
  <c r="Q66" i="15"/>
  <c r="B66" i="15"/>
  <c r="Y15" i="17"/>
  <c r="B15" i="17"/>
  <c r="Q53" i="17"/>
  <c r="S14" i="17"/>
  <c r="B29" i="17"/>
  <c r="A55" i="17"/>
  <c r="A54" i="17"/>
  <c r="A68" i="17"/>
  <c r="R16" i="17"/>
  <c r="B16" i="17" s="1"/>
  <c r="Q68" i="17"/>
  <c r="Q55" i="17"/>
  <c r="Q29" i="17"/>
  <c r="A49" i="17"/>
  <c r="Q49" i="17"/>
  <c r="Q59" i="17"/>
  <c r="A59" i="17"/>
  <c r="B76" i="17"/>
  <c r="Q76" i="17"/>
  <c r="A47" i="17"/>
  <c r="B47" i="17"/>
  <c r="Q47" i="17"/>
  <c r="B52" i="17"/>
  <c r="Y17" i="17"/>
  <c r="R17" i="17"/>
  <c r="B17" i="17" s="1"/>
  <c r="S16" i="17"/>
  <c r="C18" i="17"/>
  <c r="R18" i="17" s="1"/>
  <c r="B62" i="17"/>
  <c r="Q62" i="17"/>
  <c r="A41" i="17"/>
  <c r="B41" i="17"/>
  <c r="Q41" i="17"/>
  <c r="A62" i="17"/>
  <c r="B46" i="17"/>
  <c r="B71" i="17"/>
  <c r="A71" i="17"/>
  <c r="Q71" i="17"/>
  <c r="Q30" i="17"/>
  <c r="Q46" i="17"/>
  <c r="A34" i="17"/>
  <c r="B34" i="17"/>
  <c r="Q34" i="17"/>
  <c r="Q31" i="17"/>
  <c r="S15" i="17"/>
  <c r="B30" i="17"/>
  <c r="A35" i="17"/>
  <c r="Q35" i="17"/>
  <c r="B35" i="17"/>
  <c r="B57" i="17"/>
  <c r="A57" i="17"/>
  <c r="Q57" i="17"/>
  <c r="A51" i="17"/>
  <c r="Q51" i="17"/>
  <c r="B51" i="17"/>
  <c r="B32" i="16"/>
  <c r="A32" i="16"/>
  <c r="B46" i="16"/>
  <c r="A46" i="16"/>
  <c r="Q46" i="16"/>
  <c r="B28" i="16"/>
  <c r="A28" i="16"/>
  <c r="Q28" i="16"/>
  <c r="B34" i="16"/>
  <c r="Q34" i="16"/>
  <c r="A34" i="16"/>
  <c r="A48" i="17"/>
  <c r="Q48" i="17"/>
  <c r="B48" i="17"/>
  <c r="Q33" i="17"/>
  <c r="B33" i="17"/>
  <c r="A33" i="17"/>
  <c r="B72" i="17"/>
  <c r="A72" i="17"/>
  <c r="Q72" i="17"/>
  <c r="Y18" i="17"/>
  <c r="B50" i="17"/>
  <c r="A50" i="17"/>
  <c r="Q50" i="17"/>
  <c r="B73" i="17"/>
  <c r="A73" i="17"/>
  <c r="Q73" i="17"/>
  <c r="A74" i="17"/>
  <c r="B74" i="17"/>
  <c r="Q74" i="17"/>
  <c r="A28" i="17"/>
  <c r="Q28" i="17"/>
  <c r="B28" i="17"/>
  <c r="B67" i="17"/>
  <c r="A67" i="17"/>
  <c r="Q67" i="17"/>
  <c r="Q27" i="17"/>
  <c r="B27" i="17"/>
  <c r="A27" i="17"/>
  <c r="Q56" i="17"/>
  <c r="A56" i="17"/>
  <c r="B56" i="17"/>
  <c r="A26" i="17"/>
  <c r="Q26" i="17"/>
  <c r="B26" i="17"/>
  <c r="Q13" i="17"/>
  <c r="A13" i="17"/>
  <c r="B13" i="17"/>
  <c r="Q47" i="16"/>
  <c r="B47" i="16"/>
  <c r="A47" i="16"/>
  <c r="A72" i="16"/>
  <c r="B72" i="16"/>
  <c r="Q72" i="16"/>
  <c r="B31" i="16"/>
  <c r="A31" i="16"/>
  <c r="Q74" i="16"/>
  <c r="B74" i="16"/>
  <c r="A74" i="16"/>
  <c r="B67" i="16"/>
  <c r="A67" i="16"/>
  <c r="Q67" i="16"/>
  <c r="Y16" i="16"/>
  <c r="S15" i="16"/>
  <c r="R16" i="16"/>
  <c r="B30" i="16"/>
  <c r="A30" i="16"/>
  <c r="Q30" i="16"/>
  <c r="Q73" i="16"/>
  <c r="B73" i="16"/>
  <c r="A73" i="16"/>
  <c r="C17" i="16"/>
  <c r="C18" i="16" s="1"/>
  <c r="Q15" i="16"/>
  <c r="B15" i="16"/>
  <c r="A15" i="16"/>
  <c r="B14" i="16"/>
  <c r="A14" i="16"/>
  <c r="Q14" i="16"/>
  <c r="B27" i="16"/>
  <c r="Q27" i="16"/>
  <c r="A27" i="16"/>
  <c r="A27" i="15"/>
  <c r="B43" i="15"/>
  <c r="A29" i="15"/>
  <c r="Q46" i="15"/>
  <c r="B46" i="15"/>
  <c r="A46" i="15"/>
  <c r="B75" i="15"/>
  <c r="Q75" i="15"/>
  <c r="Q14" i="15"/>
  <c r="A57" i="15"/>
  <c r="Q27" i="15"/>
  <c r="Q57" i="15"/>
  <c r="B65" i="15"/>
  <c r="Q65" i="15"/>
  <c r="Q49" i="15"/>
  <c r="A49" i="15"/>
  <c r="B36" i="15"/>
  <c r="A36" i="15"/>
  <c r="Q36" i="15"/>
  <c r="C16" i="15"/>
  <c r="A14" i="15"/>
  <c r="Y15" i="15"/>
  <c r="B34" i="15"/>
  <c r="Q34" i="15"/>
  <c r="S14" i="15"/>
  <c r="B72" i="15"/>
  <c r="Q72" i="15"/>
  <c r="A72" i="15"/>
  <c r="Q41" i="15"/>
  <c r="B41" i="15"/>
  <c r="A41" i="15"/>
  <c r="A53" i="15"/>
  <c r="B53" i="15"/>
  <c r="Q53" i="15"/>
  <c r="B25" i="15"/>
  <c r="A25" i="15"/>
  <c r="Q25" i="15"/>
  <c r="Q50" i="15"/>
  <c r="A50" i="15"/>
  <c r="B50" i="15"/>
  <c r="Q47" i="15"/>
  <c r="A47" i="15"/>
  <c r="B47" i="15"/>
  <c r="Q50" i="14"/>
  <c r="A48" i="14"/>
  <c r="Q48" i="14"/>
  <c r="Q37" i="14"/>
  <c r="B37" i="14"/>
  <c r="A37" i="14"/>
  <c r="B48" i="14"/>
  <c r="B50" i="14"/>
  <c r="B35" i="14"/>
  <c r="B75" i="14"/>
  <c r="A66" i="14"/>
  <c r="B66" i="14"/>
  <c r="Q66" i="14"/>
  <c r="A75" i="14"/>
  <c r="B43" i="14"/>
  <c r="A43" i="14"/>
  <c r="B41" i="14"/>
  <c r="Q41" i="14"/>
  <c r="A41" i="14"/>
  <c r="A61" i="14"/>
  <c r="Q61" i="14"/>
  <c r="B61" i="14"/>
  <c r="A54" i="14"/>
  <c r="B54" i="14"/>
  <c r="Q54" i="14"/>
  <c r="A51" i="14"/>
  <c r="Q51" i="14"/>
  <c r="B51" i="14"/>
  <c r="A34" i="14"/>
  <c r="Q34" i="14"/>
  <c r="A72" i="14"/>
  <c r="Q72" i="14"/>
  <c r="B72" i="14"/>
  <c r="A36" i="14"/>
  <c r="Q36" i="14"/>
  <c r="B36" i="14"/>
  <c r="Q49" i="14"/>
  <c r="A49" i="14"/>
  <c r="B49" i="14"/>
  <c r="Q69" i="14"/>
  <c r="B69" i="14"/>
  <c r="A69" i="14"/>
  <c r="Q46" i="14"/>
  <c r="A46" i="14"/>
  <c r="B46" i="14"/>
  <c r="Q28" i="13"/>
  <c r="B28" i="13"/>
  <c r="A28" i="13"/>
  <c r="Q33" i="13"/>
  <c r="Q22" i="13"/>
  <c r="A27" i="13"/>
  <c r="A48" i="13"/>
  <c r="Q48" i="13"/>
  <c r="B48" i="13"/>
  <c r="A22" i="13"/>
  <c r="B56" i="13"/>
  <c r="A56" i="13"/>
  <c r="Q56" i="13"/>
  <c r="Q27" i="13"/>
  <c r="A72" i="13"/>
  <c r="Q72" i="13"/>
  <c r="B46" i="13"/>
  <c r="A46" i="13"/>
  <c r="Q46" i="13"/>
  <c r="B66" i="11"/>
  <c r="Q66" i="11"/>
  <c r="A30" i="11"/>
  <c r="Q30" i="11"/>
  <c r="AX182" i="9"/>
  <c r="A76" i="9"/>
  <c r="Y15" i="11"/>
  <c r="B14" i="11"/>
  <c r="Q14" i="11"/>
  <c r="A14" i="11"/>
  <c r="A36" i="11"/>
  <c r="B36" i="11"/>
  <c r="A33" i="13"/>
  <c r="Q64" i="13"/>
  <c r="B64" i="13"/>
  <c r="A64" i="13"/>
  <c r="Q52" i="13"/>
  <c r="B52" i="13"/>
  <c r="A52" i="13"/>
  <c r="S15" i="13"/>
  <c r="Y16" i="13"/>
  <c r="R16" i="13"/>
  <c r="Q66" i="13"/>
  <c r="B66" i="13"/>
  <c r="A66" i="13"/>
  <c r="Q65" i="13"/>
  <c r="A65" i="13"/>
  <c r="B65" i="13"/>
  <c r="C17" i="13"/>
  <c r="Q57" i="13"/>
  <c r="B57" i="13"/>
  <c r="A57" i="13"/>
  <c r="A36" i="13"/>
  <c r="Q36" i="13"/>
  <c r="B36" i="13"/>
  <c r="B37" i="13"/>
  <c r="Q37" i="13"/>
  <c r="A37" i="13"/>
  <c r="Q76" i="13"/>
  <c r="B76" i="13"/>
  <c r="A76" i="13"/>
  <c r="A23" i="13"/>
  <c r="B23" i="13"/>
  <c r="Q23" i="13"/>
  <c r="A74" i="13"/>
  <c r="B74" i="13"/>
  <c r="Q74" i="13"/>
  <c r="B15" i="13"/>
  <c r="A15" i="13"/>
  <c r="Q15" i="13"/>
  <c r="A62" i="13"/>
  <c r="B62" i="13"/>
  <c r="Q62" i="13"/>
  <c r="A41" i="13"/>
  <c r="Q41" i="13"/>
  <c r="B41" i="13"/>
  <c r="B61" i="13"/>
  <c r="A61" i="13"/>
  <c r="Q61" i="13"/>
  <c r="A50" i="13"/>
  <c r="B50" i="13"/>
  <c r="Q50" i="13"/>
  <c r="B14" i="13"/>
  <c r="A14" i="13"/>
  <c r="Q14" i="13"/>
  <c r="B49" i="13"/>
  <c r="Q49" i="13"/>
  <c r="A49" i="13"/>
  <c r="B35" i="13"/>
  <c r="A35" i="13"/>
  <c r="Q35" i="13"/>
  <c r="B31" i="13"/>
  <c r="A31" i="13"/>
  <c r="Q31" i="13"/>
  <c r="B73" i="13"/>
  <c r="A73" i="13"/>
  <c r="Q73" i="13"/>
  <c r="S14" i="11"/>
  <c r="B68" i="11"/>
  <c r="A68" i="11"/>
  <c r="Q68" i="11"/>
  <c r="B13" i="11"/>
  <c r="A13" i="11"/>
  <c r="Q13" i="11"/>
  <c r="Q54" i="11"/>
  <c r="A54" i="11"/>
  <c r="B54" i="11"/>
  <c r="B379" i="9"/>
  <c r="B187" i="9"/>
  <c r="AX483" i="9"/>
  <c r="AX42" i="9"/>
  <c r="B483" i="9"/>
  <c r="A121" i="9"/>
  <c r="B355" i="9"/>
  <c r="A100" i="9"/>
  <c r="A487" i="9"/>
  <c r="B487" i="9"/>
  <c r="A88" i="9"/>
  <c r="AX84" i="9"/>
  <c r="A94" i="9"/>
  <c r="A374" i="9"/>
  <c r="AX25" i="9"/>
  <c r="A104" i="9"/>
  <c r="AX65" i="9"/>
  <c r="AX109" i="9"/>
  <c r="A143" i="9"/>
  <c r="AX180" i="9"/>
  <c r="B62" i="11"/>
  <c r="A62" i="11"/>
  <c r="Q62" i="11"/>
  <c r="A64" i="11"/>
  <c r="B64" i="11"/>
  <c r="Q64" i="11"/>
  <c r="Q61" i="11"/>
  <c r="A61" i="11"/>
  <c r="B61" i="11"/>
  <c r="Y17" i="11"/>
  <c r="R17" i="11"/>
  <c r="S16" i="11"/>
  <c r="Q26" i="11"/>
  <c r="B26" i="11"/>
  <c r="A26" i="11"/>
  <c r="B29" i="11"/>
  <c r="A29" i="11"/>
  <c r="Q29" i="11"/>
  <c r="A44" i="11"/>
  <c r="Q44" i="11"/>
  <c r="B44" i="11"/>
  <c r="Q52" i="11"/>
  <c r="A52" i="11"/>
  <c r="B52" i="11"/>
  <c r="Q40" i="11"/>
  <c r="B40" i="11"/>
  <c r="A40" i="11"/>
  <c r="A28" i="11"/>
  <c r="Q28" i="11"/>
  <c r="B28" i="11"/>
  <c r="B21" i="11"/>
  <c r="A21" i="11"/>
  <c r="Q21" i="11"/>
  <c r="B47" i="11"/>
  <c r="Q47" i="11"/>
  <c r="A47" i="11"/>
  <c r="Q20" i="11"/>
  <c r="B20" i="11"/>
  <c r="A20" i="11"/>
  <c r="R16" i="11"/>
  <c r="S15" i="11"/>
  <c r="Y16" i="11"/>
  <c r="B15" i="11"/>
  <c r="A15" i="11"/>
  <c r="Q15" i="11"/>
  <c r="Q41" i="11"/>
  <c r="B41" i="11"/>
  <c r="A41" i="11"/>
  <c r="B25" i="11"/>
  <c r="A25" i="11"/>
  <c r="Q25" i="11"/>
  <c r="C18" i="11"/>
  <c r="C19" i="11" s="1"/>
  <c r="B492" i="9"/>
  <c r="A492" i="9"/>
  <c r="B89" i="9"/>
  <c r="AX89" i="9"/>
  <c r="A494" i="9"/>
  <c r="AX494" i="9"/>
  <c r="AX41" i="9"/>
  <c r="B58" i="9"/>
  <c r="AX58" i="9"/>
  <c r="A343" i="9"/>
  <c r="AX343" i="9"/>
  <c r="A68" i="9"/>
  <c r="AX68" i="9"/>
  <c r="A496" i="9"/>
  <c r="AX496" i="9"/>
  <c r="B126" i="9"/>
  <c r="AX126" i="9"/>
  <c r="AX124" i="9"/>
  <c r="A114" i="9"/>
  <c r="AX114" i="9"/>
  <c r="A489" i="9"/>
  <c r="AX489" i="9"/>
  <c r="A47" i="9"/>
  <c r="AX47" i="9"/>
  <c r="A488" i="9"/>
  <c r="AX488" i="9"/>
  <c r="A215" i="9"/>
  <c r="AX215" i="9"/>
  <c r="B118" i="9"/>
  <c r="AX118" i="9"/>
  <c r="A35" i="9"/>
  <c r="AX35" i="9"/>
  <c r="B325" i="9"/>
  <c r="AX325" i="9"/>
  <c r="A74" i="9"/>
  <c r="AX74" i="9"/>
  <c r="B285" i="9"/>
  <c r="AX285" i="9"/>
  <c r="A461" i="9"/>
  <c r="AX461" i="9"/>
  <c r="B146" i="9"/>
  <c r="AX146" i="9"/>
  <c r="B250" i="9"/>
  <c r="AX250" i="9"/>
  <c r="AX497" i="9"/>
  <c r="B287" i="9"/>
  <c r="AX287" i="9"/>
  <c r="AX64" i="9"/>
  <c r="AX219" i="9"/>
  <c r="B48" i="9"/>
  <c r="AX48" i="9"/>
  <c r="A120" i="9"/>
  <c r="AX120" i="9"/>
  <c r="B380" i="9"/>
  <c r="AX380" i="9"/>
  <c r="AX491" i="9"/>
  <c r="A57" i="9"/>
  <c r="AX57" i="9"/>
  <c r="AX53" i="9"/>
  <c r="A174" i="9"/>
  <c r="AX174" i="9"/>
  <c r="AX113" i="9"/>
  <c r="B495" i="9"/>
  <c r="AX495" i="9"/>
  <c r="B192" i="9"/>
  <c r="A497" i="9"/>
  <c r="B217" i="9"/>
  <c r="AX205" i="9"/>
  <c r="A51" i="9"/>
  <c r="A99" i="9"/>
  <c r="B497" i="9"/>
  <c r="A229" i="9"/>
  <c r="B168" i="9"/>
  <c r="B240" i="9"/>
  <c r="A23" i="9"/>
  <c r="B290" i="9"/>
  <c r="AX437" i="9"/>
  <c r="B37" i="9"/>
  <c r="B494" i="9"/>
  <c r="AX303" i="9"/>
  <c r="A95" i="9"/>
  <c r="A495" i="9"/>
  <c r="B417" i="9"/>
  <c r="AX101" i="9"/>
  <c r="B349" i="9"/>
  <c r="B324" i="9"/>
  <c r="A48" i="9"/>
  <c r="A41" i="9"/>
  <c r="AX49" i="9"/>
  <c r="A118" i="9"/>
  <c r="A162" i="9"/>
  <c r="A438" i="9"/>
  <c r="AX27" i="9"/>
  <c r="AX132" i="9"/>
  <c r="A219" i="9"/>
  <c r="B461" i="9"/>
  <c r="B41" i="9"/>
  <c r="A345" i="9"/>
  <c r="A325" i="9"/>
  <c r="AX165" i="9"/>
  <c r="B219" i="9"/>
  <c r="A24" i="9"/>
  <c r="AX220" i="9"/>
  <c r="A214" i="9"/>
  <c r="B212" i="9"/>
  <c r="A53" i="9"/>
  <c r="AX450" i="9"/>
  <c r="B215" i="9"/>
  <c r="B114" i="9"/>
  <c r="B53" i="9"/>
  <c r="A199" i="9"/>
  <c r="B199" i="9"/>
  <c r="AX163" i="9"/>
  <c r="B44" i="9"/>
  <c r="A44" i="9"/>
  <c r="AX258" i="9"/>
  <c r="AX200" i="9"/>
  <c r="AX348" i="9"/>
  <c r="AX392" i="9"/>
  <c r="B96" i="9"/>
  <c r="A96" i="9"/>
  <c r="B489" i="9"/>
  <c r="B174" i="9"/>
  <c r="A250" i="9"/>
  <c r="AX320" i="9"/>
  <c r="AX480" i="9"/>
  <c r="B343" i="9"/>
  <c r="AX161" i="9"/>
  <c r="AX227" i="9"/>
  <c r="A491" i="9"/>
  <c r="B68" i="9"/>
  <c r="B148" i="9"/>
  <c r="A148" i="9"/>
  <c r="A58" i="9"/>
  <c r="B35" i="9"/>
  <c r="AX462" i="9"/>
  <c r="AX201" i="9"/>
  <c r="AX98" i="9"/>
  <c r="AX191" i="9"/>
  <c r="AX314" i="9"/>
  <c r="AX32" i="9"/>
  <c r="B124" i="9"/>
  <c r="AX70" i="9"/>
  <c r="A287" i="9"/>
  <c r="AX256" i="9"/>
  <c r="AX73" i="9"/>
  <c r="B120" i="9"/>
  <c r="B74" i="9"/>
  <c r="A212" i="9"/>
  <c r="B488" i="9"/>
  <c r="A285" i="9"/>
  <c r="A126" i="9"/>
  <c r="A89" i="9"/>
  <c r="B491" i="9"/>
  <c r="AX196" i="9"/>
  <c r="A72" i="9"/>
  <c r="B72" i="9"/>
  <c r="B496" i="9"/>
  <c r="A146" i="9"/>
  <c r="A124" i="9"/>
  <c r="AX386" i="9"/>
  <c r="B133" i="9"/>
  <c r="A133" i="9"/>
  <c r="A493" i="9"/>
  <c r="B493" i="9"/>
  <c r="AX225" i="9"/>
  <c r="AX80" i="9"/>
  <c r="B57" i="9"/>
  <c r="A113" i="9"/>
  <c r="B113" i="9"/>
  <c r="AX354" i="9"/>
  <c r="AX432" i="9"/>
  <c r="B64" i="9"/>
  <c r="A64" i="9"/>
  <c r="B203" i="9"/>
  <c r="A203" i="9"/>
  <c r="AX263" i="9"/>
  <c r="AX305" i="9"/>
  <c r="AX248" i="9"/>
  <c r="AX266" i="9"/>
  <c r="A486" i="9"/>
  <c r="B486" i="9"/>
  <c r="AX172" i="9"/>
  <c r="A232" i="9"/>
  <c r="B232" i="9"/>
  <c r="AX376" i="9"/>
  <c r="AX46" i="9"/>
  <c r="AX233" i="9"/>
  <c r="AX458" i="9"/>
  <c r="AX327" i="9"/>
  <c r="B231" i="9"/>
  <c r="A231" i="9"/>
  <c r="AX363" i="9"/>
  <c r="AX166" i="9"/>
  <c r="AX409" i="9"/>
  <c r="A427" i="9"/>
  <c r="B427" i="9"/>
  <c r="AX145" i="9"/>
  <c r="AX141" i="9"/>
  <c r="AX206" i="9"/>
  <c r="AX136" i="9"/>
  <c r="AX370" i="9"/>
  <c r="AX36" i="9"/>
  <c r="B440" i="9"/>
  <c r="A440" i="9"/>
  <c r="AX366" i="9"/>
  <c r="AX56" i="9"/>
  <c r="AX426" i="9"/>
  <c r="AX396" i="9"/>
  <c r="AX152" i="9"/>
  <c r="AX357" i="9"/>
  <c r="AX463" i="9"/>
  <c r="AX83" i="9"/>
  <c r="AX439" i="9"/>
  <c r="AX40" i="9"/>
  <c r="AX159" i="9"/>
  <c r="AX382" i="9"/>
  <c r="AX296" i="9"/>
  <c r="AX270" i="9"/>
  <c r="B236" i="9"/>
  <c r="A236" i="9"/>
  <c r="AX457" i="9"/>
  <c r="AX446" i="9"/>
  <c r="A453" i="9"/>
  <c r="B453" i="9"/>
  <c r="AX106" i="9"/>
  <c r="A484" i="9"/>
  <c r="B484" i="9"/>
  <c r="A498" i="9"/>
  <c r="B498" i="9"/>
  <c r="A380" i="9"/>
  <c r="AX469" i="9"/>
  <c r="AX342" i="9"/>
  <c r="AX128" i="9"/>
  <c r="B47" i="9"/>
  <c r="B499" i="9"/>
  <c r="A499" i="9"/>
  <c r="A485" i="9"/>
  <c r="B485" i="9"/>
  <c r="AX277" i="9"/>
  <c r="AX245" i="9"/>
  <c r="AX281" i="9"/>
  <c r="AX160" i="9"/>
  <c r="AX207" i="9"/>
  <c r="AX33" i="9"/>
  <c r="AX119" i="9"/>
  <c r="AX307" i="9"/>
  <c r="AX218" i="9"/>
  <c r="AX86" i="9"/>
  <c r="AX420" i="9"/>
  <c r="AX93" i="9"/>
  <c r="A490" i="9"/>
  <c r="B490" i="9"/>
  <c r="A773" i="9"/>
  <c r="B773" i="9"/>
  <c r="A794" i="9"/>
  <c r="B794" i="9"/>
  <c r="B726" i="9"/>
  <c r="A726" i="9"/>
  <c r="B721" i="9"/>
  <c r="A721" i="9"/>
  <c r="A769" i="9"/>
  <c r="B769" i="9"/>
  <c r="B605" i="9"/>
  <c r="A605" i="9"/>
  <c r="A760" i="9"/>
  <c r="B760" i="9"/>
  <c r="B803" i="9"/>
  <c r="A803" i="9"/>
  <c r="A774" i="9"/>
  <c r="B774" i="9"/>
  <c r="B517" i="9"/>
  <c r="A517" i="9"/>
  <c r="A537" i="9"/>
  <c r="B537" i="9"/>
  <c r="A688" i="9"/>
  <c r="B688" i="9"/>
  <c r="A745" i="9"/>
  <c r="B745" i="9"/>
  <c r="B569" i="9"/>
  <c r="A569" i="9"/>
  <c r="A705" i="9"/>
  <c r="B705" i="9"/>
  <c r="B833" i="9"/>
  <c r="A833" i="9"/>
  <c r="A759" i="9"/>
  <c r="B759" i="9"/>
  <c r="B582" i="9"/>
  <c r="A582" i="9"/>
  <c r="A722" i="9"/>
  <c r="B722" i="9"/>
  <c r="A787" i="9"/>
  <c r="B787" i="9"/>
  <c r="A805" i="9"/>
  <c r="B805" i="9"/>
  <c r="A771" i="9"/>
  <c r="B771" i="9"/>
  <c r="B596" i="9"/>
  <c r="A596" i="9"/>
  <c r="B523" i="9"/>
  <c r="A523" i="9"/>
  <c r="B631" i="9"/>
  <c r="A631" i="9"/>
  <c r="A686" i="9"/>
  <c r="B686" i="9"/>
  <c r="B755" i="9"/>
  <c r="A755" i="9"/>
  <c r="A781" i="9"/>
  <c r="B781" i="9"/>
  <c r="A821" i="9"/>
  <c r="B821" i="9"/>
  <c r="E15" i="7"/>
  <c r="J15" i="7" s="1"/>
  <c r="E14" i="7"/>
  <c r="J14" i="7" s="1"/>
  <c r="E16" i="7"/>
  <c r="J16" i="7" s="1"/>
  <c r="J13" i="7"/>
  <c r="E17" i="7"/>
  <c r="J17" i="7" s="1"/>
  <c r="C48" i="7" l="1"/>
  <c r="A16" i="17"/>
  <c r="Q16" i="17"/>
  <c r="A14" i="14"/>
  <c r="B14" i="14"/>
  <c r="Q14" i="14"/>
  <c r="S14" i="14"/>
  <c r="Y15" i="14"/>
  <c r="R15" i="14"/>
  <c r="C16" i="14"/>
  <c r="B102" i="9"/>
  <c r="A102" i="9"/>
  <c r="AX102" i="9"/>
  <c r="B182" i="9"/>
  <c r="A182" i="9"/>
  <c r="B134" i="9"/>
  <c r="AX134" i="9"/>
  <c r="A16" i="18"/>
  <c r="B16" i="18"/>
  <c r="Q16" i="18"/>
  <c r="Y17" i="18"/>
  <c r="S16" i="18"/>
  <c r="R17" i="18"/>
  <c r="C18" i="18"/>
  <c r="C19" i="18" s="1"/>
  <c r="Q17" i="17"/>
  <c r="A17" i="17"/>
  <c r="C19" i="17"/>
  <c r="C20" i="17" s="1"/>
  <c r="S17" i="17"/>
  <c r="B18" i="17"/>
  <c r="A18" i="17"/>
  <c r="Q18" i="17"/>
  <c r="Y17" i="16"/>
  <c r="R17" i="16"/>
  <c r="S16" i="16"/>
  <c r="Y18" i="16"/>
  <c r="R18" i="16"/>
  <c r="S17" i="16"/>
  <c r="Q16" i="16"/>
  <c r="B16" i="16"/>
  <c r="A16" i="16"/>
  <c r="C19" i="16"/>
  <c r="S15" i="15"/>
  <c r="R16" i="15"/>
  <c r="C17" i="15"/>
  <c r="Y16" i="15"/>
  <c r="R16" i="14"/>
  <c r="Y16" i="14"/>
  <c r="S15" i="14"/>
  <c r="C17" i="14"/>
  <c r="C18" i="14" s="1"/>
  <c r="C19" i="14" s="1"/>
  <c r="A15" i="14"/>
  <c r="B15" i="14"/>
  <c r="Q15" i="14"/>
  <c r="AX76" i="9"/>
  <c r="B76" i="9"/>
  <c r="AX187" i="9"/>
  <c r="A187" i="9"/>
  <c r="AX379" i="9"/>
  <c r="A379" i="9"/>
  <c r="B84" i="9"/>
  <c r="B16" i="13"/>
  <c r="A16" i="13"/>
  <c r="Q16" i="13"/>
  <c r="Y17" i="13"/>
  <c r="S16" i="13"/>
  <c r="R17" i="13"/>
  <c r="C18" i="13"/>
  <c r="AX153" i="9"/>
  <c r="B153" i="9"/>
  <c r="B42" i="9"/>
  <c r="A153" i="9"/>
  <c r="A42" i="9"/>
  <c r="B121" i="9"/>
  <c r="AX223" i="9"/>
  <c r="A415" i="9"/>
  <c r="A84" i="9"/>
  <c r="AX121" i="9"/>
  <c r="B88" i="9"/>
  <c r="B143" i="9"/>
  <c r="AX355" i="9"/>
  <c r="A355" i="9"/>
  <c r="AX88" i="9"/>
  <c r="A25" i="9"/>
  <c r="B25" i="9"/>
  <c r="AX100" i="9"/>
  <c r="B100" i="9"/>
  <c r="B374" i="9"/>
  <c r="AX104" i="9"/>
  <c r="B104" i="9"/>
  <c r="AX374" i="9"/>
  <c r="B452" i="9"/>
  <c r="B205" i="9"/>
  <c r="A65" i="9"/>
  <c r="B65" i="9"/>
  <c r="A101" i="9"/>
  <c r="B101" i="9"/>
  <c r="B415" i="9"/>
  <c r="B30" i="9"/>
  <c r="AX415" i="9"/>
  <c r="A303" i="9"/>
  <c r="B94" i="9"/>
  <c r="B109" i="9"/>
  <c r="AX143" i="9"/>
  <c r="AX94" i="9"/>
  <c r="A63" i="9"/>
  <c r="B303" i="9"/>
  <c r="A180" i="9"/>
  <c r="A437" i="9"/>
  <c r="B180" i="9"/>
  <c r="B437" i="9"/>
  <c r="A61" i="9"/>
  <c r="A109" i="9"/>
  <c r="AX433" i="9"/>
  <c r="A158" i="9"/>
  <c r="A192" i="9"/>
  <c r="AX158" i="9"/>
  <c r="B158" i="9"/>
  <c r="A349" i="9"/>
  <c r="B162" i="9"/>
  <c r="A37" i="9"/>
  <c r="B17" i="11"/>
  <c r="Q17" i="11"/>
  <c r="A17" i="11"/>
  <c r="Y19" i="11"/>
  <c r="S18" i="11"/>
  <c r="R19" i="11"/>
  <c r="R18" i="11"/>
  <c r="S17" i="11"/>
  <c r="Y18" i="11"/>
  <c r="Q16" i="11"/>
  <c r="A16" i="11"/>
  <c r="B16" i="11"/>
  <c r="B111" i="9"/>
  <c r="A49" i="9"/>
  <c r="B49" i="9"/>
  <c r="B214" i="9"/>
  <c r="B229" i="9"/>
  <c r="AX395" i="9"/>
  <c r="A184" i="9"/>
  <c r="AX184" i="9"/>
  <c r="AX267" i="9"/>
  <c r="AX404" i="9"/>
  <c r="A147" i="9"/>
  <c r="AX147" i="9"/>
  <c r="AX85" i="9"/>
  <c r="B151" i="9"/>
  <c r="AX151" i="9"/>
  <c r="A413" i="9"/>
  <c r="AX413" i="9"/>
  <c r="A34" i="9"/>
  <c r="AX34" i="9"/>
  <c r="B431" i="9"/>
  <c r="AX431" i="9"/>
  <c r="AX214" i="9"/>
  <c r="A467" i="9"/>
  <c r="AX467" i="9"/>
  <c r="A317" i="9"/>
  <c r="AX317" i="9"/>
  <c r="A176" i="9"/>
  <c r="AX176" i="9"/>
  <c r="AX373" i="9"/>
  <c r="A116" i="9"/>
  <c r="AX116" i="9"/>
  <c r="A110" i="9"/>
  <c r="AX110" i="9"/>
  <c r="AX383" i="9"/>
  <c r="AX407" i="9"/>
  <c r="AX162" i="9"/>
  <c r="AX37" i="9"/>
  <c r="A210" i="9"/>
  <c r="AX210" i="9"/>
  <c r="A475" i="9"/>
  <c r="AX475" i="9"/>
  <c r="A335" i="9"/>
  <c r="AX335" i="9"/>
  <c r="A257" i="9"/>
  <c r="AX257" i="9"/>
  <c r="A406" i="9"/>
  <c r="AX406" i="9"/>
  <c r="A429" i="9"/>
  <c r="AX429" i="9"/>
  <c r="B372" i="9"/>
  <c r="AX372" i="9"/>
  <c r="B412" i="9"/>
  <c r="AX412" i="9"/>
  <c r="A139" i="9"/>
  <c r="AX139" i="9"/>
  <c r="A252" i="9"/>
  <c r="AX252" i="9"/>
  <c r="A54" i="9"/>
  <c r="AX54" i="9"/>
  <c r="AX192" i="9"/>
  <c r="A359" i="9"/>
  <c r="AX359" i="9"/>
  <c r="A26" i="9"/>
  <c r="AX26" i="9"/>
  <c r="B254" i="9"/>
  <c r="AX254" i="9"/>
  <c r="B198" i="9"/>
  <c r="AX198" i="9"/>
  <c r="AX186" i="9"/>
  <c r="A474" i="9"/>
  <c r="AX474" i="9"/>
  <c r="B78" i="9"/>
  <c r="AX78" i="9"/>
  <c r="A358" i="9"/>
  <c r="AX358" i="9"/>
  <c r="A226" i="9"/>
  <c r="AX226" i="9"/>
  <c r="B122" i="9"/>
  <c r="AX122" i="9"/>
  <c r="A384" i="9"/>
  <c r="AX384" i="9"/>
  <c r="A92" i="9"/>
  <c r="AX92" i="9"/>
  <c r="A273" i="9"/>
  <c r="AX273" i="9"/>
  <c r="A224" i="9"/>
  <c r="AX224" i="9"/>
  <c r="A87" i="9"/>
  <c r="AX87" i="9"/>
  <c r="AX195" i="9"/>
  <c r="B202" i="9"/>
  <c r="AX202" i="9"/>
  <c r="AX361" i="9"/>
  <c r="AX129" i="9"/>
  <c r="A401" i="9"/>
  <c r="AX401" i="9"/>
  <c r="B178" i="9"/>
  <c r="AX178" i="9"/>
  <c r="A391" i="9"/>
  <c r="AX391" i="9"/>
  <c r="AX289" i="9"/>
  <c r="B28" i="9"/>
  <c r="AX28" i="9"/>
  <c r="A299" i="9"/>
  <c r="AX299" i="9"/>
  <c r="A394" i="9"/>
  <c r="AX394" i="9"/>
  <c r="A170" i="9"/>
  <c r="AX170" i="9"/>
  <c r="B183" i="9"/>
  <c r="AX183" i="9"/>
  <c r="B262" i="9"/>
  <c r="AX262" i="9"/>
  <c r="A419" i="9"/>
  <c r="AX419" i="9"/>
  <c r="AX381" i="9"/>
  <c r="A213" i="9"/>
  <c r="AX213" i="9"/>
  <c r="A168" i="9"/>
  <c r="AX168" i="9"/>
  <c r="A259" i="9"/>
  <c r="AX259" i="9"/>
  <c r="AX351" i="9"/>
  <c r="B356" i="9"/>
  <c r="AX356" i="9"/>
  <c r="B208" i="9"/>
  <c r="AX208" i="9"/>
  <c r="A131" i="9"/>
  <c r="AX131" i="9"/>
  <c r="B329" i="9"/>
  <c r="AX329" i="9"/>
  <c r="A336" i="9"/>
  <c r="AX336" i="9"/>
  <c r="AX197" i="9"/>
  <c r="B62" i="9"/>
  <c r="AX62" i="9"/>
  <c r="AX417" i="9"/>
  <c r="A142" i="9"/>
  <c r="AX142" i="9"/>
  <c r="A238" i="9"/>
  <c r="AX238" i="9"/>
  <c r="AX190" i="9"/>
  <c r="AX428" i="9"/>
  <c r="AX344" i="9"/>
  <c r="B323" i="9"/>
  <c r="AX323" i="9"/>
  <c r="A418" i="9"/>
  <c r="AX418" i="9"/>
  <c r="A234" i="9"/>
  <c r="AX234" i="9"/>
  <c r="AX157" i="9"/>
  <c r="A216" i="9"/>
  <c r="AX216" i="9"/>
  <c r="AX71" i="9"/>
  <c r="A294" i="9"/>
  <c r="AX294" i="9"/>
  <c r="B63" i="9"/>
  <c r="AX63" i="9"/>
  <c r="A290" i="9"/>
  <c r="AX290" i="9"/>
  <c r="B23" i="9"/>
  <c r="AX23" i="9"/>
  <c r="A30" i="9"/>
  <c r="AX30" i="9"/>
  <c r="AX229" i="9"/>
  <c r="B99" i="9"/>
  <c r="AX99" i="9"/>
  <c r="AX247" i="9"/>
  <c r="A90" i="9"/>
  <c r="AX90" i="9"/>
  <c r="AX156" i="9"/>
  <c r="B311" i="9"/>
  <c r="AX311" i="9"/>
  <c r="A188" i="9"/>
  <c r="AX188" i="9"/>
  <c r="AX69" i="9"/>
  <c r="B137" i="9"/>
  <c r="AX137" i="9"/>
  <c r="B108" i="9"/>
  <c r="AX108" i="9"/>
  <c r="B61" i="9"/>
  <c r="AX61" i="9"/>
  <c r="B51" i="9"/>
  <c r="AX51" i="9"/>
  <c r="B249" i="9"/>
  <c r="AX249" i="9"/>
  <c r="A39" i="9"/>
  <c r="AX39" i="9"/>
  <c r="B261" i="9"/>
  <c r="AX261" i="9"/>
  <c r="A278" i="9"/>
  <c r="AX278" i="9"/>
  <c r="A324" i="9"/>
  <c r="AX324" i="9"/>
  <c r="A111" i="9"/>
  <c r="AX111" i="9"/>
  <c r="AX349" i="9"/>
  <c r="A169" i="9"/>
  <c r="AX169" i="9"/>
  <c r="B95" i="9"/>
  <c r="AX95" i="9"/>
  <c r="A240" i="9"/>
  <c r="AX240" i="9"/>
  <c r="A217" i="9"/>
  <c r="AX217" i="9"/>
  <c r="AX403" i="9"/>
  <c r="A260" i="9"/>
  <c r="AX260" i="9"/>
  <c r="B251" i="9"/>
  <c r="AX251" i="9"/>
  <c r="AX75" i="9"/>
  <c r="A442" i="9"/>
  <c r="AX442" i="9"/>
  <c r="A60" i="9"/>
  <c r="AX60" i="9"/>
  <c r="A50" i="9"/>
  <c r="AX50" i="9"/>
  <c r="B468" i="9"/>
  <c r="AX468" i="9"/>
  <c r="B24" i="9"/>
  <c r="AX24" i="9"/>
  <c r="A452" i="9"/>
  <c r="AX452" i="9"/>
  <c r="B345" i="9"/>
  <c r="AX345" i="9"/>
  <c r="AX393" i="9"/>
  <c r="B438" i="9"/>
  <c r="AX438" i="9"/>
  <c r="A181" i="9"/>
  <c r="AX181" i="9"/>
  <c r="A129" i="9"/>
  <c r="B129" i="9"/>
  <c r="B358" i="9"/>
  <c r="B252" i="9"/>
  <c r="B54" i="9"/>
  <c r="A205" i="9"/>
  <c r="B190" i="9"/>
  <c r="A190" i="9"/>
  <c r="B181" i="9"/>
  <c r="AX473" i="9"/>
  <c r="A71" i="9"/>
  <c r="B213" i="9"/>
  <c r="A417" i="9"/>
  <c r="B142" i="9"/>
  <c r="AX235" i="9"/>
  <c r="A262" i="9"/>
  <c r="B169" i="9"/>
  <c r="B381" i="9"/>
  <c r="B419" i="9"/>
  <c r="A202" i="9"/>
  <c r="A381" i="9"/>
  <c r="A69" i="9"/>
  <c r="A183" i="9"/>
  <c r="B195" i="9"/>
  <c r="B294" i="9"/>
  <c r="B216" i="9"/>
  <c r="B71" i="9"/>
  <c r="B157" i="9"/>
  <c r="A157" i="9"/>
  <c r="A108" i="9"/>
  <c r="B224" i="9"/>
  <c r="B188" i="9"/>
  <c r="B394" i="9"/>
  <c r="A372" i="9"/>
  <c r="B474" i="9"/>
  <c r="A412" i="9"/>
  <c r="B139" i="9"/>
  <c r="B467" i="9"/>
  <c r="B234" i="9"/>
  <c r="B273" i="9"/>
  <c r="A122" i="9"/>
  <c r="A254" i="9"/>
  <c r="B34" i="9"/>
  <c r="A62" i="9"/>
  <c r="B170" i="9"/>
  <c r="A361" i="9"/>
  <c r="B361" i="9"/>
  <c r="B26" i="9"/>
  <c r="B278" i="9"/>
  <c r="B384" i="9"/>
  <c r="A261" i="9"/>
  <c r="A178" i="9"/>
  <c r="B336" i="9"/>
  <c r="B50" i="9"/>
  <c r="B315" i="9"/>
  <c r="A197" i="9"/>
  <c r="A27" i="9"/>
  <c r="B27" i="9"/>
  <c r="B87" i="9"/>
  <c r="A431" i="9"/>
  <c r="B132" i="9"/>
  <c r="A132" i="9"/>
  <c r="B197" i="9"/>
  <c r="B92" i="9"/>
  <c r="A289" i="9"/>
  <c r="B407" i="9"/>
  <c r="B393" i="9"/>
  <c r="B317" i="9"/>
  <c r="A195" i="9"/>
  <c r="A393" i="9"/>
  <c r="A407" i="9"/>
  <c r="B418" i="9"/>
  <c r="B429" i="9"/>
  <c r="A137" i="9"/>
  <c r="B69" i="9"/>
  <c r="B442" i="9"/>
  <c r="B131" i="9"/>
  <c r="B165" i="9"/>
  <c r="A165" i="9"/>
  <c r="A373" i="9"/>
  <c r="A220" i="9"/>
  <c r="B220" i="9"/>
  <c r="B257" i="9"/>
  <c r="B383" i="9"/>
  <c r="B226" i="9"/>
  <c r="B401" i="9"/>
  <c r="B391" i="9"/>
  <c r="B116" i="9"/>
  <c r="A383" i="9"/>
  <c r="B450" i="9"/>
  <c r="A251" i="9"/>
  <c r="A468" i="9"/>
  <c r="A450" i="9"/>
  <c r="B156" i="9"/>
  <c r="B75" i="9"/>
  <c r="B210" i="9"/>
  <c r="B406" i="9"/>
  <c r="A329" i="9"/>
  <c r="A156" i="9"/>
  <c r="A75" i="9"/>
  <c r="A311" i="9"/>
  <c r="A78" i="9"/>
  <c r="A163" i="9"/>
  <c r="B163" i="9"/>
  <c r="B348" i="9"/>
  <c r="A348" i="9"/>
  <c r="B39" i="9"/>
  <c r="A258" i="9"/>
  <c r="B258" i="9"/>
  <c r="B60" i="9"/>
  <c r="B200" i="9"/>
  <c r="A200" i="9"/>
  <c r="B260" i="9"/>
  <c r="B413" i="9"/>
  <c r="B186" i="9"/>
  <c r="A392" i="9"/>
  <c r="B392" i="9"/>
  <c r="B238" i="9"/>
  <c r="B475" i="9"/>
  <c r="B289" i="9"/>
  <c r="A151" i="9"/>
  <c r="B335" i="9"/>
  <c r="B351" i="9"/>
  <c r="A198" i="9"/>
  <c r="B299" i="9"/>
  <c r="B176" i="9"/>
  <c r="B373" i="9"/>
  <c r="A85" i="9"/>
  <c r="B85" i="9"/>
  <c r="A208" i="9"/>
  <c r="A186" i="9"/>
  <c r="B147" i="9"/>
  <c r="B110" i="9"/>
  <c r="B480" i="9"/>
  <c r="A480" i="9"/>
  <c r="A356" i="9"/>
  <c r="A28" i="9"/>
  <c r="A323" i="9"/>
  <c r="B90" i="9"/>
  <c r="A249" i="9"/>
  <c r="A320" i="9"/>
  <c r="B320" i="9"/>
  <c r="A351" i="9"/>
  <c r="A267" i="9"/>
  <c r="B247" i="9"/>
  <c r="B267" i="9"/>
  <c r="B404" i="9"/>
  <c r="A161" i="9"/>
  <c r="B161" i="9"/>
  <c r="A227" i="9"/>
  <c r="B227" i="9"/>
  <c r="A404" i="9"/>
  <c r="A428" i="9"/>
  <c r="B428" i="9"/>
  <c r="B462" i="9"/>
  <c r="A462" i="9"/>
  <c r="B191" i="9"/>
  <c r="A191" i="9"/>
  <c r="A98" i="9"/>
  <c r="B98" i="9"/>
  <c r="B184" i="9"/>
  <c r="A32" i="9"/>
  <c r="B32" i="9"/>
  <c r="B314" i="9"/>
  <c r="A314" i="9"/>
  <c r="A201" i="9"/>
  <c r="B201" i="9"/>
  <c r="A73" i="9"/>
  <c r="B73" i="9"/>
  <c r="B70" i="9"/>
  <c r="A70" i="9"/>
  <c r="B256" i="9"/>
  <c r="A256" i="9"/>
  <c r="A403" i="9"/>
  <c r="A196" i="9"/>
  <c r="B196" i="9"/>
  <c r="B259" i="9"/>
  <c r="A395" i="9"/>
  <c r="AX365" i="9"/>
  <c r="B386" i="9"/>
  <c r="A386" i="9"/>
  <c r="B359" i="9"/>
  <c r="A247" i="9"/>
  <c r="A344" i="9"/>
  <c r="B344" i="9"/>
  <c r="B403" i="9"/>
  <c r="B395" i="9"/>
  <c r="A80" i="9"/>
  <c r="B80" i="9"/>
  <c r="A225" i="9"/>
  <c r="B225" i="9"/>
  <c r="AX332" i="9"/>
  <c r="B354" i="9"/>
  <c r="A354" i="9"/>
  <c r="B432" i="9"/>
  <c r="A432" i="9"/>
  <c r="AX449" i="9"/>
  <c r="A248" i="9"/>
  <c r="B248" i="9"/>
  <c r="AX414" i="9"/>
  <c r="B266" i="9"/>
  <c r="A266" i="9"/>
  <c r="B305" i="9"/>
  <c r="A305" i="9"/>
  <c r="B263" i="9"/>
  <c r="A263" i="9"/>
  <c r="A46" i="9"/>
  <c r="B46" i="9"/>
  <c r="AX193" i="9"/>
  <c r="A327" i="9"/>
  <c r="B327" i="9"/>
  <c r="AX331" i="9"/>
  <c r="AX244" i="9"/>
  <c r="A458" i="9"/>
  <c r="B458" i="9"/>
  <c r="AX308" i="9"/>
  <c r="B172" i="9"/>
  <c r="A172" i="9"/>
  <c r="AX211" i="9"/>
  <c r="AX385" i="9"/>
  <c r="AX221" i="9"/>
  <c r="AX339" i="9"/>
  <c r="A363" i="9"/>
  <c r="B363" i="9"/>
  <c r="A83" i="9"/>
  <c r="B83" i="9"/>
  <c r="B56" i="9"/>
  <c r="A56" i="9"/>
  <c r="A366" i="9"/>
  <c r="B366" i="9"/>
  <c r="AX242" i="9"/>
  <c r="A382" i="9"/>
  <c r="B382" i="9"/>
  <c r="AX337" i="9"/>
  <c r="B409" i="9"/>
  <c r="A409" i="9"/>
  <c r="AX367" i="9"/>
  <c r="AX477" i="9"/>
  <c r="A166" i="9"/>
  <c r="B166" i="9"/>
  <c r="A357" i="9"/>
  <c r="B357" i="9"/>
  <c r="B426" i="9"/>
  <c r="A426" i="9"/>
  <c r="A457" i="9"/>
  <c r="B457" i="9"/>
  <c r="AX280" i="9"/>
  <c r="B439" i="9"/>
  <c r="A439" i="9"/>
  <c r="B152" i="9"/>
  <c r="A152" i="9"/>
  <c r="AX459" i="9"/>
  <c r="AX352" i="9"/>
  <c r="AX304" i="9"/>
  <c r="B396" i="9"/>
  <c r="A396" i="9"/>
  <c r="B136" i="9"/>
  <c r="A136" i="9"/>
  <c r="A463" i="9"/>
  <c r="B463" i="9"/>
  <c r="A206" i="9"/>
  <c r="B206" i="9"/>
  <c r="A270" i="9"/>
  <c r="B270" i="9"/>
  <c r="A40" i="9"/>
  <c r="B40" i="9"/>
  <c r="A36" i="9"/>
  <c r="B36" i="9"/>
  <c r="A159" i="9"/>
  <c r="B159" i="9"/>
  <c r="B233" i="9"/>
  <c r="A233" i="9"/>
  <c r="A296" i="9"/>
  <c r="B296" i="9"/>
  <c r="A145" i="9"/>
  <c r="B145" i="9"/>
  <c r="B370" i="9"/>
  <c r="A370" i="9"/>
  <c r="A141" i="9"/>
  <c r="B141" i="9"/>
  <c r="AX441" i="9"/>
  <c r="B277" i="9"/>
  <c r="A277" i="9"/>
  <c r="AX328" i="9"/>
  <c r="AX276" i="9"/>
  <c r="B446" i="9"/>
  <c r="A446" i="9"/>
  <c r="AX67" i="9"/>
  <c r="AX375" i="9"/>
  <c r="AX268" i="9"/>
  <c r="AX173" i="9"/>
  <c r="A469" i="9"/>
  <c r="B469" i="9"/>
  <c r="AX253" i="9"/>
  <c r="AX167" i="9"/>
  <c r="AX194" i="9"/>
  <c r="AX81" i="9"/>
  <c r="AX272" i="9"/>
  <c r="A376" i="9"/>
  <c r="B376" i="9"/>
  <c r="AX43" i="9"/>
  <c r="A321" i="9"/>
  <c r="AX398" i="9"/>
  <c r="AX288" i="9"/>
  <c r="AX241" i="9"/>
  <c r="AX179" i="9"/>
  <c r="AX140" i="9"/>
  <c r="AX103" i="9"/>
  <c r="AX481" i="9"/>
  <c r="A33" i="9"/>
  <c r="B33" i="9"/>
  <c r="A281" i="9"/>
  <c r="B281" i="9"/>
  <c r="AX123" i="9"/>
  <c r="AX243" i="9"/>
  <c r="A128" i="9"/>
  <c r="B128" i="9"/>
  <c r="A106" i="9"/>
  <c r="B106" i="9"/>
  <c r="B207" i="9"/>
  <c r="A207" i="9"/>
  <c r="A245" i="9"/>
  <c r="B245" i="9"/>
  <c r="AX228" i="9"/>
  <c r="AX189" i="9"/>
  <c r="AX105" i="9"/>
  <c r="B160" i="9"/>
  <c r="A160" i="9"/>
  <c r="AX405" i="9"/>
  <c r="A342" i="9"/>
  <c r="B342" i="9"/>
  <c r="AX387" i="9"/>
  <c r="AX309" i="9"/>
  <c r="AX298" i="9"/>
  <c r="AX454" i="9"/>
  <c r="AX410" i="9"/>
  <c r="AX479" i="9"/>
  <c r="AX155" i="9"/>
  <c r="AX350" i="9"/>
  <c r="AX451" i="9"/>
  <c r="AX390" i="9"/>
  <c r="A86" i="9"/>
  <c r="B86" i="9"/>
  <c r="AX322" i="9"/>
  <c r="AX318" i="9"/>
  <c r="AX362" i="9"/>
  <c r="A307" i="9"/>
  <c r="B307" i="9"/>
  <c r="AX125" i="9"/>
  <c r="AX347" i="9"/>
  <c r="AX292" i="9"/>
  <c r="A119" i="9"/>
  <c r="B119" i="9"/>
  <c r="AX377" i="9"/>
  <c r="AX312" i="9"/>
  <c r="A420" i="9"/>
  <c r="B420" i="9"/>
  <c r="AX275" i="9"/>
  <c r="AX430" i="9"/>
  <c r="AX300" i="9"/>
  <c r="AX284" i="9"/>
  <c r="B93" i="9"/>
  <c r="A93" i="9"/>
  <c r="AX378" i="9"/>
  <c r="AX334" i="9"/>
  <c r="AX422" i="9"/>
  <c r="AX411" i="9"/>
  <c r="AX465" i="9"/>
  <c r="AX464" i="9"/>
  <c r="AX447" i="9"/>
  <c r="B218" i="9"/>
  <c r="A218" i="9"/>
  <c r="F17" i="7"/>
  <c r="P17" i="7"/>
  <c r="AX17" i="7" s="1"/>
  <c r="G17" i="7"/>
  <c r="P13" i="7"/>
  <c r="AX13" i="7" s="1"/>
  <c r="G13" i="7"/>
  <c r="F13" i="7"/>
  <c r="G16" i="7"/>
  <c r="P16" i="7"/>
  <c r="AX16" i="7" s="1"/>
  <c r="F16" i="7"/>
  <c r="P14" i="7"/>
  <c r="AX14" i="7" s="1"/>
  <c r="G14" i="7"/>
  <c r="F14" i="7"/>
  <c r="G15" i="7"/>
  <c r="P15" i="7"/>
  <c r="AX15" i="7" s="1"/>
  <c r="F15" i="7"/>
  <c r="C49" i="7" l="1"/>
  <c r="A29" i="9"/>
  <c r="S17" i="18"/>
  <c r="R18" i="18"/>
  <c r="Y18" i="18"/>
  <c r="Y19" i="18"/>
  <c r="S18" i="18"/>
  <c r="R19" i="18"/>
  <c r="B17" i="18"/>
  <c r="A17" i="18"/>
  <c r="Q17" i="18"/>
  <c r="C21" i="17"/>
  <c r="C22" i="17" s="1"/>
  <c r="S21" i="17" s="1"/>
  <c r="S19" i="17"/>
  <c r="Y20" i="17"/>
  <c r="R20" i="17"/>
  <c r="B20" i="17" s="1"/>
  <c r="R19" i="17"/>
  <c r="Q19" i="17" s="1"/>
  <c r="S18" i="17"/>
  <c r="Y19" i="17"/>
  <c r="C20" i="16"/>
  <c r="B18" i="16"/>
  <c r="Q18" i="16"/>
  <c r="A18" i="16"/>
  <c r="Y19" i="16"/>
  <c r="R19" i="16"/>
  <c r="S18" i="16"/>
  <c r="B17" i="16"/>
  <c r="A17" i="16"/>
  <c r="Q17" i="16"/>
  <c r="R17" i="15"/>
  <c r="S16" i="15"/>
  <c r="Y17" i="15"/>
  <c r="Q16" i="15"/>
  <c r="B16" i="15"/>
  <c r="A16" i="15"/>
  <c r="C18" i="15"/>
  <c r="R19" i="14"/>
  <c r="B19" i="14" s="1"/>
  <c r="S18" i="14"/>
  <c r="Y19" i="14"/>
  <c r="Y17" i="14"/>
  <c r="S16" i="14"/>
  <c r="R17" i="14"/>
  <c r="C20" i="14"/>
  <c r="R20" i="14" s="1"/>
  <c r="Q16" i="14"/>
  <c r="A16" i="14"/>
  <c r="B16" i="14"/>
  <c r="Y18" i="14"/>
  <c r="S17" i="14"/>
  <c r="R18" i="14"/>
  <c r="A17" i="13"/>
  <c r="B17" i="13"/>
  <c r="Q17" i="13"/>
  <c r="Y18" i="13"/>
  <c r="S17" i="13"/>
  <c r="R18" i="13"/>
  <c r="C19" i="13"/>
  <c r="A223" i="9"/>
  <c r="B223" i="9"/>
  <c r="B365" i="9"/>
  <c r="A365" i="9"/>
  <c r="B433" i="9"/>
  <c r="A433" i="9"/>
  <c r="A473" i="9"/>
  <c r="B473" i="9"/>
  <c r="B18" i="11"/>
  <c r="A18" i="11"/>
  <c r="Q18" i="11"/>
  <c r="B19" i="11"/>
  <c r="Q19" i="11"/>
  <c r="A19" i="11"/>
  <c r="A204" i="9"/>
  <c r="AX204" i="9"/>
  <c r="B177" i="9"/>
  <c r="AX177" i="9"/>
  <c r="A424" i="9"/>
  <c r="AX424" i="9"/>
  <c r="AX316" i="9"/>
  <c r="B476" i="9"/>
  <c r="AX476" i="9"/>
  <c r="B246" i="9"/>
  <c r="AX246" i="9"/>
  <c r="AX408" i="9"/>
  <c r="A330" i="9"/>
  <c r="AX330" i="9"/>
  <c r="A150" i="9"/>
  <c r="AX150" i="9"/>
  <c r="AX341" i="9"/>
  <c r="A445" i="9"/>
  <c r="AX445" i="9"/>
  <c r="A371" i="9"/>
  <c r="AX371" i="9"/>
  <c r="B364" i="9"/>
  <c r="AX364" i="9"/>
  <c r="AX271" i="9"/>
  <c r="B279" i="9"/>
  <c r="AX279" i="9"/>
  <c r="A265" i="9"/>
  <c r="AX265" i="9"/>
  <c r="B255" i="9"/>
  <c r="AX255" i="9"/>
  <c r="B436" i="9"/>
  <c r="AX436" i="9"/>
  <c r="A466" i="9"/>
  <c r="AX466" i="9"/>
  <c r="AX55" i="9"/>
  <c r="AX297" i="9"/>
  <c r="A460" i="9"/>
  <c r="AX460" i="9"/>
  <c r="A482" i="9"/>
  <c r="AX482" i="9"/>
  <c r="A471" i="9"/>
  <c r="AX471" i="9"/>
  <c r="B397" i="9"/>
  <c r="AX397" i="9"/>
  <c r="A338" i="9"/>
  <c r="AX338" i="9"/>
  <c r="AX115" i="9"/>
  <c r="A389" i="9"/>
  <c r="AX389" i="9"/>
  <c r="B301" i="9"/>
  <c r="AX301" i="9"/>
  <c r="AX209" i="9"/>
  <c r="B306" i="9"/>
  <c r="AX306" i="9"/>
  <c r="AX302" i="9"/>
  <c r="B443" i="9"/>
  <c r="AX443" i="9"/>
  <c r="B369" i="9"/>
  <c r="AX369" i="9"/>
  <c r="AX425" i="9"/>
  <c r="B340" i="9"/>
  <c r="AX340" i="9"/>
  <c r="AX91" i="9"/>
  <c r="B478" i="9"/>
  <c r="AX478" i="9"/>
  <c r="A319" i="9"/>
  <c r="AX319" i="9"/>
  <c r="A416" i="9"/>
  <c r="AX416" i="9"/>
  <c r="A291" i="9"/>
  <c r="AX291" i="9"/>
  <c r="B368" i="9"/>
  <c r="AX368" i="9"/>
  <c r="B274" i="9"/>
  <c r="AX274" i="9"/>
  <c r="B399" i="9"/>
  <c r="AX399" i="9"/>
  <c r="AX456" i="9"/>
  <c r="B230" i="9"/>
  <c r="AX230" i="9"/>
  <c r="A346" i="9"/>
  <c r="AX346" i="9"/>
  <c r="AX185" i="9"/>
  <c r="AX239" i="9"/>
  <c r="A421" i="9"/>
  <c r="AX421" i="9"/>
  <c r="AX313" i="9"/>
  <c r="AX400" i="9"/>
  <c r="B283" i="9"/>
  <c r="AX283" i="9"/>
  <c r="B269" i="9"/>
  <c r="AX269" i="9"/>
  <c r="B235" i="9"/>
  <c r="AX470" i="9"/>
  <c r="AX135" i="9"/>
  <c r="A326" i="9"/>
  <c r="AX326" i="9"/>
  <c r="A293" i="9"/>
  <c r="AX293" i="9"/>
  <c r="B222" i="9"/>
  <c r="AX222" i="9"/>
  <c r="AX435" i="9"/>
  <c r="B448" i="9"/>
  <c r="AX448" i="9"/>
  <c r="A264" i="9"/>
  <c r="AX264" i="9"/>
  <c r="B388" i="9"/>
  <c r="AX388" i="9"/>
  <c r="AX353" i="9"/>
  <c r="A235" i="9"/>
  <c r="B434" i="9"/>
  <c r="AX434" i="9"/>
  <c r="AX79" i="9"/>
  <c r="AX455" i="9"/>
  <c r="AX444" i="9"/>
  <c r="A282" i="9"/>
  <c r="AX282" i="9"/>
  <c r="AX402" i="9"/>
  <c r="AX360" i="9"/>
  <c r="AX321" i="9"/>
  <c r="B237" i="9"/>
  <c r="AX237" i="9"/>
  <c r="A310" i="9"/>
  <c r="AX310" i="9"/>
  <c r="A315" i="9"/>
  <c r="AX315" i="9"/>
  <c r="B171" i="9"/>
  <c r="AX171" i="9"/>
  <c r="A423" i="9"/>
  <c r="AX423" i="9"/>
  <c r="A333" i="9"/>
  <c r="AX333" i="9"/>
  <c r="A295" i="9"/>
  <c r="AX295" i="9"/>
  <c r="A472" i="9"/>
  <c r="AX472" i="9"/>
  <c r="B286" i="9"/>
  <c r="AX286" i="9"/>
  <c r="A91" i="9"/>
  <c r="B91" i="9"/>
  <c r="B338" i="9"/>
  <c r="A340" i="9"/>
  <c r="A399" i="9"/>
  <c r="A476" i="9"/>
  <c r="B330" i="9"/>
  <c r="B466" i="9"/>
  <c r="A436" i="9"/>
  <c r="A283" i="9"/>
  <c r="B424" i="9"/>
  <c r="A316" i="9"/>
  <c r="B470" i="9"/>
  <c r="A255" i="9"/>
  <c r="B472" i="9"/>
  <c r="A400" i="9"/>
  <c r="A353" i="9"/>
  <c r="B353" i="9"/>
  <c r="B471" i="9"/>
  <c r="B400" i="9"/>
  <c r="B389" i="9"/>
  <c r="A279" i="9"/>
  <c r="A286" i="9"/>
  <c r="B445" i="9"/>
  <c r="A408" i="9"/>
  <c r="B408" i="9"/>
  <c r="A246" i="9"/>
  <c r="B302" i="9"/>
  <c r="A470" i="9"/>
  <c r="B482" i="9"/>
  <c r="B297" i="9"/>
  <c r="B271" i="9"/>
  <c r="A297" i="9"/>
  <c r="A271" i="9"/>
  <c r="B316" i="9"/>
  <c r="A368" i="9"/>
  <c r="A388" i="9"/>
  <c r="B326" i="9"/>
  <c r="B295" i="9"/>
  <c r="A302" i="9"/>
  <c r="B291" i="9"/>
  <c r="B79" i="9"/>
  <c r="A443" i="9"/>
  <c r="A478" i="9"/>
  <c r="B282" i="9"/>
  <c r="B264" i="9"/>
  <c r="A115" i="9"/>
  <c r="A360" i="9"/>
  <c r="B115" i="9"/>
  <c r="A434" i="9"/>
  <c r="A274" i="9"/>
  <c r="A301" i="9"/>
  <c r="B185" i="9"/>
  <c r="B310" i="9"/>
  <c r="A185" i="9"/>
  <c r="B321" i="9"/>
  <c r="B371" i="9"/>
  <c r="B313" i="9"/>
  <c r="A313" i="9"/>
  <c r="A435" i="9"/>
  <c r="A448" i="9"/>
  <c r="B435" i="9"/>
  <c r="B444" i="9"/>
  <c r="A444" i="9"/>
  <c r="B455" i="9"/>
  <c r="B265" i="9"/>
  <c r="A455" i="9"/>
  <c r="B346" i="9"/>
  <c r="A364" i="9"/>
  <c r="A306" i="9"/>
  <c r="A79" i="9"/>
  <c r="B204" i="9"/>
  <c r="B416" i="9"/>
  <c r="A425" i="9"/>
  <c r="B360" i="9"/>
  <c r="B239" i="9"/>
  <c r="A239" i="9"/>
  <c r="B150" i="9"/>
  <c r="B293" i="9"/>
  <c r="A237" i="9"/>
  <c r="B421" i="9"/>
  <c r="B319" i="9"/>
  <c r="B402" i="9"/>
  <c r="A402" i="9"/>
  <c r="B460" i="9"/>
  <c r="B456" i="9"/>
  <c r="B209" i="9"/>
  <c r="A269" i="9"/>
  <c r="A369" i="9"/>
  <c r="A209" i="9"/>
  <c r="B425" i="9"/>
  <c r="A456" i="9"/>
  <c r="A230" i="9"/>
  <c r="A332" i="9"/>
  <c r="B332" i="9"/>
  <c r="A177" i="9"/>
  <c r="B449" i="9"/>
  <c r="A449" i="9"/>
  <c r="B333" i="9"/>
  <c r="A222" i="9"/>
  <c r="A414" i="9"/>
  <c r="B414" i="9"/>
  <c r="B308" i="9"/>
  <c r="A308" i="9"/>
  <c r="B339" i="9"/>
  <c r="A339" i="9"/>
  <c r="A397" i="9"/>
  <c r="A244" i="9"/>
  <c r="B244" i="9"/>
  <c r="B341" i="9"/>
  <c r="A211" i="9"/>
  <c r="B211" i="9"/>
  <c r="A331" i="9"/>
  <c r="B331" i="9"/>
  <c r="B193" i="9"/>
  <c r="A193" i="9"/>
  <c r="B221" i="9"/>
  <c r="A221" i="9"/>
  <c r="B385" i="9"/>
  <c r="A385" i="9"/>
  <c r="B423" i="9"/>
  <c r="A341" i="9"/>
  <c r="A477" i="9"/>
  <c r="B477" i="9"/>
  <c r="B304" i="9"/>
  <c r="A304" i="9"/>
  <c r="A280" i="9"/>
  <c r="B280" i="9"/>
  <c r="A367" i="9"/>
  <c r="B367" i="9"/>
  <c r="A171" i="9"/>
  <c r="B352" i="9"/>
  <c r="A352" i="9"/>
  <c r="B242" i="9"/>
  <c r="A242" i="9"/>
  <c r="A135" i="9"/>
  <c r="B135" i="9"/>
  <c r="A55" i="9"/>
  <c r="B55" i="9"/>
  <c r="B459" i="9"/>
  <c r="A459" i="9"/>
  <c r="B337" i="9"/>
  <c r="A337" i="9"/>
  <c r="B298" i="9"/>
  <c r="A298" i="9"/>
  <c r="A268" i="9"/>
  <c r="B268" i="9"/>
  <c r="B67" i="9"/>
  <c r="A67" i="9"/>
  <c r="B105" i="9"/>
  <c r="A105" i="9"/>
  <c r="B189" i="9"/>
  <c r="A189" i="9"/>
  <c r="A272" i="9"/>
  <c r="B272" i="9"/>
  <c r="B228" i="9"/>
  <c r="A228" i="9"/>
  <c r="A123" i="9"/>
  <c r="B123" i="9"/>
  <c r="B81" i="9"/>
  <c r="A81" i="9"/>
  <c r="B454" i="9"/>
  <c r="A454" i="9"/>
  <c r="B405" i="9"/>
  <c r="A405" i="9"/>
  <c r="A103" i="9"/>
  <c r="B103" i="9"/>
  <c r="A288" i="9"/>
  <c r="B288" i="9"/>
  <c r="A140" i="9"/>
  <c r="B140" i="9"/>
  <c r="A276" i="9"/>
  <c r="B276" i="9"/>
  <c r="B410" i="9"/>
  <c r="A410" i="9"/>
  <c r="B179" i="9"/>
  <c r="A179" i="9"/>
  <c r="A328" i="9"/>
  <c r="B328" i="9"/>
  <c r="B441" i="9"/>
  <c r="A441" i="9"/>
  <c r="A243" i="9"/>
  <c r="B243" i="9"/>
  <c r="B481" i="9"/>
  <c r="A481" i="9"/>
  <c r="A241" i="9"/>
  <c r="B241" i="9"/>
  <c r="A43" i="9"/>
  <c r="B43" i="9"/>
  <c r="B398" i="9"/>
  <c r="A398" i="9"/>
  <c r="B375" i="9"/>
  <c r="A375" i="9"/>
  <c r="A479" i="9"/>
  <c r="B479" i="9"/>
  <c r="A387" i="9"/>
  <c r="B387" i="9"/>
  <c r="B194" i="9"/>
  <c r="A194" i="9"/>
  <c r="A309" i="9"/>
  <c r="B309" i="9"/>
  <c r="A167" i="9"/>
  <c r="B167" i="9"/>
  <c r="A253" i="9"/>
  <c r="B253" i="9"/>
  <c r="B173" i="9"/>
  <c r="A173" i="9"/>
  <c r="A125" i="9"/>
  <c r="B125" i="9"/>
  <c r="B322" i="9"/>
  <c r="A322" i="9"/>
  <c r="A284" i="9"/>
  <c r="B284" i="9"/>
  <c r="A275" i="9"/>
  <c r="B275" i="9"/>
  <c r="B411" i="9"/>
  <c r="A411" i="9"/>
  <c r="B422" i="9"/>
  <c r="A422" i="9"/>
  <c r="A300" i="9"/>
  <c r="B300" i="9"/>
  <c r="A464" i="9"/>
  <c r="B464" i="9"/>
  <c r="A334" i="9"/>
  <c r="B334" i="9"/>
  <c r="A430" i="9"/>
  <c r="B430" i="9"/>
  <c r="A312" i="9"/>
  <c r="B312" i="9"/>
  <c r="A362" i="9"/>
  <c r="B362" i="9"/>
  <c r="A465" i="9"/>
  <c r="B465" i="9"/>
  <c r="A378" i="9"/>
  <c r="B378" i="9"/>
  <c r="A377" i="9"/>
  <c r="B377" i="9"/>
  <c r="B390" i="9"/>
  <c r="A390" i="9"/>
  <c r="B451" i="9"/>
  <c r="A451" i="9"/>
  <c r="B447" i="9"/>
  <c r="A447" i="9"/>
  <c r="B350" i="9"/>
  <c r="A350" i="9"/>
  <c r="A155" i="9"/>
  <c r="B155" i="9"/>
  <c r="A292" i="9"/>
  <c r="B292" i="9"/>
  <c r="A347" i="9"/>
  <c r="B347" i="9"/>
  <c r="A318" i="9"/>
  <c r="B318" i="9"/>
  <c r="A16" i="7"/>
  <c r="O16" i="7"/>
  <c r="B16" i="7"/>
  <c r="B15" i="7"/>
  <c r="O15" i="7"/>
  <c r="A15" i="7"/>
  <c r="B13" i="7"/>
  <c r="C13" i="7"/>
  <c r="C14" i="7" s="1"/>
  <c r="A13" i="7"/>
  <c r="O13" i="7"/>
  <c r="O17" i="7"/>
  <c r="B17" i="7"/>
  <c r="A17" i="7"/>
  <c r="B14" i="7"/>
  <c r="O14" i="7"/>
  <c r="A14" i="7"/>
  <c r="C50" i="7" l="1"/>
  <c r="C51" i="7" s="1"/>
  <c r="M6" i="21"/>
  <c r="L6" i="21"/>
  <c r="K6" i="21"/>
  <c r="K7" i="21" s="1"/>
  <c r="B19" i="17"/>
  <c r="A19" i="17"/>
  <c r="AX29" i="9"/>
  <c r="B29" i="9"/>
  <c r="A45" i="9"/>
  <c r="Q19" i="18"/>
  <c r="B19" i="18"/>
  <c r="A19" i="18"/>
  <c r="A18" i="18"/>
  <c r="Q18" i="18"/>
  <c r="B18" i="18"/>
  <c r="R22" i="17"/>
  <c r="C23" i="17"/>
  <c r="S22" i="17" s="1"/>
  <c r="Q20" i="17"/>
  <c r="A20" i="17"/>
  <c r="Y22" i="17"/>
  <c r="R21" i="17"/>
  <c r="Y21" i="17"/>
  <c r="S20" i="17"/>
  <c r="Q22" i="17"/>
  <c r="C21" i="16"/>
  <c r="B19" i="16"/>
  <c r="A19" i="16"/>
  <c r="Q19" i="16"/>
  <c r="Y20" i="16"/>
  <c r="R20" i="16"/>
  <c r="S19" i="16"/>
  <c r="S17" i="15"/>
  <c r="R18" i="15"/>
  <c r="Y18" i="15"/>
  <c r="C19" i="15"/>
  <c r="A17" i="15"/>
  <c r="B17" i="15"/>
  <c r="Q17" i="15"/>
  <c r="Q19" i="14"/>
  <c r="A19" i="14"/>
  <c r="C21" i="14"/>
  <c r="Y20" i="14"/>
  <c r="S19" i="14"/>
  <c r="B17" i="14"/>
  <c r="A17" i="14"/>
  <c r="Q17" i="14"/>
  <c r="B18" i="14"/>
  <c r="A18" i="14"/>
  <c r="Q18" i="14"/>
  <c r="A20" i="14"/>
  <c r="Q20" i="14"/>
  <c r="B20" i="14"/>
  <c r="AX31" i="9"/>
  <c r="B31" i="9"/>
  <c r="A31" i="9"/>
  <c r="R19" i="13"/>
  <c r="Y19" i="13"/>
  <c r="S18" i="13"/>
  <c r="Q18" i="13"/>
  <c r="B18" i="13"/>
  <c r="A18" i="13"/>
  <c r="AX38" i="9"/>
  <c r="A38" i="9"/>
  <c r="B38" i="9"/>
  <c r="AX52" i="9"/>
  <c r="C15" i="7"/>
  <c r="C16" i="7" s="1"/>
  <c r="C17" i="7" s="1"/>
  <c r="C52" i="7" l="1"/>
  <c r="C53" i="7" s="1"/>
  <c r="S20" i="14"/>
  <c r="Y21" i="14"/>
  <c r="A22" i="17"/>
  <c r="B22" i="17"/>
  <c r="C22" i="14"/>
  <c r="AX45" i="9"/>
  <c r="B45" i="9"/>
  <c r="C24" i="17"/>
  <c r="C25" i="17" s="1"/>
  <c r="R25" i="17" s="1"/>
  <c r="Y23" i="17"/>
  <c r="R23" i="17"/>
  <c r="B23" i="17" s="1"/>
  <c r="Q21" i="17"/>
  <c r="A21" i="17"/>
  <c r="B21" i="17"/>
  <c r="B20" i="16"/>
  <c r="Q20" i="16"/>
  <c r="A20" i="16"/>
  <c r="R21" i="16"/>
  <c r="Y21" i="16"/>
  <c r="S20" i="16"/>
  <c r="C22" i="16"/>
  <c r="A18" i="15"/>
  <c r="Q18" i="15"/>
  <c r="B18" i="15"/>
  <c r="Y19" i="15"/>
  <c r="R19" i="15"/>
  <c r="S18" i="15"/>
  <c r="C20" i="15"/>
  <c r="R21" i="14"/>
  <c r="A21" i="14" s="1"/>
  <c r="A19" i="13"/>
  <c r="B19" i="13"/>
  <c r="Q19" i="13"/>
  <c r="AX66" i="9"/>
  <c r="A66" i="9"/>
  <c r="B66" i="9"/>
  <c r="B52" i="9"/>
  <c r="A52" i="9"/>
  <c r="C54" i="7" l="1"/>
  <c r="C55" i="7" s="1"/>
  <c r="C56" i="7" s="1"/>
  <c r="C57" i="7" s="1"/>
  <c r="C23" i="14"/>
  <c r="R22" i="14"/>
  <c r="S21" i="14"/>
  <c r="Y22" i="14"/>
  <c r="S23" i="17"/>
  <c r="Q23" i="17"/>
  <c r="A23" i="17"/>
  <c r="Y25" i="17"/>
  <c r="S24" i="17"/>
  <c r="Y24" i="17"/>
  <c r="R24" i="17"/>
  <c r="A25" i="17"/>
  <c r="Q25" i="17"/>
  <c r="B25" i="17"/>
  <c r="Q21" i="16"/>
  <c r="A21" i="16"/>
  <c r="B21" i="16"/>
  <c r="R22" i="16"/>
  <c r="S21" i="16"/>
  <c r="Y22" i="16"/>
  <c r="C23" i="16"/>
  <c r="S19" i="15"/>
  <c r="Y20" i="15"/>
  <c r="R20" i="15"/>
  <c r="C21" i="15"/>
  <c r="A19" i="15"/>
  <c r="Q19" i="15"/>
  <c r="B19" i="15"/>
  <c r="B21" i="14"/>
  <c r="Q21" i="14"/>
  <c r="AX59" i="9"/>
  <c r="A59" i="9"/>
  <c r="B59" i="9"/>
  <c r="AX82" i="9"/>
  <c r="A82" i="9"/>
  <c r="B82" i="9"/>
  <c r="AX127" i="9"/>
  <c r="B22" i="14" l="1"/>
  <c r="Q22" i="14"/>
  <c r="A22" i="14"/>
  <c r="A24" i="17"/>
  <c r="Q24" i="17"/>
  <c r="B24" i="17"/>
  <c r="R23" i="14"/>
  <c r="S22" i="14"/>
  <c r="C24" i="14"/>
  <c r="Y23" i="14"/>
  <c r="S22" i="16"/>
  <c r="R23" i="16"/>
  <c r="Y23" i="16"/>
  <c r="C24" i="16"/>
  <c r="A22" i="16"/>
  <c r="Q22" i="16"/>
  <c r="B22" i="16"/>
  <c r="S20" i="15"/>
  <c r="Y21" i="15"/>
  <c r="R21" i="15"/>
  <c r="C22" i="15"/>
  <c r="C23" i="15" s="1"/>
  <c r="Q20" i="15"/>
  <c r="A20" i="15"/>
  <c r="B20" i="15"/>
  <c r="AX77" i="9"/>
  <c r="A77" i="9"/>
  <c r="B77" i="9"/>
  <c r="AX112" i="9"/>
  <c r="A112" i="9"/>
  <c r="B112" i="9"/>
  <c r="B127" i="9"/>
  <c r="A127" i="9"/>
  <c r="B23" i="14" l="1"/>
  <c r="A23" i="14"/>
  <c r="Q23" i="14"/>
  <c r="C25" i="14"/>
  <c r="R24" i="14"/>
  <c r="S23" i="14"/>
  <c r="Y24" i="14"/>
  <c r="B107" i="9"/>
  <c r="Y24" i="16"/>
  <c r="R24" i="16"/>
  <c r="S23" i="16"/>
  <c r="C25" i="16"/>
  <c r="Q23" i="16"/>
  <c r="A23" i="16"/>
  <c r="B23" i="16"/>
  <c r="S21" i="15"/>
  <c r="R22" i="15"/>
  <c r="Y22" i="15"/>
  <c r="B21" i="15"/>
  <c r="A21" i="15"/>
  <c r="Q21" i="15"/>
  <c r="Y23" i="15"/>
  <c r="S22" i="15"/>
  <c r="R23" i="15"/>
  <c r="AX97" i="9"/>
  <c r="A97" i="9"/>
  <c r="B97" i="9"/>
  <c r="AX138" i="9"/>
  <c r="AX149" i="9"/>
  <c r="B138" i="9"/>
  <c r="A138" i="9"/>
  <c r="B149" i="9"/>
  <c r="A149" i="9"/>
  <c r="Y25" i="14" l="1"/>
  <c r="S24" i="14"/>
  <c r="C26" i="14"/>
  <c r="R25" i="14"/>
  <c r="Q24" i="14"/>
  <c r="A24" i="14"/>
  <c r="B24" i="14"/>
  <c r="A107" i="9"/>
  <c r="AX107" i="9"/>
  <c r="B24" i="16"/>
  <c r="A24" i="16"/>
  <c r="Q24" i="16"/>
  <c r="R25" i="16"/>
  <c r="S24" i="16"/>
  <c r="Y25" i="16"/>
  <c r="B23" i="15"/>
  <c r="A23" i="15"/>
  <c r="Q23" i="15"/>
  <c r="A22" i="15"/>
  <c r="B22" i="15"/>
  <c r="Q22" i="15"/>
  <c r="A175" i="9"/>
  <c r="AX175" i="9"/>
  <c r="B175" i="9"/>
  <c r="C27" i="14" l="1"/>
  <c r="S25" i="14"/>
  <c r="Y26" i="14"/>
  <c r="R26" i="14"/>
  <c r="B25" i="14"/>
  <c r="A25" i="14"/>
  <c r="Q25" i="14"/>
  <c r="E22" i="9"/>
  <c r="S22" i="9" s="1"/>
  <c r="AX22" i="9" s="1"/>
  <c r="A130" i="9"/>
  <c r="Q25" i="16"/>
  <c r="A25" i="16"/>
  <c r="B25" i="16"/>
  <c r="AX117" i="9"/>
  <c r="A117" i="9"/>
  <c r="B117" i="9"/>
  <c r="C28" i="14" l="1"/>
  <c r="R27" i="14"/>
  <c r="S26" i="14"/>
  <c r="Y27" i="14"/>
  <c r="A26" i="14"/>
  <c r="Q26" i="14"/>
  <c r="B26" i="14"/>
  <c r="A22" i="9"/>
  <c r="B22" i="9"/>
  <c r="R22" i="9"/>
  <c r="B130" i="9"/>
  <c r="AX130" i="9"/>
  <c r="C29" i="14" l="1"/>
  <c r="S27" i="14"/>
  <c r="Y28" i="14"/>
  <c r="R28" i="14"/>
  <c r="A27" i="14"/>
  <c r="B27" i="14"/>
  <c r="Q27" i="14"/>
  <c r="A144" i="9"/>
  <c r="B144" i="9"/>
  <c r="AX144" i="9"/>
  <c r="S28" i="14" l="1"/>
  <c r="Y29" i="14"/>
  <c r="C30" i="14"/>
  <c r="R29" i="14"/>
  <c r="Q28" i="14"/>
  <c r="A28" i="14"/>
  <c r="B28" i="14"/>
  <c r="A164" i="9"/>
  <c r="AX154" i="9"/>
  <c r="B154" i="9"/>
  <c r="A154" i="9"/>
  <c r="C31" i="14" l="1"/>
  <c r="S29" i="14"/>
  <c r="R30" i="14"/>
  <c r="Y30" i="14"/>
  <c r="B29" i="14"/>
  <c r="A29" i="14"/>
  <c r="Q29" i="14"/>
  <c r="B164" i="9"/>
  <c r="AX164" i="9"/>
  <c r="C32" i="14" l="1"/>
  <c r="R31" i="14"/>
  <c r="Y31" i="14"/>
  <c r="S30" i="14"/>
  <c r="A30" i="14"/>
  <c r="Q30" i="14"/>
  <c r="B30" i="14"/>
  <c r="C33" i="14" l="1"/>
  <c r="Y32" i="14"/>
  <c r="S31" i="14"/>
  <c r="R32" i="14"/>
  <c r="A31" i="14"/>
  <c r="B31" i="14"/>
  <c r="Q31" i="14"/>
  <c r="R33" i="14" l="1"/>
  <c r="Y33" i="14"/>
  <c r="S32" i="14"/>
  <c r="A32" i="14"/>
  <c r="Q32" i="14"/>
  <c r="B32" i="14"/>
  <c r="B33" i="14" l="1"/>
  <c r="Q33" i="14"/>
  <c r="A33" i="14"/>
  <c r="L6" i="11"/>
  <c r="K6" i="14"/>
  <c r="M6" i="14"/>
  <c r="G16" i="14" s="1"/>
  <c r="L6" i="14"/>
  <c r="G29" i="14" s="1"/>
  <c r="K7" i="14" l="1"/>
  <c r="H29" i="14" s="1"/>
  <c r="N29" i="14" s="1"/>
  <c r="M6" i="17"/>
  <c r="K6" i="17"/>
  <c r="L6" i="17"/>
  <c r="L6" i="16"/>
  <c r="K6" i="16"/>
  <c r="M6" i="16"/>
  <c r="L6" i="15"/>
  <c r="G19" i="15" s="1"/>
  <c r="K6" i="15"/>
  <c r="M6" i="15"/>
  <c r="K6" i="13"/>
  <c r="L6" i="13"/>
  <c r="M6" i="13"/>
  <c r="G16" i="13" s="1"/>
  <c r="K6" i="11"/>
  <c r="M6" i="11"/>
  <c r="G16" i="11" s="1"/>
  <c r="G15" i="21"/>
  <c r="F33" i="14"/>
  <c r="F14" i="14"/>
  <c r="G15" i="14"/>
  <c r="F15" i="14"/>
  <c r="G26" i="14"/>
  <c r="G27" i="14" s="1"/>
  <c r="F16" i="14"/>
  <c r="G23" i="14"/>
  <c r="G24" i="14" s="1"/>
  <c r="F30" i="14"/>
  <c r="G33" i="14"/>
  <c r="E33" i="14"/>
  <c r="G14" i="14"/>
  <c r="G20" i="14"/>
  <c r="G21" i="14" s="1"/>
  <c r="G30" i="14"/>
  <c r="H33" i="14" l="1"/>
  <c r="AK33" i="14" s="1"/>
  <c r="H15" i="14"/>
  <c r="AK15" i="14" s="1"/>
  <c r="H19" i="14"/>
  <c r="O19" i="14" s="1"/>
  <c r="H14" i="14"/>
  <c r="P14" i="14" s="1"/>
  <c r="H26" i="14"/>
  <c r="P26" i="14" s="1"/>
  <c r="H20" i="14"/>
  <c r="N20" i="14" s="1"/>
  <c r="M31" i="14"/>
  <c r="H30" i="14"/>
  <c r="O30" i="14" s="1"/>
  <c r="H16" i="14"/>
  <c r="AK16" i="14" s="1"/>
  <c r="H18" i="14"/>
  <c r="AK18" i="14" s="1"/>
  <c r="H23" i="14"/>
  <c r="H24" i="14" s="1"/>
  <c r="N24" i="14" s="1"/>
  <c r="H17" i="14"/>
  <c r="P17" i="14" s="1"/>
  <c r="M32" i="14"/>
  <c r="G18" i="17"/>
  <c r="G21" i="17"/>
  <c r="G17" i="17"/>
  <c r="G14" i="17"/>
  <c r="K7" i="17"/>
  <c r="M24" i="17" s="1"/>
  <c r="G19" i="17"/>
  <c r="G20" i="17"/>
  <c r="G16" i="17"/>
  <c r="G15" i="17"/>
  <c r="G16" i="16"/>
  <c r="G15" i="16"/>
  <c r="G17" i="16"/>
  <c r="G20" i="16"/>
  <c r="K7" i="16"/>
  <c r="M25" i="16" s="1"/>
  <c r="G19" i="16"/>
  <c r="G14" i="16"/>
  <c r="G18" i="16"/>
  <c r="G21" i="16"/>
  <c r="G15" i="15"/>
  <c r="G16" i="15"/>
  <c r="G14" i="15"/>
  <c r="G18" i="15"/>
  <c r="G17" i="15"/>
  <c r="K7" i="15"/>
  <c r="M22" i="15" s="1"/>
  <c r="G15" i="13"/>
  <c r="K7" i="13"/>
  <c r="M19" i="13" s="1"/>
  <c r="K7" i="11"/>
  <c r="G15" i="11"/>
  <c r="G14" i="21"/>
  <c r="M18" i="21"/>
  <c r="M33" i="14"/>
  <c r="M29" i="14"/>
  <c r="AK29" i="14"/>
  <c r="G28" i="14"/>
  <c r="O29" i="14"/>
  <c r="P29" i="14"/>
  <c r="G22" i="14"/>
  <c r="G25" i="14"/>
  <c r="M20" i="14" l="1"/>
  <c r="O20" i="14"/>
  <c r="P20" i="14"/>
  <c r="M17" i="13"/>
  <c r="M18" i="13"/>
  <c r="H21" i="14"/>
  <c r="N21" i="14" s="1"/>
  <c r="P30" i="14"/>
  <c r="AK30" i="14"/>
  <c r="N30" i="14"/>
  <c r="N16" i="14"/>
  <c r="AK20" i="14"/>
  <c r="N15" i="14"/>
  <c r="H28" i="14"/>
  <c r="AK28" i="14" s="1"/>
  <c r="M30" i="14"/>
  <c r="M16" i="14"/>
  <c r="O23" i="14"/>
  <c r="N23" i="14"/>
  <c r="P19" i="14"/>
  <c r="M14" i="14"/>
  <c r="AK14" i="14"/>
  <c r="AK19" i="14"/>
  <c r="N19" i="14"/>
  <c r="M19" i="14"/>
  <c r="M15" i="14"/>
  <c r="N33" i="14"/>
  <c r="O16" i="14"/>
  <c r="O14" i="14"/>
  <c r="N14" i="14"/>
  <c r="M23" i="14"/>
  <c r="O18" i="14"/>
  <c r="N18" i="14"/>
  <c r="M18" i="14"/>
  <c r="P18" i="14"/>
  <c r="P33" i="14"/>
  <c r="O33" i="14"/>
  <c r="P16" i="14"/>
  <c r="N17" i="14"/>
  <c r="P23" i="14"/>
  <c r="M17" i="14"/>
  <c r="AK23" i="14"/>
  <c r="P15" i="14"/>
  <c r="AK17" i="14"/>
  <c r="N26" i="14"/>
  <c r="O26" i="14"/>
  <c r="O15" i="14"/>
  <c r="O17" i="14"/>
  <c r="AK26" i="14"/>
  <c r="H27" i="14"/>
  <c r="O27" i="14" s="1"/>
  <c r="M26" i="14"/>
  <c r="M23" i="17"/>
  <c r="M25" i="17"/>
  <c r="H18" i="17"/>
  <c r="P18" i="17" s="1"/>
  <c r="H22" i="17"/>
  <c r="H16" i="17"/>
  <c r="N16" i="17" s="1"/>
  <c r="H19" i="17"/>
  <c r="P19" i="17" s="1"/>
  <c r="H21" i="17"/>
  <c r="O21" i="17" s="1"/>
  <c r="H20" i="17"/>
  <c r="O20" i="17" s="1"/>
  <c r="H14" i="17"/>
  <c r="M14" i="17" s="1"/>
  <c r="H17" i="17"/>
  <c r="N17" i="17" s="1"/>
  <c r="H15" i="17"/>
  <c r="N15" i="17" s="1"/>
  <c r="M24" i="16"/>
  <c r="M23" i="16"/>
  <c r="H16" i="16"/>
  <c r="O16" i="16" s="1"/>
  <c r="H18" i="16"/>
  <c r="M18" i="16" s="1"/>
  <c r="H20" i="16"/>
  <c r="N20" i="16" s="1"/>
  <c r="H14" i="16"/>
  <c r="M14" i="16" s="1"/>
  <c r="H17" i="16"/>
  <c r="N17" i="16" s="1"/>
  <c r="H15" i="16"/>
  <c r="P15" i="16" s="1"/>
  <c r="H22" i="16"/>
  <c r="H19" i="16"/>
  <c r="M19" i="16" s="1"/>
  <c r="H21" i="16"/>
  <c r="N21" i="16" s="1"/>
  <c r="M21" i="15"/>
  <c r="M23" i="15"/>
  <c r="H16" i="15"/>
  <c r="O16" i="15" s="1"/>
  <c r="H15" i="15"/>
  <c r="P15" i="15" s="1"/>
  <c r="H17" i="15"/>
  <c r="M17" i="15" s="1"/>
  <c r="H20" i="15"/>
  <c r="H14" i="15"/>
  <c r="P14" i="15" s="1"/>
  <c r="H18" i="15"/>
  <c r="P18" i="15" s="1"/>
  <c r="H19" i="15"/>
  <c r="M16" i="21"/>
  <c r="M17" i="21"/>
  <c r="H14" i="21"/>
  <c r="O14" i="21" s="1"/>
  <c r="H15" i="21"/>
  <c r="O24" i="14"/>
  <c r="P24" i="14"/>
  <c r="M24" i="14"/>
  <c r="H25" i="14"/>
  <c r="N25" i="14" s="1"/>
  <c r="AK24" i="14"/>
  <c r="P21" i="14" l="1"/>
  <c r="O21" i="14"/>
  <c r="AK21" i="14"/>
  <c r="M21" i="14"/>
  <c r="O28" i="14"/>
  <c r="M28" i="14"/>
  <c r="P28" i="14"/>
  <c r="N28" i="14"/>
  <c r="H22" i="14"/>
  <c r="AK22" i="14" s="1"/>
  <c r="AK27" i="14"/>
  <c r="M27" i="14"/>
  <c r="N27" i="14"/>
  <c r="P27" i="14"/>
  <c r="O18" i="17"/>
  <c r="M18" i="17"/>
  <c r="P16" i="16"/>
  <c r="N15" i="15"/>
  <c r="N21" i="17"/>
  <c r="M17" i="17"/>
  <c r="P17" i="17"/>
  <c r="O17" i="17"/>
  <c r="M16" i="17"/>
  <c r="P21" i="17"/>
  <c r="P20" i="17"/>
  <c r="N20" i="17"/>
  <c r="M20" i="17"/>
  <c r="M15" i="15"/>
  <c r="N16" i="16"/>
  <c r="O16" i="17"/>
  <c r="N16" i="15"/>
  <c r="P22" i="17"/>
  <c r="M22" i="17"/>
  <c r="O22" i="17"/>
  <c r="N22" i="17"/>
  <c r="M16" i="15"/>
  <c r="M16" i="16"/>
  <c r="P14" i="17"/>
  <c r="P16" i="17"/>
  <c r="O14" i="17"/>
  <c r="N18" i="17"/>
  <c r="N14" i="17"/>
  <c r="O19" i="17"/>
  <c r="M15" i="17"/>
  <c r="N19" i="17"/>
  <c r="P15" i="17"/>
  <c r="M21" i="17"/>
  <c r="M19" i="17"/>
  <c r="O15" i="17"/>
  <c r="O15" i="16"/>
  <c r="M15" i="16"/>
  <c r="P14" i="16"/>
  <c r="O17" i="16"/>
  <c r="N14" i="16"/>
  <c r="P17" i="16"/>
  <c r="O14" i="16"/>
  <c r="N15" i="16"/>
  <c r="M22" i="16"/>
  <c r="N22" i="16"/>
  <c r="P22" i="16"/>
  <c r="O22" i="16"/>
  <c r="M17" i="16"/>
  <c r="P16" i="15"/>
  <c r="O18" i="16"/>
  <c r="P18" i="16"/>
  <c r="P17" i="15"/>
  <c r="P20" i="16"/>
  <c r="N18" i="16"/>
  <c r="O17" i="15"/>
  <c r="M20" i="16"/>
  <c r="P19" i="16"/>
  <c r="P21" i="16"/>
  <c r="N17" i="15"/>
  <c r="O20" i="16"/>
  <c r="N19" i="16"/>
  <c r="O21" i="16"/>
  <c r="O19" i="16"/>
  <c r="M21" i="16"/>
  <c r="N14" i="15"/>
  <c r="O14" i="15"/>
  <c r="M14" i="15"/>
  <c r="P19" i="15"/>
  <c r="O19" i="15"/>
  <c r="N19" i="15"/>
  <c r="M19" i="15"/>
  <c r="O20" i="15"/>
  <c r="P20" i="15"/>
  <c r="M20" i="15"/>
  <c r="N20" i="15"/>
  <c r="M18" i="15"/>
  <c r="N18" i="15"/>
  <c r="O18" i="15"/>
  <c r="O15" i="15"/>
  <c r="M14" i="21"/>
  <c r="M15" i="21"/>
  <c r="O15" i="21"/>
  <c r="N15" i="21"/>
  <c r="P15" i="21"/>
  <c r="O77" i="21"/>
  <c r="N14" i="21"/>
  <c r="N77" i="21" s="1"/>
  <c r="P14" i="21"/>
  <c r="P77" i="21" s="1"/>
  <c r="P25" i="14"/>
  <c r="O25" i="14"/>
  <c r="M25" i="14"/>
  <c r="AK25" i="14"/>
  <c r="M22" i="14" l="1"/>
  <c r="O22" i="14"/>
  <c r="P22" i="14"/>
  <c r="N22" i="14"/>
  <c r="N77" i="17"/>
  <c r="O77" i="17"/>
  <c r="P77" i="17"/>
  <c r="P77" i="16"/>
  <c r="O77" i="16"/>
  <c r="P77" i="15"/>
  <c r="N77" i="16"/>
  <c r="O77" i="15"/>
  <c r="N77" i="15"/>
  <c r="O77" i="14" l="1"/>
  <c r="N77" i="14"/>
  <c r="P77" i="14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AA13" i="9"/>
  <c r="X13" i="9"/>
  <c r="W13" i="9"/>
  <c r="Q13" i="9"/>
  <c r="I13" i="9"/>
  <c r="H13" i="9"/>
  <c r="G13" i="9"/>
  <c r="F13" i="9"/>
  <c r="D13" i="9"/>
  <c r="W12" i="9"/>
  <c r="O59" i="9" l="1"/>
  <c r="V59" i="9"/>
  <c r="P59" i="9" s="1"/>
  <c r="Y59" i="9"/>
  <c r="N59" i="9"/>
  <c r="K59" i="9"/>
  <c r="L59" i="9"/>
  <c r="M59" i="9"/>
  <c r="J59" i="9"/>
  <c r="AD59" i="9"/>
  <c r="V119" i="9"/>
  <c r="P119" i="9" s="1"/>
  <c r="Y119" i="9"/>
  <c r="O119" i="9"/>
  <c r="K119" i="9"/>
  <c r="L119" i="9"/>
  <c r="M119" i="9"/>
  <c r="N119" i="9"/>
  <c r="J119" i="9"/>
  <c r="AD119" i="9"/>
  <c r="V179" i="9"/>
  <c r="P179" i="9" s="1"/>
  <c r="O179" i="9"/>
  <c r="Y179" i="9"/>
  <c r="M179" i="9"/>
  <c r="L179" i="9"/>
  <c r="K179" i="9"/>
  <c r="AD179" i="9"/>
  <c r="J179" i="9"/>
  <c r="N179" i="9"/>
  <c r="V287" i="9"/>
  <c r="P287" i="9" s="1"/>
  <c r="Y287" i="9"/>
  <c r="O287" i="9"/>
  <c r="L287" i="9"/>
  <c r="M287" i="9"/>
  <c r="K287" i="9"/>
  <c r="AD287" i="9"/>
  <c r="J287" i="9"/>
  <c r="N287" i="9"/>
  <c r="O335" i="9"/>
  <c r="V335" i="9"/>
  <c r="P335" i="9" s="1"/>
  <c r="Y335" i="9"/>
  <c r="M335" i="9"/>
  <c r="L335" i="9"/>
  <c r="K335" i="9"/>
  <c r="J335" i="9"/>
  <c r="N335" i="9"/>
  <c r="AD335" i="9"/>
  <c r="O407" i="9"/>
  <c r="Y407" i="9"/>
  <c r="V407" i="9"/>
  <c r="P407" i="9" s="1"/>
  <c r="L407" i="9"/>
  <c r="K407" i="9"/>
  <c r="AD407" i="9"/>
  <c r="N407" i="9"/>
  <c r="J407" i="9"/>
  <c r="M407" i="9"/>
  <c r="O479" i="9"/>
  <c r="V479" i="9"/>
  <c r="P479" i="9" s="1"/>
  <c r="Y479" i="9"/>
  <c r="M479" i="9"/>
  <c r="L479" i="9"/>
  <c r="K479" i="9"/>
  <c r="AD479" i="9"/>
  <c r="J479" i="9"/>
  <c r="N479" i="9"/>
  <c r="V539" i="9"/>
  <c r="P539" i="9" s="1"/>
  <c r="O539" i="9"/>
  <c r="Y539" i="9"/>
  <c r="AD539" i="9"/>
  <c r="K539" i="9"/>
  <c r="L539" i="9"/>
  <c r="M539" i="9"/>
  <c r="J539" i="9"/>
  <c r="N539" i="9"/>
  <c r="O575" i="9"/>
  <c r="V575" i="9"/>
  <c r="P575" i="9" s="1"/>
  <c r="Y575" i="9"/>
  <c r="L575" i="9"/>
  <c r="M575" i="9"/>
  <c r="AD575" i="9"/>
  <c r="K575" i="9"/>
  <c r="N575" i="9"/>
  <c r="J575" i="9"/>
  <c r="O623" i="9"/>
  <c r="V623" i="9"/>
  <c r="P623" i="9" s="1"/>
  <c r="Y623" i="9"/>
  <c r="L623" i="9"/>
  <c r="M623" i="9"/>
  <c r="K623" i="9"/>
  <c r="AD623" i="9"/>
  <c r="N623" i="9"/>
  <c r="J623" i="9"/>
  <c r="Y683" i="9"/>
  <c r="V683" i="9"/>
  <c r="P683" i="9" s="1"/>
  <c r="O683" i="9"/>
  <c r="L683" i="9"/>
  <c r="K683" i="9"/>
  <c r="M683" i="9"/>
  <c r="AD683" i="9"/>
  <c r="J683" i="9"/>
  <c r="N683" i="9"/>
  <c r="V707" i="9"/>
  <c r="P707" i="9" s="1"/>
  <c r="O707" i="9"/>
  <c r="Y707" i="9"/>
  <c r="L707" i="9"/>
  <c r="M707" i="9"/>
  <c r="K707" i="9"/>
  <c r="AD707" i="9"/>
  <c r="N707" i="9"/>
  <c r="J707" i="9"/>
  <c r="O791" i="9"/>
  <c r="Y791" i="9"/>
  <c r="V791" i="9"/>
  <c r="P791" i="9" s="1"/>
  <c r="M791" i="9"/>
  <c r="K791" i="9"/>
  <c r="L791" i="9"/>
  <c r="AD791" i="9"/>
  <c r="N791" i="9"/>
  <c r="J791" i="9"/>
  <c r="O24" i="9"/>
  <c r="Y24" i="9"/>
  <c r="V24" i="9"/>
  <c r="P24" i="9" s="1"/>
  <c r="K24" i="9"/>
  <c r="L24" i="9"/>
  <c r="M24" i="9"/>
  <c r="AD24" i="9"/>
  <c r="N24" i="9"/>
  <c r="J24" i="9"/>
  <c r="O144" i="9"/>
  <c r="Y144" i="9"/>
  <c r="V144" i="9"/>
  <c r="P144" i="9" s="1"/>
  <c r="M144" i="9"/>
  <c r="J144" i="9"/>
  <c r="AD144" i="9"/>
  <c r="K144" i="9"/>
  <c r="N144" i="9"/>
  <c r="L144" i="9"/>
  <c r="O300" i="9"/>
  <c r="Y300" i="9"/>
  <c r="V300" i="9"/>
  <c r="P300" i="9" s="1"/>
  <c r="K300" i="9"/>
  <c r="L300" i="9"/>
  <c r="M300" i="9"/>
  <c r="AD300" i="9"/>
  <c r="N300" i="9"/>
  <c r="J300" i="9"/>
  <c r="O456" i="9"/>
  <c r="V456" i="9"/>
  <c r="P456" i="9" s="1"/>
  <c r="Y456" i="9"/>
  <c r="K456" i="9"/>
  <c r="L456" i="9"/>
  <c r="M456" i="9"/>
  <c r="N456" i="9"/>
  <c r="AD456" i="9"/>
  <c r="J456" i="9"/>
  <c r="V720" i="9"/>
  <c r="P720" i="9" s="1"/>
  <c r="O720" i="9"/>
  <c r="Y720" i="9"/>
  <c r="K720" i="9"/>
  <c r="L720" i="9"/>
  <c r="AD720" i="9"/>
  <c r="J720" i="9"/>
  <c r="N720" i="9"/>
  <c r="M720" i="9"/>
  <c r="O25" i="9"/>
  <c r="Y25" i="9"/>
  <c r="V25" i="9"/>
  <c r="P25" i="9" s="1"/>
  <c r="K25" i="9"/>
  <c r="AD25" i="9"/>
  <c r="M25" i="9"/>
  <c r="J25" i="9"/>
  <c r="N25" i="9"/>
  <c r="L25" i="9"/>
  <c r="V37" i="9"/>
  <c r="P37" i="9" s="1"/>
  <c r="Y37" i="9"/>
  <c r="O37" i="9"/>
  <c r="N37" i="9"/>
  <c r="AD37" i="9"/>
  <c r="M37" i="9"/>
  <c r="L37" i="9"/>
  <c r="J37" i="9"/>
  <c r="K37" i="9"/>
  <c r="O49" i="9"/>
  <c r="V49" i="9"/>
  <c r="P49" i="9" s="1"/>
  <c r="Y49" i="9"/>
  <c r="L49" i="9"/>
  <c r="K49" i="9"/>
  <c r="M49" i="9"/>
  <c r="N49" i="9"/>
  <c r="J49" i="9"/>
  <c r="AD49" i="9"/>
  <c r="O61" i="9"/>
  <c r="V61" i="9"/>
  <c r="P61" i="9" s="1"/>
  <c r="Y61" i="9"/>
  <c r="L61" i="9"/>
  <c r="K61" i="9"/>
  <c r="J61" i="9"/>
  <c r="M61" i="9"/>
  <c r="AD61" i="9"/>
  <c r="N61" i="9"/>
  <c r="O73" i="9"/>
  <c r="V73" i="9"/>
  <c r="P73" i="9" s="1"/>
  <c r="Y73" i="9"/>
  <c r="K73" i="9"/>
  <c r="M73" i="9"/>
  <c r="L73" i="9"/>
  <c r="N73" i="9"/>
  <c r="AD73" i="9"/>
  <c r="J73" i="9"/>
  <c r="V85" i="9"/>
  <c r="P85" i="9" s="1"/>
  <c r="L85" i="9"/>
  <c r="Y85" i="9"/>
  <c r="K85" i="9"/>
  <c r="AD85" i="9"/>
  <c r="M85" i="9"/>
  <c r="O85" i="9"/>
  <c r="J85" i="9"/>
  <c r="N85" i="9"/>
  <c r="Y97" i="9"/>
  <c r="O97" i="9"/>
  <c r="V97" i="9"/>
  <c r="P97" i="9" s="1"/>
  <c r="J97" i="9"/>
  <c r="AD97" i="9"/>
  <c r="M97" i="9"/>
  <c r="L97" i="9"/>
  <c r="N97" i="9"/>
  <c r="K97" i="9"/>
  <c r="O109" i="9"/>
  <c r="V109" i="9"/>
  <c r="P109" i="9" s="1"/>
  <c r="Y109" i="9"/>
  <c r="L109" i="9"/>
  <c r="M109" i="9"/>
  <c r="K109" i="9"/>
  <c r="N109" i="9"/>
  <c r="J109" i="9"/>
  <c r="AD109" i="9"/>
  <c r="V121" i="9"/>
  <c r="P121" i="9" s="1"/>
  <c r="Y121" i="9"/>
  <c r="O121" i="9"/>
  <c r="K121" i="9"/>
  <c r="M121" i="9"/>
  <c r="L121" i="9"/>
  <c r="AD121" i="9"/>
  <c r="N121" i="9"/>
  <c r="J121" i="9"/>
  <c r="V133" i="9"/>
  <c r="P133" i="9" s="1"/>
  <c r="Y133" i="9"/>
  <c r="O133" i="9"/>
  <c r="L133" i="9"/>
  <c r="K133" i="9"/>
  <c r="M133" i="9"/>
  <c r="AD133" i="9"/>
  <c r="N133" i="9"/>
  <c r="J133" i="9"/>
  <c r="O145" i="9"/>
  <c r="Y145" i="9"/>
  <c r="V145" i="9"/>
  <c r="P145" i="9" s="1"/>
  <c r="L145" i="9"/>
  <c r="M145" i="9"/>
  <c r="K145" i="9"/>
  <c r="AD145" i="9"/>
  <c r="N145" i="9"/>
  <c r="J145" i="9"/>
  <c r="O157" i="9"/>
  <c r="Y157" i="9"/>
  <c r="V157" i="9"/>
  <c r="P157" i="9" s="1"/>
  <c r="K157" i="9"/>
  <c r="M157" i="9"/>
  <c r="J157" i="9"/>
  <c r="AD157" i="9"/>
  <c r="L157" i="9"/>
  <c r="N157" i="9"/>
  <c r="O169" i="9"/>
  <c r="Y169" i="9"/>
  <c r="V169" i="9"/>
  <c r="P169" i="9" s="1"/>
  <c r="L169" i="9"/>
  <c r="K169" i="9"/>
  <c r="M169" i="9"/>
  <c r="AD169" i="9"/>
  <c r="N169" i="9"/>
  <c r="J169" i="9"/>
  <c r="O181" i="9"/>
  <c r="V181" i="9"/>
  <c r="P181" i="9" s="1"/>
  <c r="Y181" i="9"/>
  <c r="M181" i="9"/>
  <c r="K181" i="9"/>
  <c r="J181" i="9"/>
  <c r="AD181" i="9"/>
  <c r="N181" i="9"/>
  <c r="L181" i="9"/>
  <c r="O193" i="9"/>
  <c r="V193" i="9"/>
  <c r="P193" i="9" s="1"/>
  <c r="Y193" i="9"/>
  <c r="N193" i="9"/>
  <c r="L193" i="9"/>
  <c r="M193" i="9"/>
  <c r="K193" i="9"/>
  <c r="AD193" i="9"/>
  <c r="J193" i="9"/>
  <c r="V205" i="9"/>
  <c r="P205" i="9" s="1"/>
  <c r="Y205" i="9"/>
  <c r="O205" i="9"/>
  <c r="M205" i="9"/>
  <c r="N205" i="9"/>
  <c r="K205" i="9"/>
  <c r="L205" i="9"/>
  <c r="J205" i="9"/>
  <c r="AD205" i="9"/>
  <c r="O217" i="9"/>
  <c r="Y217" i="9"/>
  <c r="V217" i="9"/>
  <c r="P217" i="9" s="1"/>
  <c r="L217" i="9"/>
  <c r="M217" i="9"/>
  <c r="K217" i="9"/>
  <c r="AD217" i="9"/>
  <c r="J217" i="9"/>
  <c r="N217" i="9"/>
  <c r="Y229" i="9"/>
  <c r="O229" i="9"/>
  <c r="V229" i="9"/>
  <c r="P229" i="9" s="1"/>
  <c r="L229" i="9"/>
  <c r="M229" i="9"/>
  <c r="K229" i="9"/>
  <c r="J229" i="9"/>
  <c r="AD229" i="9"/>
  <c r="N229" i="9"/>
  <c r="O241" i="9"/>
  <c r="Y241" i="9"/>
  <c r="V241" i="9"/>
  <c r="P241" i="9" s="1"/>
  <c r="L241" i="9"/>
  <c r="K241" i="9"/>
  <c r="M241" i="9"/>
  <c r="AD241" i="9"/>
  <c r="J241" i="9"/>
  <c r="N241" i="9"/>
  <c r="O253" i="9"/>
  <c r="V253" i="9"/>
  <c r="P253" i="9" s="1"/>
  <c r="Y253" i="9"/>
  <c r="L253" i="9"/>
  <c r="M253" i="9"/>
  <c r="K253" i="9"/>
  <c r="AD253" i="9"/>
  <c r="N253" i="9"/>
  <c r="J253" i="9"/>
  <c r="V265" i="9"/>
  <c r="P265" i="9" s="1"/>
  <c r="Y265" i="9"/>
  <c r="O265" i="9"/>
  <c r="J265" i="9"/>
  <c r="L265" i="9"/>
  <c r="K265" i="9"/>
  <c r="M265" i="9"/>
  <c r="N265" i="9"/>
  <c r="AD265" i="9"/>
  <c r="V277" i="9"/>
  <c r="P277" i="9" s="1"/>
  <c r="Y277" i="9"/>
  <c r="O277" i="9"/>
  <c r="L277" i="9"/>
  <c r="K277" i="9"/>
  <c r="J277" i="9"/>
  <c r="M277" i="9"/>
  <c r="AD277" i="9"/>
  <c r="N277" i="9"/>
  <c r="O289" i="9"/>
  <c r="Y289" i="9"/>
  <c r="V289" i="9"/>
  <c r="P289" i="9" s="1"/>
  <c r="L289" i="9"/>
  <c r="M289" i="9"/>
  <c r="K289" i="9"/>
  <c r="N289" i="9"/>
  <c r="AD289" i="9"/>
  <c r="J289" i="9"/>
  <c r="O301" i="9"/>
  <c r="V301" i="9"/>
  <c r="P301" i="9" s="1"/>
  <c r="Y301" i="9"/>
  <c r="L301" i="9"/>
  <c r="M301" i="9"/>
  <c r="K301" i="9"/>
  <c r="N301" i="9"/>
  <c r="AD301" i="9"/>
  <c r="J301" i="9"/>
  <c r="O313" i="9"/>
  <c r="Y313" i="9"/>
  <c r="V313" i="9"/>
  <c r="P313" i="9" s="1"/>
  <c r="L313" i="9"/>
  <c r="K313" i="9"/>
  <c r="M313" i="9"/>
  <c r="AD313" i="9"/>
  <c r="J313" i="9"/>
  <c r="N313" i="9"/>
  <c r="O325" i="9"/>
  <c r="V325" i="9"/>
  <c r="P325" i="9" s="1"/>
  <c r="Y325" i="9"/>
  <c r="L325" i="9"/>
  <c r="K325" i="9"/>
  <c r="M325" i="9"/>
  <c r="N325" i="9"/>
  <c r="J325" i="9"/>
  <c r="AD325" i="9"/>
  <c r="V337" i="9"/>
  <c r="P337" i="9" s="1"/>
  <c r="Y337" i="9"/>
  <c r="O337" i="9"/>
  <c r="L337" i="9"/>
  <c r="K337" i="9"/>
  <c r="M337" i="9"/>
  <c r="AD337" i="9"/>
  <c r="N337" i="9"/>
  <c r="J337" i="9"/>
  <c r="V349" i="9"/>
  <c r="P349" i="9" s="1"/>
  <c r="Y349" i="9"/>
  <c r="O349" i="9"/>
  <c r="L349" i="9"/>
  <c r="K349" i="9"/>
  <c r="M349" i="9"/>
  <c r="AD349" i="9"/>
  <c r="N349" i="9"/>
  <c r="J349" i="9"/>
  <c r="O361" i="9"/>
  <c r="V361" i="9"/>
  <c r="P361" i="9" s="1"/>
  <c r="Y361" i="9"/>
  <c r="L361" i="9"/>
  <c r="K361" i="9"/>
  <c r="M361" i="9"/>
  <c r="N361" i="9"/>
  <c r="J361" i="9"/>
  <c r="AD361" i="9"/>
  <c r="O373" i="9"/>
  <c r="V373" i="9"/>
  <c r="P373" i="9" s="1"/>
  <c r="Y373" i="9"/>
  <c r="M373" i="9"/>
  <c r="K373" i="9"/>
  <c r="L373" i="9"/>
  <c r="J373" i="9"/>
  <c r="N373" i="9"/>
  <c r="AD373" i="9"/>
  <c r="O385" i="9"/>
  <c r="V385" i="9"/>
  <c r="P385" i="9" s="1"/>
  <c r="Y385" i="9"/>
  <c r="AD385" i="9"/>
  <c r="N385" i="9"/>
  <c r="M385" i="9"/>
  <c r="K385" i="9"/>
  <c r="L385" i="9"/>
  <c r="J385" i="9"/>
  <c r="O397" i="9"/>
  <c r="Y397" i="9"/>
  <c r="V397" i="9"/>
  <c r="P397" i="9" s="1"/>
  <c r="M397" i="9"/>
  <c r="L397" i="9"/>
  <c r="K397" i="9"/>
  <c r="AD397" i="9"/>
  <c r="J397" i="9"/>
  <c r="N397" i="9"/>
  <c r="O409" i="9"/>
  <c r="Y409" i="9"/>
  <c r="V409" i="9"/>
  <c r="P409" i="9" s="1"/>
  <c r="M409" i="9"/>
  <c r="L409" i="9"/>
  <c r="N409" i="9"/>
  <c r="AD409" i="9"/>
  <c r="J409" i="9"/>
  <c r="K409" i="9"/>
  <c r="O421" i="9"/>
  <c r="V421" i="9"/>
  <c r="P421" i="9" s="1"/>
  <c r="Y421" i="9"/>
  <c r="M421" i="9"/>
  <c r="K421" i="9"/>
  <c r="AD421" i="9"/>
  <c r="L421" i="9"/>
  <c r="J421" i="9"/>
  <c r="N421" i="9"/>
  <c r="Y433" i="9"/>
  <c r="O433" i="9"/>
  <c r="V433" i="9"/>
  <c r="P433" i="9" s="1"/>
  <c r="J433" i="9"/>
  <c r="AD433" i="9"/>
  <c r="N433" i="9"/>
  <c r="M433" i="9"/>
  <c r="L433" i="9"/>
  <c r="K433" i="9"/>
  <c r="O445" i="9"/>
  <c r="Y445" i="9"/>
  <c r="V445" i="9"/>
  <c r="P445" i="9" s="1"/>
  <c r="L445" i="9"/>
  <c r="K445" i="9"/>
  <c r="M445" i="9"/>
  <c r="J445" i="9"/>
  <c r="AD445" i="9"/>
  <c r="N445" i="9"/>
  <c r="O457" i="9"/>
  <c r="Y457" i="9"/>
  <c r="V457" i="9"/>
  <c r="P457" i="9" s="1"/>
  <c r="M457" i="9"/>
  <c r="K457" i="9"/>
  <c r="L457" i="9"/>
  <c r="J457" i="9"/>
  <c r="AD457" i="9"/>
  <c r="N457" i="9"/>
  <c r="O469" i="9"/>
  <c r="Y469" i="9"/>
  <c r="V469" i="9"/>
  <c r="P469" i="9" s="1"/>
  <c r="L469" i="9"/>
  <c r="K469" i="9"/>
  <c r="M469" i="9"/>
  <c r="N469" i="9"/>
  <c r="J469" i="9"/>
  <c r="AD469" i="9"/>
  <c r="O481" i="9"/>
  <c r="V481" i="9"/>
  <c r="P481" i="9" s="1"/>
  <c r="Y481" i="9"/>
  <c r="M481" i="9"/>
  <c r="L481" i="9"/>
  <c r="K481" i="9"/>
  <c r="AD481" i="9"/>
  <c r="N481" i="9"/>
  <c r="J481" i="9"/>
  <c r="O493" i="9"/>
  <c r="Y493" i="9"/>
  <c r="V493" i="9"/>
  <c r="P493" i="9" s="1"/>
  <c r="M493" i="9"/>
  <c r="K493" i="9"/>
  <c r="L493" i="9"/>
  <c r="AD493" i="9"/>
  <c r="N493" i="9"/>
  <c r="J493" i="9"/>
  <c r="Y505" i="9"/>
  <c r="O505" i="9"/>
  <c r="V505" i="9"/>
  <c r="P505" i="9" s="1"/>
  <c r="M505" i="9"/>
  <c r="K505" i="9"/>
  <c r="L505" i="9"/>
  <c r="AD505" i="9"/>
  <c r="N505" i="9"/>
  <c r="J505" i="9"/>
  <c r="O517" i="9"/>
  <c r="V517" i="9"/>
  <c r="P517" i="9" s="1"/>
  <c r="Y517" i="9"/>
  <c r="L517" i="9"/>
  <c r="K517" i="9"/>
  <c r="M517" i="9"/>
  <c r="AD517" i="9"/>
  <c r="J517" i="9"/>
  <c r="N517" i="9"/>
  <c r="O529" i="9"/>
  <c r="Y529" i="9"/>
  <c r="V529" i="9"/>
  <c r="P529" i="9" s="1"/>
  <c r="M529" i="9"/>
  <c r="K529" i="9"/>
  <c r="L529" i="9"/>
  <c r="AD529" i="9"/>
  <c r="J529" i="9"/>
  <c r="N529" i="9"/>
  <c r="V541" i="9"/>
  <c r="P541" i="9" s="1"/>
  <c r="Y541" i="9"/>
  <c r="O541" i="9"/>
  <c r="M541" i="9"/>
  <c r="L541" i="9"/>
  <c r="AD541" i="9"/>
  <c r="K541" i="9"/>
  <c r="N541" i="9"/>
  <c r="J541" i="9"/>
  <c r="V553" i="9"/>
  <c r="P553" i="9" s="1"/>
  <c r="O553" i="9"/>
  <c r="Y553" i="9"/>
  <c r="M553" i="9"/>
  <c r="K553" i="9"/>
  <c r="L553" i="9"/>
  <c r="J553" i="9"/>
  <c r="AD553" i="9"/>
  <c r="N553" i="9"/>
  <c r="O565" i="9"/>
  <c r="Y565" i="9"/>
  <c r="V565" i="9"/>
  <c r="P565" i="9" s="1"/>
  <c r="M565" i="9"/>
  <c r="L565" i="9"/>
  <c r="AD565" i="9"/>
  <c r="K565" i="9"/>
  <c r="N565" i="9"/>
  <c r="J565" i="9"/>
  <c r="O577" i="9"/>
  <c r="V577" i="9"/>
  <c r="P577" i="9" s="1"/>
  <c r="Y577" i="9"/>
  <c r="M577" i="9"/>
  <c r="K577" i="9"/>
  <c r="L577" i="9"/>
  <c r="AD577" i="9"/>
  <c r="J577" i="9"/>
  <c r="N577" i="9"/>
  <c r="V589" i="9"/>
  <c r="P589" i="9" s="1"/>
  <c r="O589" i="9"/>
  <c r="Y589" i="9"/>
  <c r="AD589" i="9"/>
  <c r="M589" i="9"/>
  <c r="L589" i="9"/>
  <c r="K589" i="9"/>
  <c r="J589" i="9"/>
  <c r="N589" i="9"/>
  <c r="Y601" i="9"/>
  <c r="V601" i="9"/>
  <c r="P601" i="9" s="1"/>
  <c r="O601" i="9"/>
  <c r="N601" i="9"/>
  <c r="AD601" i="9"/>
  <c r="M601" i="9"/>
  <c r="K601" i="9"/>
  <c r="L601" i="9"/>
  <c r="J601" i="9"/>
  <c r="O613" i="9"/>
  <c r="Y613" i="9"/>
  <c r="V613" i="9"/>
  <c r="P613" i="9" s="1"/>
  <c r="M613" i="9"/>
  <c r="L613" i="9"/>
  <c r="K613" i="9"/>
  <c r="AD613" i="9"/>
  <c r="N613" i="9"/>
  <c r="J613" i="9"/>
  <c r="Y625" i="9"/>
  <c r="V625" i="9"/>
  <c r="P625" i="9" s="1"/>
  <c r="O625" i="9"/>
  <c r="M625" i="9"/>
  <c r="AD625" i="9"/>
  <c r="K625" i="9"/>
  <c r="N625" i="9"/>
  <c r="J625" i="9"/>
  <c r="L625" i="9"/>
  <c r="Y637" i="9"/>
  <c r="V637" i="9"/>
  <c r="P637" i="9" s="1"/>
  <c r="O637" i="9"/>
  <c r="M637" i="9"/>
  <c r="L637" i="9"/>
  <c r="AD637" i="9"/>
  <c r="K637" i="9"/>
  <c r="N637" i="9"/>
  <c r="J637" i="9"/>
  <c r="O649" i="9"/>
  <c r="V649" i="9"/>
  <c r="P649" i="9" s="1"/>
  <c r="Y649" i="9"/>
  <c r="AD649" i="9"/>
  <c r="M649" i="9"/>
  <c r="K649" i="9"/>
  <c r="L649" i="9"/>
  <c r="N649" i="9"/>
  <c r="J649" i="9"/>
  <c r="V661" i="9"/>
  <c r="P661" i="9" s="1"/>
  <c r="O661" i="9"/>
  <c r="Y661" i="9"/>
  <c r="M661" i="9"/>
  <c r="AD661" i="9"/>
  <c r="J661" i="9"/>
  <c r="L661" i="9"/>
  <c r="K661" i="9"/>
  <c r="N661" i="9"/>
  <c r="V673" i="9"/>
  <c r="P673" i="9" s="1"/>
  <c r="O673" i="9"/>
  <c r="Y673" i="9"/>
  <c r="L673" i="9"/>
  <c r="K673" i="9"/>
  <c r="J673" i="9"/>
  <c r="AD673" i="9"/>
  <c r="M673" i="9"/>
  <c r="N673" i="9"/>
  <c r="O685" i="9"/>
  <c r="V685" i="9"/>
  <c r="P685" i="9" s="1"/>
  <c r="Y685" i="9"/>
  <c r="M685" i="9"/>
  <c r="L685" i="9"/>
  <c r="K685" i="9"/>
  <c r="AD685" i="9"/>
  <c r="J685" i="9"/>
  <c r="N685" i="9"/>
  <c r="O697" i="9"/>
  <c r="Y697" i="9"/>
  <c r="V697" i="9"/>
  <c r="P697" i="9" s="1"/>
  <c r="L697" i="9"/>
  <c r="M697" i="9"/>
  <c r="K697" i="9"/>
  <c r="AD697" i="9"/>
  <c r="N697" i="9"/>
  <c r="J697" i="9"/>
  <c r="O709" i="9"/>
  <c r="Y709" i="9"/>
  <c r="V709" i="9"/>
  <c r="P709" i="9" s="1"/>
  <c r="K709" i="9"/>
  <c r="L709" i="9"/>
  <c r="M709" i="9"/>
  <c r="AD709" i="9"/>
  <c r="N709" i="9"/>
  <c r="J709" i="9"/>
  <c r="V721" i="9"/>
  <c r="P721" i="9" s="1"/>
  <c r="O721" i="9"/>
  <c r="Y721" i="9"/>
  <c r="L721" i="9"/>
  <c r="K721" i="9"/>
  <c r="AD721" i="9"/>
  <c r="M721" i="9"/>
  <c r="N721" i="9"/>
  <c r="J721" i="9"/>
  <c r="V733" i="9"/>
  <c r="P733" i="9" s="1"/>
  <c r="O733" i="9"/>
  <c r="Y733" i="9"/>
  <c r="K733" i="9"/>
  <c r="L733" i="9"/>
  <c r="M733" i="9"/>
  <c r="AD733" i="9"/>
  <c r="N733" i="9"/>
  <c r="J733" i="9"/>
  <c r="O745" i="9"/>
  <c r="V745" i="9"/>
  <c r="P745" i="9" s="1"/>
  <c r="Y745" i="9"/>
  <c r="L745" i="9"/>
  <c r="M745" i="9"/>
  <c r="K745" i="9"/>
  <c r="AD745" i="9"/>
  <c r="N745" i="9"/>
  <c r="J745" i="9"/>
  <c r="Y757" i="9"/>
  <c r="O757" i="9"/>
  <c r="V757" i="9"/>
  <c r="P757" i="9" s="1"/>
  <c r="K757" i="9"/>
  <c r="M757" i="9"/>
  <c r="AD757" i="9"/>
  <c r="L757" i="9"/>
  <c r="N757" i="9"/>
  <c r="J757" i="9"/>
  <c r="O769" i="9"/>
  <c r="Y769" i="9"/>
  <c r="V769" i="9"/>
  <c r="P769" i="9" s="1"/>
  <c r="L769" i="9"/>
  <c r="M769" i="9"/>
  <c r="K769" i="9"/>
  <c r="AD769" i="9"/>
  <c r="N769" i="9"/>
  <c r="J769" i="9"/>
  <c r="Y781" i="9"/>
  <c r="O781" i="9"/>
  <c r="V781" i="9"/>
  <c r="P781" i="9" s="1"/>
  <c r="M781" i="9"/>
  <c r="K781" i="9"/>
  <c r="AD781" i="9"/>
  <c r="L781" i="9"/>
  <c r="N781" i="9"/>
  <c r="J781" i="9"/>
  <c r="V793" i="9"/>
  <c r="P793" i="9" s="1"/>
  <c r="Y793" i="9"/>
  <c r="O793" i="9"/>
  <c r="L793" i="9"/>
  <c r="M793" i="9"/>
  <c r="K793" i="9"/>
  <c r="AD793" i="9"/>
  <c r="J793" i="9"/>
  <c r="N793" i="9"/>
  <c r="V805" i="9"/>
  <c r="P805" i="9" s="1"/>
  <c r="O805" i="9"/>
  <c r="Y805" i="9"/>
  <c r="M805" i="9"/>
  <c r="K805" i="9"/>
  <c r="AD805" i="9"/>
  <c r="L805" i="9"/>
  <c r="J805" i="9"/>
  <c r="N805" i="9"/>
  <c r="O817" i="9"/>
  <c r="Y817" i="9"/>
  <c r="V817" i="9"/>
  <c r="P817" i="9" s="1"/>
  <c r="K817" i="9"/>
  <c r="L817" i="9"/>
  <c r="AD817" i="9"/>
  <c r="M817" i="9"/>
  <c r="N817" i="9"/>
  <c r="J817" i="9"/>
  <c r="V829" i="9"/>
  <c r="P829" i="9" s="1"/>
  <c r="O829" i="9"/>
  <c r="Y829" i="9"/>
  <c r="M829" i="9"/>
  <c r="K829" i="9"/>
  <c r="L829" i="9"/>
  <c r="N829" i="9"/>
  <c r="J829" i="9"/>
  <c r="AD829" i="9"/>
  <c r="O71" i="9"/>
  <c r="V71" i="9"/>
  <c r="P71" i="9" s="1"/>
  <c r="Y71" i="9"/>
  <c r="L71" i="9"/>
  <c r="M71" i="9"/>
  <c r="N71" i="9"/>
  <c r="J71" i="9"/>
  <c r="K71" i="9"/>
  <c r="AD71" i="9"/>
  <c r="O155" i="9"/>
  <c r="V155" i="9"/>
  <c r="P155" i="9" s="1"/>
  <c r="Y155" i="9"/>
  <c r="K155" i="9"/>
  <c r="L155" i="9"/>
  <c r="M155" i="9"/>
  <c r="AD155" i="9"/>
  <c r="J155" i="9"/>
  <c r="N155" i="9"/>
  <c r="O239" i="9"/>
  <c r="V239" i="9"/>
  <c r="P239" i="9" s="1"/>
  <c r="Y239" i="9"/>
  <c r="M239" i="9"/>
  <c r="L239" i="9"/>
  <c r="K239" i="9"/>
  <c r="AD239" i="9"/>
  <c r="J239" i="9"/>
  <c r="N239" i="9"/>
  <c r="O323" i="9"/>
  <c r="V323" i="9"/>
  <c r="P323" i="9" s="1"/>
  <c r="Y323" i="9"/>
  <c r="M323" i="9"/>
  <c r="K323" i="9"/>
  <c r="AD323" i="9"/>
  <c r="J323" i="9"/>
  <c r="N323" i="9"/>
  <c r="L323" i="9"/>
  <c r="Y383" i="9"/>
  <c r="O383" i="9"/>
  <c r="V383" i="9"/>
  <c r="P383" i="9" s="1"/>
  <c r="K383" i="9"/>
  <c r="L383" i="9"/>
  <c r="AD383" i="9"/>
  <c r="N383" i="9"/>
  <c r="M383" i="9"/>
  <c r="J383" i="9"/>
  <c r="V467" i="9"/>
  <c r="P467" i="9" s="1"/>
  <c r="O467" i="9"/>
  <c r="Y467" i="9"/>
  <c r="M467" i="9"/>
  <c r="L467" i="9"/>
  <c r="K467" i="9"/>
  <c r="N467" i="9"/>
  <c r="AD467" i="9"/>
  <c r="J467" i="9"/>
  <c r="O563" i="9"/>
  <c r="V563" i="9"/>
  <c r="P563" i="9" s="1"/>
  <c r="Y563" i="9"/>
  <c r="AD563" i="9"/>
  <c r="K563" i="9"/>
  <c r="L563" i="9"/>
  <c r="M563" i="9"/>
  <c r="J563" i="9"/>
  <c r="N563" i="9"/>
  <c r="O647" i="9"/>
  <c r="Y647" i="9"/>
  <c r="V647" i="9"/>
  <c r="P647" i="9" s="1"/>
  <c r="K647" i="9"/>
  <c r="M647" i="9"/>
  <c r="AD647" i="9"/>
  <c r="N647" i="9"/>
  <c r="L647" i="9"/>
  <c r="J647" i="9"/>
  <c r="O743" i="9"/>
  <c r="V743" i="9"/>
  <c r="P743" i="9" s="1"/>
  <c r="Y743" i="9"/>
  <c r="K743" i="9"/>
  <c r="L743" i="9"/>
  <c r="M743" i="9"/>
  <c r="AD743" i="9"/>
  <c r="J743" i="9"/>
  <c r="N743" i="9"/>
  <c r="O84" i="9"/>
  <c r="L84" i="9"/>
  <c r="AD84" i="9"/>
  <c r="N84" i="9"/>
  <c r="M84" i="9"/>
  <c r="Y84" i="9"/>
  <c r="V84" i="9"/>
  <c r="P84" i="9" s="1"/>
  <c r="J84" i="9"/>
  <c r="K84" i="9"/>
  <c r="O252" i="9"/>
  <c r="V252" i="9"/>
  <c r="P252" i="9" s="1"/>
  <c r="Y252" i="9"/>
  <c r="K252" i="9"/>
  <c r="L252" i="9"/>
  <c r="M252" i="9"/>
  <c r="AD252" i="9"/>
  <c r="N252" i="9"/>
  <c r="J252" i="9"/>
  <c r="O420" i="9"/>
  <c r="Y420" i="9"/>
  <c r="V420" i="9"/>
  <c r="P420" i="9" s="1"/>
  <c r="K420" i="9"/>
  <c r="M420" i="9"/>
  <c r="L420" i="9"/>
  <c r="N420" i="9"/>
  <c r="J420" i="9"/>
  <c r="AD420" i="9"/>
  <c r="O588" i="9"/>
  <c r="Y588" i="9"/>
  <c r="V588" i="9"/>
  <c r="P588" i="9" s="1"/>
  <c r="L588" i="9"/>
  <c r="M588" i="9"/>
  <c r="J588" i="9"/>
  <c r="K588" i="9"/>
  <c r="AD588" i="9"/>
  <c r="N588" i="9"/>
  <c r="O792" i="9"/>
  <c r="V792" i="9"/>
  <c r="P792" i="9" s="1"/>
  <c r="Y792" i="9"/>
  <c r="L792" i="9"/>
  <c r="K792" i="9"/>
  <c r="M792" i="9"/>
  <c r="AD792" i="9"/>
  <c r="N792" i="9"/>
  <c r="J792" i="9"/>
  <c r="O26" i="9"/>
  <c r="Y26" i="9"/>
  <c r="V26" i="9"/>
  <c r="P26" i="9" s="1"/>
  <c r="M26" i="9"/>
  <c r="L26" i="9"/>
  <c r="N26" i="9"/>
  <c r="AD26" i="9"/>
  <c r="J26" i="9"/>
  <c r="K26" i="9"/>
  <c r="Y38" i="9"/>
  <c r="V38" i="9"/>
  <c r="P38" i="9" s="1"/>
  <c r="O38" i="9"/>
  <c r="K38" i="9"/>
  <c r="L38" i="9"/>
  <c r="J38" i="9"/>
  <c r="M38" i="9"/>
  <c r="AD38" i="9"/>
  <c r="N38" i="9"/>
  <c r="O50" i="9"/>
  <c r="V50" i="9"/>
  <c r="P50" i="9" s="1"/>
  <c r="Y50" i="9"/>
  <c r="M50" i="9"/>
  <c r="L50" i="9"/>
  <c r="N50" i="9"/>
  <c r="AD50" i="9"/>
  <c r="K50" i="9"/>
  <c r="J50" i="9"/>
  <c r="O62" i="9"/>
  <c r="V62" i="9"/>
  <c r="P62" i="9" s="1"/>
  <c r="Y62" i="9"/>
  <c r="K62" i="9"/>
  <c r="M62" i="9"/>
  <c r="L62" i="9"/>
  <c r="N62" i="9"/>
  <c r="J62" i="9"/>
  <c r="AD62" i="9"/>
  <c r="O74" i="9"/>
  <c r="Y74" i="9"/>
  <c r="V74" i="9"/>
  <c r="P74" i="9" s="1"/>
  <c r="K74" i="9"/>
  <c r="M74" i="9"/>
  <c r="N74" i="9"/>
  <c r="J74" i="9"/>
  <c r="L74" i="9"/>
  <c r="AD74" i="9"/>
  <c r="V86" i="9"/>
  <c r="P86" i="9" s="1"/>
  <c r="O86" i="9"/>
  <c r="Y86" i="9"/>
  <c r="K86" i="9"/>
  <c r="M86" i="9"/>
  <c r="N86" i="9"/>
  <c r="L86" i="9"/>
  <c r="J86" i="9"/>
  <c r="AD86" i="9"/>
  <c r="O98" i="9"/>
  <c r="Y98" i="9"/>
  <c r="V98" i="9"/>
  <c r="P98" i="9" s="1"/>
  <c r="K98" i="9"/>
  <c r="M98" i="9"/>
  <c r="L98" i="9"/>
  <c r="J98" i="9"/>
  <c r="N98" i="9"/>
  <c r="AD98" i="9"/>
  <c r="O110" i="9"/>
  <c r="V110" i="9"/>
  <c r="P110" i="9" s="1"/>
  <c r="Y110" i="9"/>
  <c r="K110" i="9"/>
  <c r="L110" i="9"/>
  <c r="M110" i="9"/>
  <c r="AD110" i="9"/>
  <c r="N110" i="9"/>
  <c r="J110" i="9"/>
  <c r="Y122" i="9"/>
  <c r="V122" i="9"/>
  <c r="P122" i="9" s="1"/>
  <c r="O122" i="9"/>
  <c r="K122" i="9"/>
  <c r="L122" i="9"/>
  <c r="M122" i="9"/>
  <c r="N122" i="9"/>
  <c r="J122" i="9"/>
  <c r="AD122" i="9"/>
  <c r="O134" i="9"/>
  <c r="Y134" i="9"/>
  <c r="V134" i="9"/>
  <c r="P134" i="9" s="1"/>
  <c r="J134" i="9"/>
  <c r="N134" i="9"/>
  <c r="L134" i="9"/>
  <c r="AD134" i="9"/>
  <c r="M134" i="9"/>
  <c r="K134" i="9"/>
  <c r="O146" i="9"/>
  <c r="Y146" i="9"/>
  <c r="V146" i="9"/>
  <c r="P146" i="9" s="1"/>
  <c r="K146" i="9"/>
  <c r="L146" i="9"/>
  <c r="M146" i="9"/>
  <c r="J146" i="9"/>
  <c r="AD146" i="9"/>
  <c r="N146" i="9"/>
  <c r="V158" i="9"/>
  <c r="P158" i="9" s="1"/>
  <c r="O158" i="9"/>
  <c r="Y158" i="9"/>
  <c r="J158" i="9"/>
  <c r="L158" i="9"/>
  <c r="M158" i="9"/>
  <c r="AD158" i="9"/>
  <c r="N158" i="9"/>
  <c r="K158" i="9"/>
  <c r="O170" i="9"/>
  <c r="Y170" i="9"/>
  <c r="V170" i="9"/>
  <c r="P170" i="9" s="1"/>
  <c r="K170" i="9"/>
  <c r="L170" i="9"/>
  <c r="M170" i="9"/>
  <c r="J170" i="9"/>
  <c r="AD170" i="9"/>
  <c r="N170" i="9"/>
  <c r="Y182" i="9"/>
  <c r="V182" i="9"/>
  <c r="P182" i="9" s="1"/>
  <c r="O182" i="9"/>
  <c r="L182" i="9"/>
  <c r="M182" i="9"/>
  <c r="AD182" i="9"/>
  <c r="N182" i="9"/>
  <c r="K182" i="9"/>
  <c r="J182" i="9"/>
  <c r="O194" i="9"/>
  <c r="Y194" i="9"/>
  <c r="V194" i="9"/>
  <c r="P194" i="9" s="1"/>
  <c r="M194" i="9"/>
  <c r="J194" i="9"/>
  <c r="L194" i="9"/>
  <c r="K194" i="9"/>
  <c r="N194" i="9"/>
  <c r="AD194" i="9"/>
  <c r="Y206" i="9"/>
  <c r="V206" i="9"/>
  <c r="P206" i="9" s="1"/>
  <c r="O206" i="9"/>
  <c r="K206" i="9"/>
  <c r="L206" i="9"/>
  <c r="M206" i="9"/>
  <c r="AD206" i="9"/>
  <c r="J206" i="9"/>
  <c r="N206" i="9"/>
  <c r="O218" i="9"/>
  <c r="Y218" i="9"/>
  <c r="V218" i="9"/>
  <c r="P218" i="9" s="1"/>
  <c r="M218" i="9"/>
  <c r="L218" i="9"/>
  <c r="AD218" i="9"/>
  <c r="J218" i="9"/>
  <c r="K218" i="9"/>
  <c r="N218" i="9"/>
  <c r="V230" i="9"/>
  <c r="P230" i="9" s="1"/>
  <c r="O230" i="9"/>
  <c r="Y230" i="9"/>
  <c r="K230" i="9"/>
  <c r="L230" i="9"/>
  <c r="N230" i="9"/>
  <c r="M230" i="9"/>
  <c r="AD230" i="9"/>
  <c r="J230" i="9"/>
  <c r="Y242" i="9"/>
  <c r="V242" i="9"/>
  <c r="P242" i="9" s="1"/>
  <c r="O242" i="9"/>
  <c r="AD242" i="9"/>
  <c r="K242" i="9"/>
  <c r="L242" i="9"/>
  <c r="M242" i="9"/>
  <c r="N242" i="9"/>
  <c r="J242" i="9"/>
  <c r="O254" i="9"/>
  <c r="Y254" i="9"/>
  <c r="V254" i="9"/>
  <c r="P254" i="9" s="1"/>
  <c r="K254" i="9"/>
  <c r="L254" i="9"/>
  <c r="M254" i="9"/>
  <c r="N254" i="9"/>
  <c r="J254" i="9"/>
  <c r="AD254" i="9"/>
  <c r="O266" i="9"/>
  <c r="Y266" i="9"/>
  <c r="V266" i="9"/>
  <c r="P266" i="9" s="1"/>
  <c r="K266" i="9"/>
  <c r="L266" i="9"/>
  <c r="M266" i="9"/>
  <c r="N266" i="9"/>
  <c r="AD266" i="9"/>
  <c r="J266" i="9"/>
  <c r="Y278" i="9"/>
  <c r="V278" i="9"/>
  <c r="P278" i="9" s="1"/>
  <c r="O278" i="9"/>
  <c r="K278" i="9"/>
  <c r="M278" i="9"/>
  <c r="N278" i="9"/>
  <c r="J278" i="9"/>
  <c r="L278" i="9"/>
  <c r="AD278" i="9"/>
  <c r="O290" i="9"/>
  <c r="V290" i="9"/>
  <c r="P290" i="9" s="1"/>
  <c r="Y290" i="9"/>
  <c r="K290" i="9"/>
  <c r="L290" i="9"/>
  <c r="M290" i="9"/>
  <c r="N290" i="9"/>
  <c r="J290" i="9"/>
  <c r="AD290" i="9"/>
  <c r="V302" i="9"/>
  <c r="P302" i="9" s="1"/>
  <c r="O302" i="9"/>
  <c r="Y302" i="9"/>
  <c r="M302" i="9"/>
  <c r="N302" i="9"/>
  <c r="J302" i="9"/>
  <c r="L302" i="9"/>
  <c r="AD302" i="9"/>
  <c r="K302" i="9"/>
  <c r="O314" i="9"/>
  <c r="Y314" i="9"/>
  <c r="V314" i="9"/>
  <c r="P314" i="9" s="1"/>
  <c r="K314" i="9"/>
  <c r="M314" i="9"/>
  <c r="L314" i="9"/>
  <c r="J314" i="9"/>
  <c r="N314" i="9"/>
  <c r="AD314" i="9"/>
  <c r="O326" i="9"/>
  <c r="Y326" i="9"/>
  <c r="V326" i="9"/>
  <c r="P326" i="9" s="1"/>
  <c r="M326" i="9"/>
  <c r="K326" i="9"/>
  <c r="L326" i="9"/>
  <c r="AD326" i="9"/>
  <c r="J326" i="9"/>
  <c r="N326" i="9"/>
  <c r="O338" i="9"/>
  <c r="Y338" i="9"/>
  <c r="V338" i="9"/>
  <c r="P338" i="9" s="1"/>
  <c r="AD338" i="9"/>
  <c r="K338" i="9"/>
  <c r="M338" i="9"/>
  <c r="L338" i="9"/>
  <c r="J338" i="9"/>
  <c r="N338" i="9"/>
  <c r="O350" i="9"/>
  <c r="Y350" i="9"/>
  <c r="V350" i="9"/>
  <c r="P350" i="9" s="1"/>
  <c r="K350" i="9"/>
  <c r="L350" i="9"/>
  <c r="M350" i="9"/>
  <c r="N350" i="9"/>
  <c r="J350" i="9"/>
  <c r="AD350" i="9"/>
  <c r="O362" i="9"/>
  <c r="Y362" i="9"/>
  <c r="V362" i="9"/>
  <c r="P362" i="9" s="1"/>
  <c r="M362" i="9"/>
  <c r="L362" i="9"/>
  <c r="K362" i="9"/>
  <c r="N362" i="9"/>
  <c r="J362" i="9"/>
  <c r="AD362" i="9"/>
  <c r="Y374" i="9"/>
  <c r="V374" i="9"/>
  <c r="P374" i="9" s="1"/>
  <c r="O374" i="9"/>
  <c r="K374" i="9"/>
  <c r="L374" i="9"/>
  <c r="J374" i="9"/>
  <c r="N374" i="9"/>
  <c r="M374" i="9"/>
  <c r="AD374" i="9"/>
  <c r="O386" i="9"/>
  <c r="V386" i="9"/>
  <c r="P386" i="9" s="1"/>
  <c r="Y386" i="9"/>
  <c r="L386" i="9"/>
  <c r="M386" i="9"/>
  <c r="K386" i="9"/>
  <c r="AD386" i="9"/>
  <c r="J386" i="9"/>
  <c r="N386" i="9"/>
  <c r="Y398" i="9"/>
  <c r="V398" i="9"/>
  <c r="P398" i="9" s="1"/>
  <c r="O398" i="9"/>
  <c r="K398" i="9"/>
  <c r="L398" i="9"/>
  <c r="M398" i="9"/>
  <c r="AD398" i="9"/>
  <c r="J398" i="9"/>
  <c r="N398" i="9"/>
  <c r="O410" i="9"/>
  <c r="V410" i="9"/>
  <c r="P410" i="9" s="1"/>
  <c r="Y410" i="9"/>
  <c r="K410" i="9"/>
  <c r="M410" i="9"/>
  <c r="L410" i="9"/>
  <c r="AD410" i="9"/>
  <c r="J410" i="9"/>
  <c r="N410" i="9"/>
  <c r="O422" i="9"/>
  <c r="Y422" i="9"/>
  <c r="V422" i="9"/>
  <c r="P422" i="9" s="1"/>
  <c r="K422" i="9"/>
  <c r="L422" i="9"/>
  <c r="M422" i="9"/>
  <c r="N422" i="9"/>
  <c r="AD422" i="9"/>
  <c r="J422" i="9"/>
  <c r="O434" i="9"/>
  <c r="V434" i="9"/>
  <c r="P434" i="9" s="1"/>
  <c r="Y434" i="9"/>
  <c r="K434" i="9"/>
  <c r="M434" i="9"/>
  <c r="L434" i="9"/>
  <c r="N434" i="9"/>
  <c r="AD434" i="9"/>
  <c r="J434" i="9"/>
  <c r="V446" i="9"/>
  <c r="P446" i="9" s="1"/>
  <c r="O446" i="9"/>
  <c r="Y446" i="9"/>
  <c r="K446" i="9"/>
  <c r="L446" i="9"/>
  <c r="N446" i="9"/>
  <c r="AD446" i="9"/>
  <c r="M446" i="9"/>
  <c r="J446" i="9"/>
  <c r="Y458" i="9"/>
  <c r="V458" i="9"/>
  <c r="P458" i="9" s="1"/>
  <c r="O458" i="9"/>
  <c r="K458" i="9"/>
  <c r="M458" i="9"/>
  <c r="L458" i="9"/>
  <c r="N458" i="9"/>
  <c r="AD458" i="9"/>
  <c r="J458" i="9"/>
  <c r="O470" i="9"/>
  <c r="Y470" i="9"/>
  <c r="V470" i="9"/>
  <c r="P470" i="9" s="1"/>
  <c r="K470" i="9"/>
  <c r="M470" i="9"/>
  <c r="L470" i="9"/>
  <c r="AD470" i="9"/>
  <c r="J470" i="9"/>
  <c r="N470" i="9"/>
  <c r="O482" i="9"/>
  <c r="Y482" i="9"/>
  <c r="V482" i="9"/>
  <c r="P482" i="9" s="1"/>
  <c r="L482" i="9"/>
  <c r="M482" i="9"/>
  <c r="AD482" i="9"/>
  <c r="K482" i="9"/>
  <c r="N482" i="9"/>
  <c r="J482" i="9"/>
  <c r="O494" i="9"/>
  <c r="Y494" i="9"/>
  <c r="V494" i="9"/>
  <c r="P494" i="9" s="1"/>
  <c r="L494" i="9"/>
  <c r="M494" i="9"/>
  <c r="AD494" i="9"/>
  <c r="N494" i="9"/>
  <c r="K494" i="9"/>
  <c r="J494" i="9"/>
  <c r="O506" i="9"/>
  <c r="Y506" i="9"/>
  <c r="V506" i="9"/>
  <c r="P506" i="9" s="1"/>
  <c r="M506" i="9"/>
  <c r="AD506" i="9"/>
  <c r="K506" i="9"/>
  <c r="J506" i="9"/>
  <c r="N506" i="9"/>
  <c r="L506" i="9"/>
  <c r="O518" i="9"/>
  <c r="V518" i="9"/>
  <c r="P518" i="9" s="1"/>
  <c r="Y518" i="9"/>
  <c r="K518" i="9"/>
  <c r="M518" i="9"/>
  <c r="AD518" i="9"/>
  <c r="N518" i="9"/>
  <c r="L518" i="9"/>
  <c r="J518" i="9"/>
  <c r="O530" i="9"/>
  <c r="Y530" i="9"/>
  <c r="V530" i="9"/>
  <c r="P530" i="9" s="1"/>
  <c r="L530" i="9"/>
  <c r="M530" i="9"/>
  <c r="K530" i="9"/>
  <c r="AD530" i="9"/>
  <c r="N530" i="9"/>
  <c r="J530" i="9"/>
  <c r="O542" i="9"/>
  <c r="V542" i="9"/>
  <c r="P542" i="9" s="1"/>
  <c r="Y542" i="9"/>
  <c r="L542" i="9"/>
  <c r="K542" i="9"/>
  <c r="J542" i="9"/>
  <c r="M542" i="9"/>
  <c r="AD542" i="9"/>
  <c r="N542" i="9"/>
  <c r="V554" i="9"/>
  <c r="P554" i="9" s="1"/>
  <c r="O554" i="9"/>
  <c r="Y554" i="9"/>
  <c r="K554" i="9"/>
  <c r="L554" i="9"/>
  <c r="M554" i="9"/>
  <c r="AD554" i="9"/>
  <c r="J554" i="9"/>
  <c r="N554" i="9"/>
  <c r="O566" i="9"/>
  <c r="Y566" i="9"/>
  <c r="V566" i="9"/>
  <c r="P566" i="9" s="1"/>
  <c r="K566" i="9"/>
  <c r="L566" i="9"/>
  <c r="M566" i="9"/>
  <c r="AD566" i="9"/>
  <c r="N566" i="9"/>
  <c r="J566" i="9"/>
  <c r="V578" i="9"/>
  <c r="P578" i="9" s="1"/>
  <c r="O578" i="9"/>
  <c r="Y578" i="9"/>
  <c r="L578" i="9"/>
  <c r="K578" i="9"/>
  <c r="M578" i="9"/>
  <c r="AD578" i="9"/>
  <c r="J578" i="9"/>
  <c r="N578" i="9"/>
  <c r="Y590" i="9"/>
  <c r="O590" i="9"/>
  <c r="V590" i="9"/>
  <c r="P590" i="9" s="1"/>
  <c r="M590" i="9"/>
  <c r="L590" i="9"/>
  <c r="AD590" i="9"/>
  <c r="K590" i="9"/>
  <c r="N590" i="9"/>
  <c r="J590" i="9"/>
  <c r="O602" i="9"/>
  <c r="Y602" i="9"/>
  <c r="V602" i="9"/>
  <c r="P602" i="9" s="1"/>
  <c r="K602" i="9"/>
  <c r="L602" i="9"/>
  <c r="M602" i="9"/>
  <c r="AD602" i="9"/>
  <c r="N602" i="9"/>
  <c r="J602" i="9"/>
  <c r="O614" i="9"/>
  <c r="Y614" i="9"/>
  <c r="V614" i="9"/>
  <c r="P614" i="9" s="1"/>
  <c r="K614" i="9"/>
  <c r="L614" i="9"/>
  <c r="M614" i="9"/>
  <c r="AD614" i="9"/>
  <c r="N614" i="9"/>
  <c r="J614" i="9"/>
  <c r="Y626" i="9"/>
  <c r="V626" i="9"/>
  <c r="P626" i="9" s="1"/>
  <c r="O626" i="9"/>
  <c r="K626" i="9"/>
  <c r="L626" i="9"/>
  <c r="M626" i="9"/>
  <c r="AD626" i="9"/>
  <c r="J626" i="9"/>
  <c r="N626" i="9"/>
  <c r="O638" i="9"/>
  <c r="Y638" i="9"/>
  <c r="V638" i="9"/>
  <c r="P638" i="9" s="1"/>
  <c r="K638" i="9"/>
  <c r="L638" i="9"/>
  <c r="M638" i="9"/>
  <c r="AD638" i="9"/>
  <c r="N638" i="9"/>
  <c r="J638" i="9"/>
  <c r="O650" i="9"/>
  <c r="Y650" i="9"/>
  <c r="V650" i="9"/>
  <c r="P650" i="9" s="1"/>
  <c r="K650" i="9"/>
  <c r="L650" i="9"/>
  <c r="AD650" i="9"/>
  <c r="N650" i="9"/>
  <c r="M650" i="9"/>
  <c r="J650" i="9"/>
  <c r="O662" i="9"/>
  <c r="Y662" i="9"/>
  <c r="V662" i="9"/>
  <c r="P662" i="9" s="1"/>
  <c r="K662" i="9"/>
  <c r="L662" i="9"/>
  <c r="M662" i="9"/>
  <c r="AD662" i="9"/>
  <c r="N662" i="9"/>
  <c r="J662" i="9"/>
  <c r="O674" i="9"/>
  <c r="Y674" i="9"/>
  <c r="V674" i="9"/>
  <c r="P674" i="9" s="1"/>
  <c r="K674" i="9"/>
  <c r="M674" i="9"/>
  <c r="L674" i="9"/>
  <c r="AD674" i="9"/>
  <c r="J674" i="9"/>
  <c r="N674" i="9"/>
  <c r="O686" i="9"/>
  <c r="V686" i="9"/>
  <c r="P686" i="9" s="1"/>
  <c r="Y686" i="9"/>
  <c r="L686" i="9"/>
  <c r="M686" i="9"/>
  <c r="K686" i="9"/>
  <c r="AD686" i="9"/>
  <c r="J686" i="9"/>
  <c r="N686" i="9"/>
  <c r="O698" i="9"/>
  <c r="V698" i="9"/>
  <c r="P698" i="9" s="1"/>
  <c r="Y698" i="9"/>
  <c r="K698" i="9"/>
  <c r="M698" i="9"/>
  <c r="L698" i="9"/>
  <c r="AD698" i="9"/>
  <c r="N698" i="9"/>
  <c r="J698" i="9"/>
  <c r="Y710" i="9"/>
  <c r="O710" i="9"/>
  <c r="V710" i="9"/>
  <c r="P710" i="9" s="1"/>
  <c r="K710" i="9"/>
  <c r="M710" i="9"/>
  <c r="L710" i="9"/>
  <c r="AD710" i="9"/>
  <c r="N710" i="9"/>
  <c r="J710" i="9"/>
  <c r="O722" i="9"/>
  <c r="V722" i="9"/>
  <c r="P722" i="9" s="1"/>
  <c r="Y722" i="9"/>
  <c r="K722" i="9"/>
  <c r="M722" i="9"/>
  <c r="AD722" i="9"/>
  <c r="L722" i="9"/>
  <c r="J722" i="9"/>
  <c r="N722" i="9"/>
  <c r="O734" i="9"/>
  <c r="Y734" i="9"/>
  <c r="V734" i="9"/>
  <c r="P734" i="9" s="1"/>
  <c r="K734" i="9"/>
  <c r="M734" i="9"/>
  <c r="L734" i="9"/>
  <c r="AD734" i="9"/>
  <c r="J734" i="9"/>
  <c r="N734" i="9"/>
  <c r="O746" i="9"/>
  <c r="Y746" i="9"/>
  <c r="V746" i="9"/>
  <c r="P746" i="9" s="1"/>
  <c r="K746" i="9"/>
  <c r="AD746" i="9"/>
  <c r="M746" i="9"/>
  <c r="L746" i="9"/>
  <c r="N746" i="9"/>
  <c r="J746" i="9"/>
  <c r="O758" i="9"/>
  <c r="Y758" i="9"/>
  <c r="V758" i="9"/>
  <c r="P758" i="9" s="1"/>
  <c r="K758" i="9"/>
  <c r="M758" i="9"/>
  <c r="L758" i="9"/>
  <c r="AD758" i="9"/>
  <c r="N758" i="9"/>
  <c r="J758" i="9"/>
  <c r="O770" i="9"/>
  <c r="Y770" i="9"/>
  <c r="V770" i="9"/>
  <c r="P770" i="9" s="1"/>
  <c r="K770" i="9"/>
  <c r="M770" i="9"/>
  <c r="L770" i="9"/>
  <c r="AD770" i="9"/>
  <c r="N770" i="9"/>
  <c r="J770" i="9"/>
  <c r="O782" i="9"/>
  <c r="Y782" i="9"/>
  <c r="V782" i="9"/>
  <c r="P782" i="9" s="1"/>
  <c r="K782" i="9"/>
  <c r="M782" i="9"/>
  <c r="L782" i="9"/>
  <c r="AD782" i="9"/>
  <c r="N782" i="9"/>
  <c r="J782" i="9"/>
  <c r="Y794" i="9"/>
  <c r="V794" i="9"/>
  <c r="P794" i="9" s="1"/>
  <c r="O794" i="9"/>
  <c r="K794" i="9"/>
  <c r="M794" i="9"/>
  <c r="L794" i="9"/>
  <c r="AD794" i="9"/>
  <c r="J794" i="9"/>
  <c r="N794" i="9"/>
  <c r="O806" i="9"/>
  <c r="V806" i="9"/>
  <c r="P806" i="9" s="1"/>
  <c r="Y806" i="9"/>
  <c r="M806" i="9"/>
  <c r="L806" i="9"/>
  <c r="AD806" i="9"/>
  <c r="K806" i="9"/>
  <c r="N806" i="9"/>
  <c r="J806" i="9"/>
  <c r="O818" i="9"/>
  <c r="Y818" i="9"/>
  <c r="V818" i="9"/>
  <c r="P818" i="9" s="1"/>
  <c r="K818" i="9"/>
  <c r="M818" i="9"/>
  <c r="L818" i="9"/>
  <c r="AD818" i="9"/>
  <c r="N818" i="9"/>
  <c r="J818" i="9"/>
  <c r="O830" i="9"/>
  <c r="Y830" i="9"/>
  <c r="V830" i="9"/>
  <c r="P830" i="9" s="1"/>
  <c r="K830" i="9"/>
  <c r="M830" i="9"/>
  <c r="L830" i="9"/>
  <c r="AD830" i="9"/>
  <c r="N830" i="9"/>
  <c r="J830" i="9"/>
  <c r="O35" i="9"/>
  <c r="Y35" i="9"/>
  <c r="V35" i="9"/>
  <c r="P35" i="9" s="1"/>
  <c r="K35" i="9"/>
  <c r="L35" i="9"/>
  <c r="N35" i="9"/>
  <c r="J35" i="9"/>
  <c r="M35" i="9"/>
  <c r="AD35" i="9"/>
  <c r="V83" i="9"/>
  <c r="P83" i="9" s="1"/>
  <c r="Y83" i="9"/>
  <c r="O83" i="9"/>
  <c r="M83" i="9"/>
  <c r="L83" i="9"/>
  <c r="K83" i="9"/>
  <c r="N83" i="9"/>
  <c r="J83" i="9"/>
  <c r="AD83" i="9"/>
  <c r="V131" i="9"/>
  <c r="P131" i="9" s="1"/>
  <c r="Y131" i="9"/>
  <c r="O131" i="9"/>
  <c r="M131" i="9"/>
  <c r="L131" i="9"/>
  <c r="N131" i="9"/>
  <c r="K131" i="9"/>
  <c r="J131" i="9"/>
  <c r="AD131" i="9"/>
  <c r="O215" i="9"/>
  <c r="V215" i="9"/>
  <c r="P215" i="9" s="1"/>
  <c r="Y215" i="9"/>
  <c r="L215" i="9"/>
  <c r="M215" i="9"/>
  <c r="K215" i="9"/>
  <c r="AD215" i="9"/>
  <c r="J215" i="9"/>
  <c r="N215" i="9"/>
  <c r="Y299" i="9"/>
  <c r="V299" i="9"/>
  <c r="P299" i="9" s="1"/>
  <c r="O299" i="9"/>
  <c r="K299" i="9"/>
  <c r="L299" i="9"/>
  <c r="M299" i="9"/>
  <c r="AD299" i="9"/>
  <c r="N299" i="9"/>
  <c r="J299" i="9"/>
  <c r="O347" i="9"/>
  <c r="V347" i="9"/>
  <c r="P347" i="9" s="1"/>
  <c r="Y347" i="9"/>
  <c r="M347" i="9"/>
  <c r="K347" i="9"/>
  <c r="L347" i="9"/>
  <c r="AD347" i="9"/>
  <c r="J347" i="9"/>
  <c r="N347" i="9"/>
  <c r="O419" i="9"/>
  <c r="V419" i="9"/>
  <c r="P419" i="9" s="1"/>
  <c r="Y419" i="9"/>
  <c r="M419" i="9"/>
  <c r="K419" i="9"/>
  <c r="L419" i="9"/>
  <c r="J419" i="9"/>
  <c r="N419" i="9"/>
  <c r="AD419" i="9"/>
  <c r="Y491" i="9"/>
  <c r="V491" i="9"/>
  <c r="P491" i="9" s="1"/>
  <c r="O491" i="9"/>
  <c r="M491" i="9"/>
  <c r="L491" i="9"/>
  <c r="AD491" i="9"/>
  <c r="K491" i="9"/>
  <c r="J491" i="9"/>
  <c r="N491" i="9"/>
  <c r="V551" i="9"/>
  <c r="P551" i="9" s="1"/>
  <c r="Y551" i="9"/>
  <c r="O551" i="9"/>
  <c r="L551" i="9"/>
  <c r="M551" i="9"/>
  <c r="K551" i="9"/>
  <c r="J551" i="9"/>
  <c r="N551" i="9"/>
  <c r="AD551" i="9"/>
  <c r="Y599" i="9"/>
  <c r="V599" i="9"/>
  <c r="P599" i="9" s="1"/>
  <c r="O599" i="9"/>
  <c r="AD599" i="9"/>
  <c r="M599" i="9"/>
  <c r="L599" i="9"/>
  <c r="K599" i="9"/>
  <c r="J599" i="9"/>
  <c r="N599" i="9"/>
  <c r="O659" i="9"/>
  <c r="V659" i="9"/>
  <c r="P659" i="9" s="1"/>
  <c r="Y659" i="9"/>
  <c r="L659" i="9"/>
  <c r="K659" i="9"/>
  <c r="M659" i="9"/>
  <c r="AD659" i="9"/>
  <c r="N659" i="9"/>
  <c r="J659" i="9"/>
  <c r="O695" i="9"/>
  <c r="V695" i="9"/>
  <c r="P695" i="9" s="1"/>
  <c r="Y695" i="9"/>
  <c r="K695" i="9"/>
  <c r="L695" i="9"/>
  <c r="M695" i="9"/>
  <c r="AD695" i="9"/>
  <c r="N695" i="9"/>
  <c r="J695" i="9"/>
  <c r="V803" i="9"/>
  <c r="P803" i="9" s="1"/>
  <c r="O803" i="9"/>
  <c r="Y803" i="9"/>
  <c r="K803" i="9"/>
  <c r="M803" i="9"/>
  <c r="J803" i="9"/>
  <c r="AD803" i="9"/>
  <c r="L803" i="9"/>
  <c r="N803" i="9"/>
  <c r="Y72" i="9"/>
  <c r="V72" i="9"/>
  <c r="P72" i="9" s="1"/>
  <c r="O72" i="9"/>
  <c r="L72" i="9"/>
  <c r="M72" i="9"/>
  <c r="AD72" i="9"/>
  <c r="K72" i="9"/>
  <c r="J72" i="9"/>
  <c r="N72" i="9"/>
  <c r="O216" i="9"/>
  <c r="Y216" i="9"/>
  <c r="V216" i="9"/>
  <c r="P216" i="9" s="1"/>
  <c r="K216" i="9"/>
  <c r="M216" i="9"/>
  <c r="L216" i="9"/>
  <c r="N216" i="9"/>
  <c r="J216" i="9"/>
  <c r="AD216" i="9"/>
  <c r="Y396" i="9"/>
  <c r="V396" i="9"/>
  <c r="P396" i="9" s="1"/>
  <c r="O396" i="9"/>
  <c r="K396" i="9"/>
  <c r="L396" i="9"/>
  <c r="M396" i="9"/>
  <c r="AD396" i="9"/>
  <c r="N396" i="9"/>
  <c r="J396" i="9"/>
  <c r="O600" i="9"/>
  <c r="V600" i="9"/>
  <c r="P600" i="9" s="1"/>
  <c r="Y600" i="9"/>
  <c r="L600" i="9"/>
  <c r="M600" i="9"/>
  <c r="K600" i="9"/>
  <c r="AD600" i="9"/>
  <c r="N600" i="9"/>
  <c r="J600" i="9"/>
  <c r="O828" i="9"/>
  <c r="Y828" i="9"/>
  <c r="V828" i="9"/>
  <c r="P828" i="9" s="1"/>
  <c r="N828" i="9"/>
  <c r="M828" i="9"/>
  <c r="L828" i="9"/>
  <c r="K828" i="9"/>
  <c r="J828" i="9"/>
  <c r="AD828" i="9"/>
  <c r="O27" i="9"/>
  <c r="Y27" i="9"/>
  <c r="V27" i="9"/>
  <c r="P27" i="9" s="1"/>
  <c r="M27" i="9"/>
  <c r="L27" i="9"/>
  <c r="AD27" i="9"/>
  <c r="K27" i="9"/>
  <c r="N27" i="9"/>
  <c r="J27" i="9"/>
  <c r="O39" i="9"/>
  <c r="Y39" i="9"/>
  <c r="V39" i="9"/>
  <c r="P39" i="9" s="1"/>
  <c r="L39" i="9"/>
  <c r="M39" i="9"/>
  <c r="N39" i="9"/>
  <c r="J39" i="9"/>
  <c r="K39" i="9"/>
  <c r="AD39" i="9"/>
  <c r="Y51" i="9"/>
  <c r="V51" i="9"/>
  <c r="P51" i="9" s="1"/>
  <c r="O51" i="9"/>
  <c r="M51" i="9"/>
  <c r="J51" i="9"/>
  <c r="N51" i="9"/>
  <c r="L51" i="9"/>
  <c r="K51" i="9"/>
  <c r="AD51" i="9"/>
  <c r="O63" i="9"/>
  <c r="V63" i="9"/>
  <c r="P63" i="9" s="1"/>
  <c r="Y63" i="9"/>
  <c r="N63" i="9"/>
  <c r="AD63" i="9"/>
  <c r="K63" i="9"/>
  <c r="M63" i="9"/>
  <c r="L63" i="9"/>
  <c r="J63" i="9"/>
  <c r="Y75" i="9"/>
  <c r="V75" i="9"/>
  <c r="P75" i="9" s="1"/>
  <c r="O75" i="9"/>
  <c r="K75" i="9"/>
  <c r="L75" i="9"/>
  <c r="M75" i="9"/>
  <c r="AD75" i="9"/>
  <c r="N75" i="9"/>
  <c r="J75" i="9"/>
  <c r="Y87" i="9"/>
  <c r="O87" i="9"/>
  <c r="V87" i="9"/>
  <c r="P87" i="9" s="1"/>
  <c r="M87" i="9"/>
  <c r="AD87" i="9"/>
  <c r="L87" i="9"/>
  <c r="J87" i="9"/>
  <c r="K87" i="9"/>
  <c r="N87" i="9"/>
  <c r="O99" i="9"/>
  <c r="V99" i="9"/>
  <c r="P99" i="9" s="1"/>
  <c r="Y99" i="9"/>
  <c r="J99" i="9"/>
  <c r="K99" i="9"/>
  <c r="L99" i="9"/>
  <c r="M99" i="9"/>
  <c r="N99" i="9"/>
  <c r="AD99" i="9"/>
  <c r="O111" i="9"/>
  <c r="Y111" i="9"/>
  <c r="V111" i="9"/>
  <c r="P111" i="9" s="1"/>
  <c r="AD111" i="9"/>
  <c r="N111" i="9"/>
  <c r="K111" i="9"/>
  <c r="J111" i="9"/>
  <c r="L111" i="9"/>
  <c r="M111" i="9"/>
  <c r="O123" i="9"/>
  <c r="Y123" i="9"/>
  <c r="V123" i="9"/>
  <c r="P123" i="9" s="1"/>
  <c r="K123" i="9"/>
  <c r="L123" i="9"/>
  <c r="M123" i="9"/>
  <c r="AD123" i="9"/>
  <c r="N123" i="9"/>
  <c r="J123" i="9"/>
  <c r="O135" i="9"/>
  <c r="Y135" i="9"/>
  <c r="V135" i="9"/>
  <c r="P135" i="9" s="1"/>
  <c r="K135" i="9"/>
  <c r="L135" i="9"/>
  <c r="M135" i="9"/>
  <c r="N135" i="9"/>
  <c r="AD135" i="9"/>
  <c r="J135" i="9"/>
  <c r="O147" i="9"/>
  <c r="Y147" i="9"/>
  <c r="V147" i="9"/>
  <c r="P147" i="9" s="1"/>
  <c r="L147" i="9"/>
  <c r="M147" i="9"/>
  <c r="K147" i="9"/>
  <c r="AD147" i="9"/>
  <c r="J147" i="9"/>
  <c r="N147" i="9"/>
  <c r="O159" i="9"/>
  <c r="V159" i="9"/>
  <c r="P159" i="9" s="1"/>
  <c r="Y159" i="9"/>
  <c r="K159" i="9"/>
  <c r="L159" i="9"/>
  <c r="M159" i="9"/>
  <c r="AD159" i="9"/>
  <c r="N159" i="9"/>
  <c r="J159" i="9"/>
  <c r="O171" i="9"/>
  <c r="Y171" i="9"/>
  <c r="V171" i="9"/>
  <c r="P171" i="9" s="1"/>
  <c r="K171" i="9"/>
  <c r="L171" i="9"/>
  <c r="M171" i="9"/>
  <c r="N171" i="9"/>
  <c r="AD171" i="9"/>
  <c r="J171" i="9"/>
  <c r="O183" i="9"/>
  <c r="V183" i="9"/>
  <c r="P183" i="9" s="1"/>
  <c r="Y183" i="9"/>
  <c r="K183" i="9"/>
  <c r="L183" i="9"/>
  <c r="AD183" i="9"/>
  <c r="N183" i="9"/>
  <c r="J183" i="9"/>
  <c r="M183" i="9"/>
  <c r="O195" i="9"/>
  <c r="Y195" i="9"/>
  <c r="V195" i="9"/>
  <c r="P195" i="9" s="1"/>
  <c r="K195" i="9"/>
  <c r="L195" i="9"/>
  <c r="M195" i="9"/>
  <c r="N195" i="9"/>
  <c r="AD195" i="9"/>
  <c r="J195" i="9"/>
  <c r="O207" i="9"/>
  <c r="V207" i="9"/>
  <c r="P207" i="9" s="1"/>
  <c r="Y207" i="9"/>
  <c r="K207" i="9"/>
  <c r="L207" i="9"/>
  <c r="M207" i="9"/>
  <c r="AD207" i="9"/>
  <c r="J207" i="9"/>
  <c r="N207" i="9"/>
  <c r="V219" i="9"/>
  <c r="P219" i="9" s="1"/>
  <c r="Y219" i="9"/>
  <c r="O219" i="9"/>
  <c r="K219" i="9"/>
  <c r="L219" i="9"/>
  <c r="M219" i="9"/>
  <c r="AD219" i="9"/>
  <c r="J219" i="9"/>
  <c r="N219" i="9"/>
  <c r="V231" i="9"/>
  <c r="P231" i="9" s="1"/>
  <c r="Y231" i="9"/>
  <c r="O231" i="9"/>
  <c r="K231" i="9"/>
  <c r="L231" i="9"/>
  <c r="M231" i="9"/>
  <c r="AD231" i="9"/>
  <c r="N231" i="9"/>
  <c r="J231" i="9"/>
  <c r="Y243" i="9"/>
  <c r="V243" i="9"/>
  <c r="P243" i="9" s="1"/>
  <c r="O243" i="9"/>
  <c r="K243" i="9"/>
  <c r="L243" i="9"/>
  <c r="M243" i="9"/>
  <c r="AD243" i="9"/>
  <c r="N243" i="9"/>
  <c r="J243" i="9"/>
  <c r="Y255" i="9"/>
  <c r="V255" i="9"/>
  <c r="P255" i="9" s="1"/>
  <c r="O255" i="9"/>
  <c r="M255" i="9"/>
  <c r="AD255" i="9"/>
  <c r="L255" i="9"/>
  <c r="K255" i="9"/>
  <c r="N255" i="9"/>
  <c r="J255" i="9"/>
  <c r="O267" i="9"/>
  <c r="Y267" i="9"/>
  <c r="V267" i="9"/>
  <c r="P267" i="9" s="1"/>
  <c r="M267" i="9"/>
  <c r="L267" i="9"/>
  <c r="N267" i="9"/>
  <c r="J267" i="9"/>
  <c r="AD267" i="9"/>
  <c r="K267" i="9"/>
  <c r="Y279" i="9"/>
  <c r="V279" i="9"/>
  <c r="P279" i="9" s="1"/>
  <c r="O279" i="9"/>
  <c r="M279" i="9"/>
  <c r="AD279" i="9"/>
  <c r="L279" i="9"/>
  <c r="K279" i="9"/>
  <c r="J279" i="9"/>
  <c r="N279" i="9"/>
  <c r="O291" i="9"/>
  <c r="Y291" i="9"/>
  <c r="V291" i="9"/>
  <c r="P291" i="9" s="1"/>
  <c r="K291" i="9"/>
  <c r="L291" i="9"/>
  <c r="M291" i="9"/>
  <c r="AD291" i="9"/>
  <c r="N291" i="9"/>
  <c r="J291" i="9"/>
  <c r="O303" i="9"/>
  <c r="V303" i="9"/>
  <c r="P303" i="9" s="1"/>
  <c r="Y303" i="9"/>
  <c r="M303" i="9"/>
  <c r="L303" i="9"/>
  <c r="K303" i="9"/>
  <c r="J303" i="9"/>
  <c r="AD303" i="9"/>
  <c r="N303" i="9"/>
  <c r="O315" i="9"/>
  <c r="Y315" i="9"/>
  <c r="V315" i="9"/>
  <c r="P315" i="9" s="1"/>
  <c r="M315" i="9"/>
  <c r="AD315" i="9"/>
  <c r="K315" i="9"/>
  <c r="L315" i="9"/>
  <c r="J315" i="9"/>
  <c r="N315" i="9"/>
  <c r="O327" i="9"/>
  <c r="Y327" i="9"/>
  <c r="V327" i="9"/>
  <c r="P327" i="9" s="1"/>
  <c r="K327" i="9"/>
  <c r="L327" i="9"/>
  <c r="M327" i="9"/>
  <c r="N327" i="9"/>
  <c r="J327" i="9"/>
  <c r="AD327" i="9"/>
  <c r="O339" i="9"/>
  <c r="Y339" i="9"/>
  <c r="V339" i="9"/>
  <c r="P339" i="9" s="1"/>
  <c r="K339" i="9"/>
  <c r="L339" i="9"/>
  <c r="AD339" i="9"/>
  <c r="J339" i="9"/>
  <c r="N339" i="9"/>
  <c r="M339" i="9"/>
  <c r="O351" i="9"/>
  <c r="Y351" i="9"/>
  <c r="V351" i="9"/>
  <c r="P351" i="9" s="1"/>
  <c r="M351" i="9"/>
  <c r="K351" i="9"/>
  <c r="L351" i="9"/>
  <c r="J351" i="9"/>
  <c r="AD351" i="9"/>
  <c r="N351" i="9"/>
  <c r="O363" i="9"/>
  <c r="V363" i="9"/>
  <c r="P363" i="9" s="1"/>
  <c r="Y363" i="9"/>
  <c r="AD363" i="9"/>
  <c r="N363" i="9"/>
  <c r="K363" i="9"/>
  <c r="L363" i="9"/>
  <c r="M363" i="9"/>
  <c r="J363" i="9"/>
  <c r="V375" i="9"/>
  <c r="P375" i="9" s="1"/>
  <c r="Y375" i="9"/>
  <c r="O375" i="9"/>
  <c r="K375" i="9"/>
  <c r="M375" i="9"/>
  <c r="N375" i="9"/>
  <c r="J375" i="9"/>
  <c r="AD375" i="9"/>
  <c r="L375" i="9"/>
  <c r="Y387" i="9"/>
  <c r="O387" i="9"/>
  <c r="V387" i="9"/>
  <c r="P387" i="9" s="1"/>
  <c r="K387" i="9"/>
  <c r="L387" i="9"/>
  <c r="J387" i="9"/>
  <c r="M387" i="9"/>
  <c r="N387" i="9"/>
  <c r="AD387" i="9"/>
  <c r="V399" i="9"/>
  <c r="P399" i="9" s="1"/>
  <c r="O399" i="9"/>
  <c r="Y399" i="9"/>
  <c r="K399" i="9"/>
  <c r="L399" i="9"/>
  <c r="M399" i="9"/>
  <c r="J399" i="9"/>
  <c r="N399" i="9"/>
  <c r="AD399" i="9"/>
  <c r="Y411" i="9"/>
  <c r="V411" i="9"/>
  <c r="P411" i="9" s="1"/>
  <c r="O411" i="9"/>
  <c r="K411" i="9"/>
  <c r="L411" i="9"/>
  <c r="M411" i="9"/>
  <c r="AD411" i="9"/>
  <c r="N411" i="9"/>
  <c r="J411" i="9"/>
  <c r="Y423" i="9"/>
  <c r="V423" i="9"/>
  <c r="P423" i="9" s="1"/>
  <c r="O423" i="9"/>
  <c r="L423" i="9"/>
  <c r="K423" i="9"/>
  <c r="M423" i="9"/>
  <c r="N423" i="9"/>
  <c r="AD423" i="9"/>
  <c r="J423" i="9"/>
  <c r="O435" i="9"/>
  <c r="V435" i="9"/>
  <c r="P435" i="9" s="1"/>
  <c r="Y435" i="9"/>
  <c r="K435" i="9"/>
  <c r="L435" i="9"/>
  <c r="M435" i="9"/>
  <c r="AD435" i="9"/>
  <c r="N435" i="9"/>
  <c r="J435" i="9"/>
  <c r="Y447" i="9"/>
  <c r="V447" i="9"/>
  <c r="P447" i="9" s="1"/>
  <c r="O447" i="9"/>
  <c r="L447" i="9"/>
  <c r="M447" i="9"/>
  <c r="K447" i="9"/>
  <c r="AD447" i="9"/>
  <c r="J447" i="9"/>
  <c r="N447" i="9"/>
  <c r="O459" i="9"/>
  <c r="Y459" i="9"/>
  <c r="V459" i="9"/>
  <c r="P459" i="9" s="1"/>
  <c r="J459" i="9"/>
  <c r="K459" i="9"/>
  <c r="M459" i="9"/>
  <c r="L459" i="9"/>
  <c r="AD459" i="9"/>
  <c r="N459" i="9"/>
  <c r="O471" i="9"/>
  <c r="Y471" i="9"/>
  <c r="V471" i="9"/>
  <c r="P471" i="9" s="1"/>
  <c r="K471" i="9"/>
  <c r="AD471" i="9"/>
  <c r="L471" i="9"/>
  <c r="N471" i="9"/>
  <c r="M471" i="9"/>
  <c r="J471" i="9"/>
  <c r="O483" i="9"/>
  <c r="Y483" i="9"/>
  <c r="V483" i="9"/>
  <c r="P483" i="9" s="1"/>
  <c r="K483" i="9"/>
  <c r="L483" i="9"/>
  <c r="M483" i="9"/>
  <c r="AD483" i="9"/>
  <c r="J483" i="9"/>
  <c r="N483" i="9"/>
  <c r="Y495" i="9"/>
  <c r="V495" i="9"/>
  <c r="P495" i="9" s="1"/>
  <c r="O495" i="9"/>
  <c r="L495" i="9"/>
  <c r="K495" i="9"/>
  <c r="M495" i="9"/>
  <c r="J495" i="9"/>
  <c r="AD495" i="9"/>
  <c r="N495" i="9"/>
  <c r="O507" i="9"/>
  <c r="Y507" i="9"/>
  <c r="V507" i="9"/>
  <c r="P507" i="9" s="1"/>
  <c r="K507" i="9"/>
  <c r="L507" i="9"/>
  <c r="M507" i="9"/>
  <c r="AD507" i="9"/>
  <c r="N507" i="9"/>
  <c r="J507" i="9"/>
  <c r="O519" i="9"/>
  <c r="V519" i="9"/>
  <c r="P519" i="9" s="1"/>
  <c r="Y519" i="9"/>
  <c r="K519" i="9"/>
  <c r="M519" i="9"/>
  <c r="L519" i="9"/>
  <c r="AD519" i="9"/>
  <c r="N519" i="9"/>
  <c r="J519" i="9"/>
  <c r="O531" i="9"/>
  <c r="Y531" i="9"/>
  <c r="V531" i="9"/>
  <c r="P531" i="9" s="1"/>
  <c r="K531" i="9"/>
  <c r="L531" i="9"/>
  <c r="M531" i="9"/>
  <c r="J531" i="9"/>
  <c r="AD531" i="9"/>
  <c r="N531" i="9"/>
  <c r="O543" i="9"/>
  <c r="V543" i="9"/>
  <c r="P543" i="9" s="1"/>
  <c r="Y543" i="9"/>
  <c r="L543" i="9"/>
  <c r="M543" i="9"/>
  <c r="K543" i="9"/>
  <c r="AD543" i="9"/>
  <c r="N543" i="9"/>
  <c r="J543" i="9"/>
  <c r="O555" i="9"/>
  <c r="Y555" i="9"/>
  <c r="V555" i="9"/>
  <c r="P555" i="9" s="1"/>
  <c r="L555" i="9"/>
  <c r="K555" i="9"/>
  <c r="M555" i="9"/>
  <c r="AD555" i="9"/>
  <c r="J555" i="9"/>
  <c r="N555" i="9"/>
  <c r="O567" i="9"/>
  <c r="V567" i="9"/>
  <c r="P567" i="9" s="1"/>
  <c r="Y567" i="9"/>
  <c r="M567" i="9"/>
  <c r="L567" i="9"/>
  <c r="K567" i="9"/>
  <c r="AD567" i="9"/>
  <c r="N567" i="9"/>
  <c r="J567" i="9"/>
  <c r="O579" i="9"/>
  <c r="Y579" i="9"/>
  <c r="V579" i="9"/>
  <c r="P579" i="9" s="1"/>
  <c r="K579" i="9"/>
  <c r="L579" i="9"/>
  <c r="M579" i="9"/>
  <c r="AD579" i="9"/>
  <c r="J579" i="9"/>
  <c r="N579" i="9"/>
  <c r="O591" i="9"/>
  <c r="V591" i="9"/>
  <c r="P591" i="9" s="1"/>
  <c r="Y591" i="9"/>
  <c r="M591" i="9"/>
  <c r="K591" i="9"/>
  <c r="L591" i="9"/>
  <c r="AD591" i="9"/>
  <c r="N591" i="9"/>
  <c r="J591" i="9"/>
  <c r="Y603" i="9"/>
  <c r="V603" i="9"/>
  <c r="P603" i="9" s="1"/>
  <c r="O603" i="9"/>
  <c r="K603" i="9"/>
  <c r="L603" i="9"/>
  <c r="M603" i="9"/>
  <c r="J603" i="9"/>
  <c r="AD603" i="9"/>
  <c r="N603" i="9"/>
  <c r="V615" i="9"/>
  <c r="P615" i="9" s="1"/>
  <c r="O615" i="9"/>
  <c r="Y615" i="9"/>
  <c r="K615" i="9"/>
  <c r="L615" i="9"/>
  <c r="M615" i="9"/>
  <c r="AD615" i="9"/>
  <c r="N615" i="9"/>
  <c r="J615" i="9"/>
  <c r="O627" i="9"/>
  <c r="V627" i="9"/>
  <c r="P627" i="9" s="1"/>
  <c r="Y627" i="9"/>
  <c r="L627" i="9"/>
  <c r="K627" i="9"/>
  <c r="M627" i="9"/>
  <c r="AD627" i="9"/>
  <c r="N627" i="9"/>
  <c r="J627" i="9"/>
  <c r="Y639" i="9"/>
  <c r="V639" i="9"/>
  <c r="P639" i="9" s="1"/>
  <c r="O639" i="9"/>
  <c r="N639" i="9"/>
  <c r="K639" i="9"/>
  <c r="L639" i="9"/>
  <c r="M639" i="9"/>
  <c r="AD639" i="9"/>
  <c r="J639" i="9"/>
  <c r="Y651" i="9"/>
  <c r="O651" i="9"/>
  <c r="V651" i="9"/>
  <c r="P651" i="9" s="1"/>
  <c r="K651" i="9"/>
  <c r="L651" i="9"/>
  <c r="M651" i="9"/>
  <c r="AD651" i="9"/>
  <c r="N651" i="9"/>
  <c r="J651" i="9"/>
  <c r="O663" i="9"/>
  <c r="Y663" i="9"/>
  <c r="V663" i="9"/>
  <c r="P663" i="9" s="1"/>
  <c r="K663" i="9"/>
  <c r="L663" i="9"/>
  <c r="M663" i="9"/>
  <c r="AD663" i="9"/>
  <c r="J663" i="9"/>
  <c r="N663" i="9"/>
  <c r="O675" i="9"/>
  <c r="Y675" i="9"/>
  <c r="V675" i="9"/>
  <c r="P675" i="9" s="1"/>
  <c r="L675" i="9"/>
  <c r="M675" i="9"/>
  <c r="AD675" i="9"/>
  <c r="K675" i="9"/>
  <c r="N675" i="9"/>
  <c r="J675" i="9"/>
  <c r="O687" i="9"/>
  <c r="Y687" i="9"/>
  <c r="V687" i="9"/>
  <c r="P687" i="9" s="1"/>
  <c r="AD687" i="9"/>
  <c r="K687" i="9"/>
  <c r="L687" i="9"/>
  <c r="M687" i="9"/>
  <c r="J687" i="9"/>
  <c r="N687" i="9"/>
  <c r="O699" i="9"/>
  <c r="Y699" i="9"/>
  <c r="V699" i="9"/>
  <c r="P699" i="9" s="1"/>
  <c r="M699" i="9"/>
  <c r="AD699" i="9"/>
  <c r="K699" i="9"/>
  <c r="L699" i="9"/>
  <c r="N699" i="9"/>
  <c r="J699" i="9"/>
  <c r="O711" i="9"/>
  <c r="V711" i="9"/>
  <c r="P711" i="9" s="1"/>
  <c r="Y711" i="9"/>
  <c r="K711" i="9"/>
  <c r="L711" i="9"/>
  <c r="M711" i="9"/>
  <c r="J711" i="9"/>
  <c r="N711" i="9"/>
  <c r="AD711" i="9"/>
  <c r="O723" i="9"/>
  <c r="Y723" i="9"/>
  <c r="V723" i="9"/>
  <c r="P723" i="9" s="1"/>
  <c r="M723" i="9"/>
  <c r="L723" i="9"/>
  <c r="K723" i="9"/>
  <c r="AD723" i="9"/>
  <c r="N723" i="9"/>
  <c r="J723" i="9"/>
  <c r="O735" i="9"/>
  <c r="Y735" i="9"/>
  <c r="V735" i="9"/>
  <c r="P735" i="9" s="1"/>
  <c r="K735" i="9"/>
  <c r="L735" i="9"/>
  <c r="M735" i="9"/>
  <c r="J735" i="9"/>
  <c r="AD735" i="9"/>
  <c r="N735" i="9"/>
  <c r="O747" i="9"/>
  <c r="Y747" i="9"/>
  <c r="V747" i="9"/>
  <c r="P747" i="9" s="1"/>
  <c r="M747" i="9"/>
  <c r="L747" i="9"/>
  <c r="K747" i="9"/>
  <c r="AD747" i="9"/>
  <c r="J747" i="9"/>
  <c r="N747" i="9"/>
  <c r="V759" i="9"/>
  <c r="P759" i="9" s="1"/>
  <c r="O759" i="9"/>
  <c r="Y759" i="9"/>
  <c r="K759" i="9"/>
  <c r="L759" i="9"/>
  <c r="M759" i="9"/>
  <c r="N759" i="9"/>
  <c r="J759" i="9"/>
  <c r="AD759" i="9"/>
  <c r="O771" i="9"/>
  <c r="V771" i="9"/>
  <c r="P771" i="9" s="1"/>
  <c r="Y771" i="9"/>
  <c r="M771" i="9"/>
  <c r="K771" i="9"/>
  <c r="AD771" i="9"/>
  <c r="N771" i="9"/>
  <c r="L771" i="9"/>
  <c r="J771" i="9"/>
  <c r="V783" i="9"/>
  <c r="P783" i="9" s="1"/>
  <c r="O783" i="9"/>
  <c r="Y783" i="9"/>
  <c r="K783" i="9"/>
  <c r="L783" i="9"/>
  <c r="M783" i="9"/>
  <c r="AD783" i="9"/>
  <c r="J783" i="9"/>
  <c r="N783" i="9"/>
  <c r="Y795" i="9"/>
  <c r="O795" i="9"/>
  <c r="V795" i="9"/>
  <c r="P795" i="9" s="1"/>
  <c r="L795" i="9"/>
  <c r="M795" i="9"/>
  <c r="K795" i="9"/>
  <c r="AD795" i="9"/>
  <c r="J795" i="9"/>
  <c r="N795" i="9"/>
  <c r="O807" i="9"/>
  <c r="Y807" i="9"/>
  <c r="V807" i="9"/>
  <c r="P807" i="9" s="1"/>
  <c r="K807" i="9"/>
  <c r="L807" i="9"/>
  <c r="M807" i="9"/>
  <c r="AD807" i="9"/>
  <c r="N807" i="9"/>
  <c r="J807" i="9"/>
  <c r="O819" i="9"/>
  <c r="V819" i="9"/>
  <c r="P819" i="9" s="1"/>
  <c r="Y819" i="9"/>
  <c r="L819" i="9"/>
  <c r="K819" i="9"/>
  <c r="M819" i="9"/>
  <c r="AD819" i="9"/>
  <c r="J819" i="9"/>
  <c r="N819" i="9"/>
  <c r="O831" i="9"/>
  <c r="Y831" i="9"/>
  <c r="V831" i="9"/>
  <c r="P831" i="9" s="1"/>
  <c r="AD831" i="9"/>
  <c r="K831" i="9"/>
  <c r="M831" i="9"/>
  <c r="L831" i="9"/>
  <c r="N831" i="9"/>
  <c r="J831" i="9"/>
  <c r="O107" i="9"/>
  <c r="Y107" i="9"/>
  <c r="V107" i="9"/>
  <c r="P107" i="9" s="1"/>
  <c r="J107" i="9"/>
  <c r="N107" i="9"/>
  <c r="K107" i="9"/>
  <c r="L107" i="9"/>
  <c r="M107" i="9"/>
  <c r="AD107" i="9"/>
  <c r="O203" i="9"/>
  <c r="V203" i="9"/>
  <c r="P203" i="9" s="1"/>
  <c r="Y203" i="9"/>
  <c r="K203" i="9"/>
  <c r="L203" i="9"/>
  <c r="M203" i="9"/>
  <c r="AD203" i="9"/>
  <c r="J203" i="9"/>
  <c r="N203" i="9"/>
  <c r="V311" i="9"/>
  <c r="P311" i="9" s="1"/>
  <c r="Y311" i="9"/>
  <c r="O311" i="9"/>
  <c r="K311" i="9"/>
  <c r="L311" i="9"/>
  <c r="AD311" i="9"/>
  <c r="M311" i="9"/>
  <c r="J311" i="9"/>
  <c r="N311" i="9"/>
  <c r="O359" i="9"/>
  <c r="V359" i="9"/>
  <c r="P359" i="9" s="1"/>
  <c r="Y359" i="9"/>
  <c r="M359" i="9"/>
  <c r="L359" i="9"/>
  <c r="N359" i="9"/>
  <c r="K359" i="9"/>
  <c r="AD359" i="9"/>
  <c r="J359" i="9"/>
  <c r="V455" i="9"/>
  <c r="P455" i="9" s="1"/>
  <c r="Y455" i="9"/>
  <c r="O455" i="9"/>
  <c r="K455" i="9"/>
  <c r="L455" i="9"/>
  <c r="M455" i="9"/>
  <c r="J455" i="9"/>
  <c r="AD455" i="9"/>
  <c r="N455" i="9"/>
  <c r="O587" i="9"/>
  <c r="V587" i="9"/>
  <c r="P587" i="9" s="1"/>
  <c r="Y587" i="9"/>
  <c r="L587" i="9"/>
  <c r="M587" i="9"/>
  <c r="K587" i="9"/>
  <c r="AD587" i="9"/>
  <c r="J587" i="9"/>
  <c r="N587" i="9"/>
  <c r="Y671" i="9"/>
  <c r="V671" i="9"/>
  <c r="P671" i="9" s="1"/>
  <c r="O671" i="9"/>
  <c r="K671" i="9"/>
  <c r="L671" i="9"/>
  <c r="M671" i="9"/>
  <c r="AD671" i="9"/>
  <c r="N671" i="9"/>
  <c r="J671" i="9"/>
  <c r="O755" i="9"/>
  <c r="V755" i="9"/>
  <c r="P755" i="9" s="1"/>
  <c r="Y755" i="9"/>
  <c r="L755" i="9"/>
  <c r="M755" i="9"/>
  <c r="K755" i="9"/>
  <c r="AD755" i="9"/>
  <c r="N755" i="9"/>
  <c r="J755" i="9"/>
  <c r="O156" i="9"/>
  <c r="Y156" i="9"/>
  <c r="V156" i="9"/>
  <c r="P156" i="9" s="1"/>
  <c r="K156" i="9"/>
  <c r="M156" i="9"/>
  <c r="N156" i="9"/>
  <c r="AD156" i="9"/>
  <c r="J156" i="9"/>
  <c r="L156" i="9"/>
  <c r="O336" i="9"/>
  <c r="Y336" i="9"/>
  <c r="V336" i="9"/>
  <c r="P336" i="9" s="1"/>
  <c r="K336" i="9"/>
  <c r="M336" i="9"/>
  <c r="N336" i="9"/>
  <c r="AD336" i="9"/>
  <c r="L336" i="9"/>
  <c r="J336" i="9"/>
  <c r="O528" i="9"/>
  <c r="Y528" i="9"/>
  <c r="V528" i="9"/>
  <c r="P528" i="9" s="1"/>
  <c r="L528" i="9"/>
  <c r="K528" i="9"/>
  <c r="M528" i="9"/>
  <c r="AD528" i="9"/>
  <c r="J528" i="9"/>
  <c r="N528" i="9"/>
  <c r="O816" i="9"/>
  <c r="Y816" i="9"/>
  <c r="V816" i="9"/>
  <c r="P816" i="9" s="1"/>
  <c r="N816" i="9"/>
  <c r="AD816" i="9"/>
  <c r="L816" i="9"/>
  <c r="K816" i="9"/>
  <c r="M816" i="9"/>
  <c r="J816" i="9"/>
  <c r="O28" i="9"/>
  <c r="V28" i="9"/>
  <c r="P28" i="9" s="1"/>
  <c r="Y28" i="9"/>
  <c r="K28" i="9"/>
  <c r="L28" i="9"/>
  <c r="M28" i="9"/>
  <c r="AD28" i="9"/>
  <c r="J28" i="9"/>
  <c r="N28" i="9"/>
  <c r="Y40" i="9"/>
  <c r="V40" i="9"/>
  <c r="P40" i="9" s="1"/>
  <c r="O40" i="9"/>
  <c r="K40" i="9"/>
  <c r="M40" i="9"/>
  <c r="AD40" i="9"/>
  <c r="L40" i="9"/>
  <c r="N40" i="9"/>
  <c r="J40" i="9"/>
  <c r="O52" i="9"/>
  <c r="Y52" i="9"/>
  <c r="V52" i="9"/>
  <c r="P52" i="9" s="1"/>
  <c r="L52" i="9"/>
  <c r="K52" i="9"/>
  <c r="M52" i="9"/>
  <c r="AD52" i="9"/>
  <c r="J52" i="9"/>
  <c r="N52" i="9"/>
  <c r="O64" i="9"/>
  <c r="V64" i="9"/>
  <c r="P64" i="9" s="1"/>
  <c r="Y64" i="9"/>
  <c r="K64" i="9"/>
  <c r="L64" i="9"/>
  <c r="M64" i="9"/>
  <c r="J64" i="9"/>
  <c r="AD64" i="9"/>
  <c r="N64" i="9"/>
  <c r="Y76" i="9"/>
  <c r="V76" i="9"/>
  <c r="P76" i="9" s="1"/>
  <c r="O76" i="9"/>
  <c r="AD76" i="9"/>
  <c r="J76" i="9"/>
  <c r="L76" i="9"/>
  <c r="M76" i="9"/>
  <c r="K76" i="9"/>
  <c r="N76" i="9"/>
  <c r="O88" i="9"/>
  <c r="V88" i="9"/>
  <c r="P88" i="9" s="1"/>
  <c r="Y88" i="9"/>
  <c r="AD88" i="9"/>
  <c r="J88" i="9"/>
  <c r="K88" i="9"/>
  <c r="N88" i="9"/>
  <c r="L88" i="9"/>
  <c r="M88" i="9"/>
  <c r="O100" i="9"/>
  <c r="Y100" i="9"/>
  <c r="V100" i="9"/>
  <c r="P100" i="9" s="1"/>
  <c r="K100" i="9"/>
  <c r="AD100" i="9"/>
  <c r="L100" i="9"/>
  <c r="M100" i="9"/>
  <c r="N100" i="9"/>
  <c r="J100" i="9"/>
  <c r="O112" i="9"/>
  <c r="Y112" i="9"/>
  <c r="V112" i="9"/>
  <c r="P112" i="9" s="1"/>
  <c r="M112" i="9"/>
  <c r="N112" i="9"/>
  <c r="J112" i="9"/>
  <c r="L112" i="9"/>
  <c r="K112" i="9"/>
  <c r="AD112" i="9"/>
  <c r="O124" i="9"/>
  <c r="Y124" i="9"/>
  <c r="V124" i="9"/>
  <c r="P124" i="9" s="1"/>
  <c r="M124" i="9"/>
  <c r="L124" i="9"/>
  <c r="N124" i="9"/>
  <c r="K124" i="9"/>
  <c r="AD124" i="9"/>
  <c r="J124" i="9"/>
  <c r="O136" i="9"/>
  <c r="Y136" i="9"/>
  <c r="V136" i="9"/>
  <c r="P136" i="9" s="1"/>
  <c r="K136" i="9"/>
  <c r="L136" i="9"/>
  <c r="M136" i="9"/>
  <c r="AD136" i="9"/>
  <c r="N136" i="9"/>
  <c r="J136" i="9"/>
  <c r="O148" i="9"/>
  <c r="Y148" i="9"/>
  <c r="V148" i="9"/>
  <c r="P148" i="9" s="1"/>
  <c r="L148" i="9"/>
  <c r="K148" i="9"/>
  <c r="M148" i="9"/>
  <c r="AD148" i="9"/>
  <c r="N148" i="9"/>
  <c r="J148" i="9"/>
  <c r="Y160" i="9"/>
  <c r="V160" i="9"/>
  <c r="P160" i="9" s="1"/>
  <c r="O160" i="9"/>
  <c r="K160" i="9"/>
  <c r="M160" i="9"/>
  <c r="AD160" i="9"/>
  <c r="J160" i="9"/>
  <c r="N160" i="9"/>
  <c r="L160" i="9"/>
  <c r="V172" i="9"/>
  <c r="P172" i="9" s="1"/>
  <c r="O172" i="9"/>
  <c r="Y172" i="9"/>
  <c r="M172" i="9"/>
  <c r="L172" i="9"/>
  <c r="N172" i="9"/>
  <c r="J172" i="9"/>
  <c r="AD172" i="9"/>
  <c r="K172" i="9"/>
  <c r="Y184" i="9"/>
  <c r="V184" i="9"/>
  <c r="P184" i="9" s="1"/>
  <c r="O184" i="9"/>
  <c r="K184" i="9"/>
  <c r="L184" i="9"/>
  <c r="M184" i="9"/>
  <c r="J184" i="9"/>
  <c r="N184" i="9"/>
  <c r="AD184" i="9"/>
  <c r="O196" i="9"/>
  <c r="Y196" i="9"/>
  <c r="V196" i="9"/>
  <c r="P196" i="9" s="1"/>
  <c r="M196" i="9"/>
  <c r="L196" i="9"/>
  <c r="K196" i="9"/>
  <c r="N196" i="9"/>
  <c r="AD196" i="9"/>
  <c r="J196" i="9"/>
  <c r="O208" i="9"/>
  <c r="V208" i="9"/>
  <c r="P208" i="9" s="1"/>
  <c r="Y208" i="9"/>
  <c r="K208" i="9"/>
  <c r="M208" i="9"/>
  <c r="L208" i="9"/>
  <c r="J208" i="9"/>
  <c r="AD208" i="9"/>
  <c r="N208" i="9"/>
  <c r="Y220" i="9"/>
  <c r="V220" i="9"/>
  <c r="P220" i="9" s="1"/>
  <c r="O220" i="9"/>
  <c r="K220" i="9"/>
  <c r="AD220" i="9"/>
  <c r="L220" i="9"/>
  <c r="M220" i="9"/>
  <c r="N220" i="9"/>
  <c r="J220" i="9"/>
  <c r="O232" i="9"/>
  <c r="Y232" i="9"/>
  <c r="V232" i="9"/>
  <c r="P232" i="9" s="1"/>
  <c r="K232" i="9"/>
  <c r="L232" i="9"/>
  <c r="M232" i="9"/>
  <c r="AD232" i="9"/>
  <c r="J232" i="9"/>
  <c r="N232" i="9"/>
  <c r="Y244" i="9"/>
  <c r="V244" i="9"/>
  <c r="P244" i="9" s="1"/>
  <c r="O244" i="9"/>
  <c r="M244" i="9"/>
  <c r="L244" i="9"/>
  <c r="N244" i="9"/>
  <c r="K244" i="9"/>
  <c r="J244" i="9"/>
  <c r="AD244" i="9"/>
  <c r="O256" i="9"/>
  <c r="V256" i="9"/>
  <c r="P256" i="9" s="1"/>
  <c r="Y256" i="9"/>
  <c r="K256" i="9"/>
  <c r="L256" i="9"/>
  <c r="M256" i="9"/>
  <c r="J256" i="9"/>
  <c r="N256" i="9"/>
  <c r="AD256" i="9"/>
  <c r="Y268" i="9"/>
  <c r="V268" i="9"/>
  <c r="P268" i="9" s="1"/>
  <c r="O268" i="9"/>
  <c r="K268" i="9"/>
  <c r="L268" i="9"/>
  <c r="M268" i="9"/>
  <c r="AD268" i="9"/>
  <c r="N268" i="9"/>
  <c r="J268" i="9"/>
  <c r="Y280" i="9"/>
  <c r="O280" i="9"/>
  <c r="V280" i="9"/>
  <c r="P280" i="9" s="1"/>
  <c r="K280" i="9"/>
  <c r="L280" i="9"/>
  <c r="M280" i="9"/>
  <c r="N280" i="9"/>
  <c r="J280" i="9"/>
  <c r="AD280" i="9"/>
  <c r="O292" i="9"/>
  <c r="Y292" i="9"/>
  <c r="V292" i="9"/>
  <c r="P292" i="9" s="1"/>
  <c r="M292" i="9"/>
  <c r="L292" i="9"/>
  <c r="K292" i="9"/>
  <c r="AD292" i="9"/>
  <c r="J292" i="9"/>
  <c r="N292" i="9"/>
  <c r="O304" i="9"/>
  <c r="Y304" i="9"/>
  <c r="V304" i="9"/>
  <c r="P304" i="9" s="1"/>
  <c r="K304" i="9"/>
  <c r="L304" i="9"/>
  <c r="M304" i="9"/>
  <c r="AD304" i="9"/>
  <c r="N304" i="9"/>
  <c r="J304" i="9"/>
  <c r="O316" i="9"/>
  <c r="Y316" i="9"/>
  <c r="V316" i="9"/>
  <c r="P316" i="9" s="1"/>
  <c r="K316" i="9"/>
  <c r="M316" i="9"/>
  <c r="L316" i="9"/>
  <c r="N316" i="9"/>
  <c r="J316" i="9"/>
  <c r="AD316" i="9"/>
  <c r="Y328" i="9"/>
  <c r="V328" i="9"/>
  <c r="P328" i="9" s="1"/>
  <c r="O328" i="9"/>
  <c r="K328" i="9"/>
  <c r="M328" i="9"/>
  <c r="L328" i="9"/>
  <c r="N328" i="9"/>
  <c r="AD328" i="9"/>
  <c r="J328" i="9"/>
  <c r="O340" i="9"/>
  <c r="Y340" i="9"/>
  <c r="V340" i="9"/>
  <c r="P340" i="9" s="1"/>
  <c r="K340" i="9"/>
  <c r="M340" i="9"/>
  <c r="L340" i="9"/>
  <c r="AD340" i="9"/>
  <c r="N340" i="9"/>
  <c r="J340" i="9"/>
  <c r="Y352" i="9"/>
  <c r="V352" i="9"/>
  <c r="P352" i="9" s="1"/>
  <c r="O352" i="9"/>
  <c r="AD352" i="9"/>
  <c r="K352" i="9"/>
  <c r="M352" i="9"/>
  <c r="L352" i="9"/>
  <c r="N352" i="9"/>
  <c r="J352" i="9"/>
  <c r="O364" i="9"/>
  <c r="V364" i="9"/>
  <c r="P364" i="9" s="1"/>
  <c r="Y364" i="9"/>
  <c r="M364" i="9"/>
  <c r="L364" i="9"/>
  <c r="K364" i="9"/>
  <c r="AD364" i="9"/>
  <c r="N364" i="9"/>
  <c r="J364" i="9"/>
  <c r="O376" i="9"/>
  <c r="Y376" i="9"/>
  <c r="V376" i="9"/>
  <c r="P376" i="9" s="1"/>
  <c r="L376" i="9"/>
  <c r="K376" i="9"/>
  <c r="M376" i="9"/>
  <c r="AD376" i="9"/>
  <c r="N376" i="9"/>
  <c r="J376" i="9"/>
  <c r="O388" i="9"/>
  <c r="Y388" i="9"/>
  <c r="V388" i="9"/>
  <c r="P388" i="9" s="1"/>
  <c r="N388" i="9"/>
  <c r="K388" i="9"/>
  <c r="L388" i="9"/>
  <c r="M388" i="9"/>
  <c r="J388" i="9"/>
  <c r="AD388" i="9"/>
  <c r="O400" i="9"/>
  <c r="Y400" i="9"/>
  <c r="V400" i="9"/>
  <c r="P400" i="9" s="1"/>
  <c r="K400" i="9"/>
  <c r="L400" i="9"/>
  <c r="M400" i="9"/>
  <c r="J400" i="9"/>
  <c r="AD400" i="9"/>
  <c r="N400" i="9"/>
  <c r="V412" i="9"/>
  <c r="P412" i="9" s="1"/>
  <c r="O412" i="9"/>
  <c r="Y412" i="9"/>
  <c r="L412" i="9"/>
  <c r="M412" i="9"/>
  <c r="J412" i="9"/>
  <c r="AD412" i="9"/>
  <c r="K412" i="9"/>
  <c r="N412" i="9"/>
  <c r="Y424" i="9"/>
  <c r="V424" i="9"/>
  <c r="P424" i="9" s="1"/>
  <c r="O424" i="9"/>
  <c r="K424" i="9"/>
  <c r="L424" i="9"/>
  <c r="M424" i="9"/>
  <c r="AD424" i="9"/>
  <c r="N424" i="9"/>
  <c r="J424" i="9"/>
  <c r="O436" i="9"/>
  <c r="V436" i="9"/>
  <c r="P436" i="9" s="1"/>
  <c r="Y436" i="9"/>
  <c r="J436" i="9"/>
  <c r="L436" i="9"/>
  <c r="M436" i="9"/>
  <c r="K436" i="9"/>
  <c r="AD436" i="9"/>
  <c r="N436" i="9"/>
  <c r="O448" i="9"/>
  <c r="Y448" i="9"/>
  <c r="V448" i="9"/>
  <c r="P448" i="9" s="1"/>
  <c r="K448" i="9"/>
  <c r="M448" i="9"/>
  <c r="J448" i="9"/>
  <c r="L448" i="9"/>
  <c r="N448" i="9"/>
  <c r="AD448" i="9"/>
  <c r="O460" i="9"/>
  <c r="V460" i="9"/>
  <c r="P460" i="9" s="1"/>
  <c r="Y460" i="9"/>
  <c r="L460" i="9"/>
  <c r="M460" i="9"/>
  <c r="K460" i="9"/>
  <c r="AD460" i="9"/>
  <c r="N460" i="9"/>
  <c r="J460" i="9"/>
  <c r="O472" i="9"/>
  <c r="V472" i="9"/>
  <c r="P472" i="9" s="1"/>
  <c r="Y472" i="9"/>
  <c r="J472" i="9"/>
  <c r="K472" i="9"/>
  <c r="AD472" i="9"/>
  <c r="N472" i="9"/>
  <c r="M472" i="9"/>
  <c r="L472" i="9"/>
  <c r="Y484" i="9"/>
  <c r="V484" i="9"/>
  <c r="P484" i="9" s="1"/>
  <c r="O484" i="9"/>
  <c r="L484" i="9"/>
  <c r="M484" i="9"/>
  <c r="K484" i="9"/>
  <c r="AD484" i="9"/>
  <c r="N484" i="9"/>
  <c r="J484" i="9"/>
  <c r="Y496" i="9"/>
  <c r="V496" i="9"/>
  <c r="P496" i="9" s="1"/>
  <c r="O496" i="9"/>
  <c r="K496" i="9"/>
  <c r="L496" i="9"/>
  <c r="M496" i="9"/>
  <c r="N496" i="9"/>
  <c r="AD496" i="9"/>
  <c r="J496" i="9"/>
  <c r="O508" i="9"/>
  <c r="Y508" i="9"/>
  <c r="V508" i="9"/>
  <c r="P508" i="9" s="1"/>
  <c r="L508" i="9"/>
  <c r="M508" i="9"/>
  <c r="K508" i="9"/>
  <c r="J508" i="9"/>
  <c r="AD508" i="9"/>
  <c r="N508" i="9"/>
  <c r="O520" i="9"/>
  <c r="V520" i="9"/>
  <c r="P520" i="9" s="1"/>
  <c r="Y520" i="9"/>
  <c r="K520" i="9"/>
  <c r="M520" i="9"/>
  <c r="J520" i="9"/>
  <c r="L520" i="9"/>
  <c r="N520" i="9"/>
  <c r="AD520" i="9"/>
  <c r="Y532" i="9"/>
  <c r="V532" i="9"/>
  <c r="P532" i="9" s="1"/>
  <c r="O532" i="9"/>
  <c r="K532" i="9"/>
  <c r="L532" i="9"/>
  <c r="AD532" i="9"/>
  <c r="M532" i="9"/>
  <c r="N532" i="9"/>
  <c r="J532" i="9"/>
  <c r="O544" i="9"/>
  <c r="V544" i="9"/>
  <c r="P544" i="9" s="1"/>
  <c r="Y544" i="9"/>
  <c r="AD544" i="9"/>
  <c r="K544" i="9"/>
  <c r="L544" i="9"/>
  <c r="J544" i="9"/>
  <c r="N544" i="9"/>
  <c r="M544" i="9"/>
  <c r="O556" i="9"/>
  <c r="Y556" i="9"/>
  <c r="V556" i="9"/>
  <c r="P556" i="9" s="1"/>
  <c r="M556" i="9"/>
  <c r="K556" i="9"/>
  <c r="L556" i="9"/>
  <c r="AD556" i="9"/>
  <c r="J556" i="9"/>
  <c r="N556" i="9"/>
  <c r="O568" i="9"/>
  <c r="V568" i="9"/>
  <c r="P568" i="9" s="1"/>
  <c r="Y568" i="9"/>
  <c r="M568" i="9"/>
  <c r="K568" i="9"/>
  <c r="N568" i="9"/>
  <c r="AD568" i="9"/>
  <c r="L568" i="9"/>
  <c r="J568" i="9"/>
  <c r="O580" i="9"/>
  <c r="Y580" i="9"/>
  <c r="V580" i="9"/>
  <c r="P580" i="9" s="1"/>
  <c r="K580" i="9"/>
  <c r="M580" i="9"/>
  <c r="J580" i="9"/>
  <c r="AD580" i="9"/>
  <c r="N580" i="9"/>
  <c r="L580" i="9"/>
  <c r="O592" i="9"/>
  <c r="V592" i="9"/>
  <c r="P592" i="9" s="1"/>
  <c r="Y592" i="9"/>
  <c r="K592" i="9"/>
  <c r="L592" i="9"/>
  <c r="N592" i="9"/>
  <c r="J592" i="9"/>
  <c r="M592" i="9"/>
  <c r="AD592" i="9"/>
  <c r="Y604" i="9"/>
  <c r="V604" i="9"/>
  <c r="P604" i="9" s="1"/>
  <c r="O604" i="9"/>
  <c r="M604" i="9"/>
  <c r="L604" i="9"/>
  <c r="K604" i="9"/>
  <c r="N604" i="9"/>
  <c r="AD604" i="9"/>
  <c r="J604" i="9"/>
  <c r="O616" i="9"/>
  <c r="V616" i="9"/>
  <c r="P616" i="9" s="1"/>
  <c r="Y616" i="9"/>
  <c r="L616" i="9"/>
  <c r="M616" i="9"/>
  <c r="K616" i="9"/>
  <c r="N616" i="9"/>
  <c r="J616" i="9"/>
  <c r="AD616" i="9"/>
  <c r="O628" i="9"/>
  <c r="Y628" i="9"/>
  <c r="V628" i="9"/>
  <c r="P628" i="9" s="1"/>
  <c r="K628" i="9"/>
  <c r="L628" i="9"/>
  <c r="M628" i="9"/>
  <c r="AD628" i="9"/>
  <c r="J628" i="9"/>
  <c r="N628" i="9"/>
  <c r="O640" i="9"/>
  <c r="V640" i="9"/>
  <c r="P640" i="9" s="1"/>
  <c r="Y640" i="9"/>
  <c r="M640" i="9"/>
  <c r="L640" i="9"/>
  <c r="K640" i="9"/>
  <c r="AD640" i="9"/>
  <c r="N640" i="9"/>
  <c r="J640" i="9"/>
  <c r="O652" i="9"/>
  <c r="Y652" i="9"/>
  <c r="V652" i="9"/>
  <c r="P652" i="9" s="1"/>
  <c r="K652" i="9"/>
  <c r="L652" i="9"/>
  <c r="M652" i="9"/>
  <c r="J652" i="9"/>
  <c r="AD652" i="9"/>
  <c r="N652" i="9"/>
  <c r="O664" i="9"/>
  <c r="Y664" i="9"/>
  <c r="V664" i="9"/>
  <c r="P664" i="9" s="1"/>
  <c r="L664" i="9"/>
  <c r="K664" i="9"/>
  <c r="M664" i="9"/>
  <c r="N664" i="9"/>
  <c r="J664" i="9"/>
  <c r="AD664" i="9"/>
  <c r="O676" i="9"/>
  <c r="V676" i="9"/>
  <c r="P676" i="9" s="1"/>
  <c r="Y676" i="9"/>
  <c r="K676" i="9"/>
  <c r="L676" i="9"/>
  <c r="M676" i="9"/>
  <c r="AD676" i="9"/>
  <c r="J676" i="9"/>
  <c r="N676" i="9"/>
  <c r="O688" i="9"/>
  <c r="Y688" i="9"/>
  <c r="V688" i="9"/>
  <c r="P688" i="9" s="1"/>
  <c r="K688" i="9"/>
  <c r="L688" i="9"/>
  <c r="M688" i="9"/>
  <c r="J688" i="9"/>
  <c r="N688" i="9"/>
  <c r="AD688" i="9"/>
  <c r="O700" i="9"/>
  <c r="Y700" i="9"/>
  <c r="V700" i="9"/>
  <c r="P700" i="9" s="1"/>
  <c r="K700" i="9"/>
  <c r="L700" i="9"/>
  <c r="N700" i="9"/>
  <c r="M700" i="9"/>
  <c r="J700" i="9"/>
  <c r="AD700" i="9"/>
  <c r="O712" i="9"/>
  <c r="Y712" i="9"/>
  <c r="V712" i="9"/>
  <c r="P712" i="9" s="1"/>
  <c r="K712" i="9"/>
  <c r="L712" i="9"/>
  <c r="M712" i="9"/>
  <c r="N712" i="9"/>
  <c r="J712" i="9"/>
  <c r="AD712" i="9"/>
  <c r="O724" i="9"/>
  <c r="V724" i="9"/>
  <c r="P724" i="9" s="1"/>
  <c r="Y724" i="9"/>
  <c r="K724" i="9"/>
  <c r="L724" i="9"/>
  <c r="M724" i="9"/>
  <c r="AD724" i="9"/>
  <c r="N724" i="9"/>
  <c r="J724" i="9"/>
  <c r="Y736" i="9"/>
  <c r="V736" i="9"/>
  <c r="P736" i="9" s="1"/>
  <c r="O736" i="9"/>
  <c r="K736" i="9"/>
  <c r="L736" i="9"/>
  <c r="M736" i="9"/>
  <c r="J736" i="9"/>
  <c r="AD736" i="9"/>
  <c r="N736" i="9"/>
  <c r="O748" i="9"/>
  <c r="Y748" i="9"/>
  <c r="V748" i="9"/>
  <c r="P748" i="9" s="1"/>
  <c r="K748" i="9"/>
  <c r="L748" i="9"/>
  <c r="M748" i="9"/>
  <c r="N748" i="9"/>
  <c r="J748" i="9"/>
  <c r="AD748" i="9"/>
  <c r="O760" i="9"/>
  <c r="Y760" i="9"/>
  <c r="V760" i="9"/>
  <c r="P760" i="9" s="1"/>
  <c r="K760" i="9"/>
  <c r="L760" i="9"/>
  <c r="M760" i="9"/>
  <c r="J760" i="9"/>
  <c r="N760" i="9"/>
  <c r="AD760" i="9"/>
  <c r="O772" i="9"/>
  <c r="Y772" i="9"/>
  <c r="V772" i="9"/>
  <c r="P772" i="9" s="1"/>
  <c r="K772" i="9"/>
  <c r="M772" i="9"/>
  <c r="AD772" i="9"/>
  <c r="J772" i="9"/>
  <c r="L772" i="9"/>
  <c r="N772" i="9"/>
  <c r="O784" i="9"/>
  <c r="V784" i="9"/>
  <c r="P784" i="9" s="1"/>
  <c r="Y784" i="9"/>
  <c r="K784" i="9"/>
  <c r="L784" i="9"/>
  <c r="M784" i="9"/>
  <c r="N784" i="9"/>
  <c r="J784" i="9"/>
  <c r="AD784" i="9"/>
  <c r="V796" i="9"/>
  <c r="P796" i="9" s="1"/>
  <c r="O796" i="9"/>
  <c r="Y796" i="9"/>
  <c r="L796" i="9"/>
  <c r="K796" i="9"/>
  <c r="M796" i="9"/>
  <c r="N796" i="9"/>
  <c r="AD796" i="9"/>
  <c r="J796" i="9"/>
  <c r="V808" i="9"/>
  <c r="P808" i="9" s="1"/>
  <c r="Y808" i="9"/>
  <c r="O808" i="9"/>
  <c r="K808" i="9"/>
  <c r="L808" i="9"/>
  <c r="M808" i="9"/>
  <c r="N808" i="9"/>
  <c r="J808" i="9"/>
  <c r="AD808" i="9"/>
  <c r="V820" i="9"/>
  <c r="P820" i="9" s="1"/>
  <c r="Y820" i="9"/>
  <c r="O820" i="9"/>
  <c r="L820" i="9"/>
  <c r="K820" i="9"/>
  <c r="N820" i="9"/>
  <c r="J820" i="9"/>
  <c r="M820" i="9"/>
  <c r="AD820" i="9"/>
  <c r="O832" i="9"/>
  <c r="Y832" i="9"/>
  <c r="V832" i="9"/>
  <c r="P832" i="9" s="1"/>
  <c r="K832" i="9"/>
  <c r="L832" i="9"/>
  <c r="M832" i="9"/>
  <c r="AD832" i="9"/>
  <c r="J832" i="9"/>
  <c r="N832" i="9"/>
  <c r="O263" i="9"/>
  <c r="Y263" i="9"/>
  <c r="V263" i="9"/>
  <c r="P263" i="9" s="1"/>
  <c r="K263" i="9"/>
  <c r="L263" i="9"/>
  <c r="M263" i="9"/>
  <c r="J263" i="9"/>
  <c r="N263" i="9"/>
  <c r="AD263" i="9"/>
  <c r="O719" i="9"/>
  <c r="V719" i="9"/>
  <c r="P719" i="9" s="1"/>
  <c r="Y719" i="9"/>
  <c r="K719" i="9"/>
  <c r="L719" i="9"/>
  <c r="AD719" i="9"/>
  <c r="M719" i="9"/>
  <c r="J719" i="9"/>
  <c r="N719" i="9"/>
  <c r="O204" i="9"/>
  <c r="Y204" i="9"/>
  <c r="V204" i="9"/>
  <c r="P204" i="9" s="1"/>
  <c r="K204" i="9"/>
  <c r="L204" i="9"/>
  <c r="M204" i="9"/>
  <c r="AD204" i="9"/>
  <c r="N204" i="9"/>
  <c r="J204" i="9"/>
  <c r="O516" i="9"/>
  <c r="V516" i="9"/>
  <c r="P516" i="9" s="1"/>
  <c r="Y516" i="9"/>
  <c r="K516" i="9"/>
  <c r="L516" i="9"/>
  <c r="M516" i="9"/>
  <c r="AD516" i="9"/>
  <c r="J516" i="9"/>
  <c r="N516" i="9"/>
  <c r="O804" i="9"/>
  <c r="Y804" i="9"/>
  <c r="V804" i="9"/>
  <c r="P804" i="9" s="1"/>
  <c r="M804" i="9"/>
  <c r="K804" i="9"/>
  <c r="L804" i="9"/>
  <c r="AD804" i="9"/>
  <c r="N804" i="9"/>
  <c r="J804" i="9"/>
  <c r="O29" i="9"/>
  <c r="Y29" i="9"/>
  <c r="V29" i="9"/>
  <c r="P29" i="9" s="1"/>
  <c r="L29" i="9"/>
  <c r="K29" i="9"/>
  <c r="AD29" i="9"/>
  <c r="M29" i="9"/>
  <c r="N29" i="9"/>
  <c r="J29" i="9"/>
  <c r="O41" i="9"/>
  <c r="Y41" i="9"/>
  <c r="V41" i="9"/>
  <c r="P41" i="9" s="1"/>
  <c r="M41" i="9"/>
  <c r="K41" i="9"/>
  <c r="L41" i="9"/>
  <c r="AD41" i="9"/>
  <c r="N41" i="9"/>
  <c r="J41" i="9"/>
  <c r="O53" i="9"/>
  <c r="Y53" i="9"/>
  <c r="V53" i="9"/>
  <c r="P53" i="9" s="1"/>
  <c r="L53" i="9"/>
  <c r="K53" i="9"/>
  <c r="M53" i="9"/>
  <c r="N53" i="9"/>
  <c r="J53" i="9"/>
  <c r="AD53" i="9"/>
  <c r="O65" i="9"/>
  <c r="Y65" i="9"/>
  <c r="V65" i="9"/>
  <c r="P65" i="9" s="1"/>
  <c r="K65" i="9"/>
  <c r="AD65" i="9"/>
  <c r="N65" i="9"/>
  <c r="J65" i="9"/>
  <c r="L65" i="9"/>
  <c r="M65" i="9"/>
  <c r="V77" i="9"/>
  <c r="P77" i="9" s="1"/>
  <c r="O77" i="9"/>
  <c r="Y77" i="9"/>
  <c r="K77" i="9"/>
  <c r="L77" i="9"/>
  <c r="AD77" i="9"/>
  <c r="N77" i="9"/>
  <c r="M77" i="9"/>
  <c r="J77" i="9"/>
  <c r="O89" i="9"/>
  <c r="Y89" i="9"/>
  <c r="V89" i="9"/>
  <c r="P89" i="9" s="1"/>
  <c r="L89" i="9"/>
  <c r="K89" i="9"/>
  <c r="M89" i="9"/>
  <c r="J89" i="9"/>
  <c r="N89" i="9"/>
  <c r="AD89" i="9"/>
  <c r="Y101" i="9"/>
  <c r="V101" i="9"/>
  <c r="P101" i="9" s="1"/>
  <c r="O101" i="9"/>
  <c r="L101" i="9"/>
  <c r="AD101" i="9"/>
  <c r="K101" i="9"/>
  <c r="M101" i="9"/>
  <c r="J101" i="9"/>
  <c r="N101" i="9"/>
  <c r="O113" i="9"/>
  <c r="Y113" i="9"/>
  <c r="V113" i="9"/>
  <c r="P113" i="9" s="1"/>
  <c r="L113" i="9"/>
  <c r="K113" i="9"/>
  <c r="M113" i="9"/>
  <c r="AD113" i="9"/>
  <c r="N113" i="9"/>
  <c r="J113" i="9"/>
  <c r="O125" i="9"/>
  <c r="Y125" i="9"/>
  <c r="V125" i="9"/>
  <c r="P125" i="9" s="1"/>
  <c r="AD125" i="9"/>
  <c r="L125" i="9"/>
  <c r="K125" i="9"/>
  <c r="J125" i="9"/>
  <c r="M125" i="9"/>
  <c r="N125" i="9"/>
  <c r="O137" i="9"/>
  <c r="Y137" i="9"/>
  <c r="V137" i="9"/>
  <c r="P137" i="9" s="1"/>
  <c r="L137" i="9"/>
  <c r="M137" i="9"/>
  <c r="AD137" i="9"/>
  <c r="N137" i="9"/>
  <c r="J137" i="9"/>
  <c r="K137" i="9"/>
  <c r="O149" i="9"/>
  <c r="Y149" i="9"/>
  <c r="V149" i="9"/>
  <c r="P149" i="9" s="1"/>
  <c r="K149" i="9"/>
  <c r="AD149" i="9"/>
  <c r="L149" i="9"/>
  <c r="J149" i="9"/>
  <c r="N149" i="9"/>
  <c r="M149" i="9"/>
  <c r="Y161" i="9"/>
  <c r="V161" i="9"/>
  <c r="P161" i="9" s="1"/>
  <c r="O161" i="9"/>
  <c r="L161" i="9"/>
  <c r="K161" i="9"/>
  <c r="M161" i="9"/>
  <c r="AD161" i="9"/>
  <c r="J161" i="9"/>
  <c r="N161" i="9"/>
  <c r="O173" i="9"/>
  <c r="V173" i="9"/>
  <c r="P173" i="9" s="1"/>
  <c r="Y173" i="9"/>
  <c r="N173" i="9"/>
  <c r="L173" i="9"/>
  <c r="M173" i="9"/>
  <c r="K173" i="9"/>
  <c r="J173" i="9"/>
  <c r="AD173" i="9"/>
  <c r="O185" i="9"/>
  <c r="Y185" i="9"/>
  <c r="V185" i="9"/>
  <c r="P185" i="9" s="1"/>
  <c r="L185" i="9"/>
  <c r="K185" i="9"/>
  <c r="M185" i="9"/>
  <c r="AD185" i="9"/>
  <c r="J185" i="9"/>
  <c r="N185" i="9"/>
  <c r="Y197" i="9"/>
  <c r="V197" i="9"/>
  <c r="P197" i="9" s="1"/>
  <c r="O197" i="9"/>
  <c r="K197" i="9"/>
  <c r="M197" i="9"/>
  <c r="L197" i="9"/>
  <c r="J197" i="9"/>
  <c r="AD197" i="9"/>
  <c r="N197" i="9"/>
  <c r="V209" i="9"/>
  <c r="P209" i="9" s="1"/>
  <c r="Y209" i="9"/>
  <c r="O209" i="9"/>
  <c r="M209" i="9"/>
  <c r="J209" i="9"/>
  <c r="AD209" i="9"/>
  <c r="K209" i="9"/>
  <c r="L209" i="9"/>
  <c r="N209" i="9"/>
  <c r="O221" i="9"/>
  <c r="Y221" i="9"/>
  <c r="V221" i="9"/>
  <c r="P221" i="9" s="1"/>
  <c r="L221" i="9"/>
  <c r="K221" i="9"/>
  <c r="M221" i="9"/>
  <c r="AD221" i="9"/>
  <c r="N221" i="9"/>
  <c r="J221" i="9"/>
  <c r="O233" i="9"/>
  <c r="V233" i="9"/>
  <c r="P233" i="9" s="1"/>
  <c r="Y233" i="9"/>
  <c r="L233" i="9"/>
  <c r="K233" i="9"/>
  <c r="M233" i="9"/>
  <c r="N233" i="9"/>
  <c r="J233" i="9"/>
  <c r="AD233" i="9"/>
  <c r="O245" i="9"/>
  <c r="Y245" i="9"/>
  <c r="V245" i="9"/>
  <c r="P245" i="9" s="1"/>
  <c r="L245" i="9"/>
  <c r="K245" i="9"/>
  <c r="M245" i="9"/>
  <c r="J245" i="9"/>
  <c r="N245" i="9"/>
  <c r="AD245" i="9"/>
  <c r="V257" i="9"/>
  <c r="P257" i="9" s="1"/>
  <c r="Y257" i="9"/>
  <c r="O257" i="9"/>
  <c r="M257" i="9"/>
  <c r="K257" i="9"/>
  <c r="J257" i="9"/>
  <c r="L257" i="9"/>
  <c r="N257" i="9"/>
  <c r="AD257" i="9"/>
  <c r="O269" i="9"/>
  <c r="Y269" i="9"/>
  <c r="V269" i="9"/>
  <c r="P269" i="9" s="1"/>
  <c r="M269" i="9"/>
  <c r="N269" i="9"/>
  <c r="K269" i="9"/>
  <c r="L269" i="9"/>
  <c r="J269" i="9"/>
  <c r="AD269" i="9"/>
  <c r="O281" i="9"/>
  <c r="Y281" i="9"/>
  <c r="V281" i="9"/>
  <c r="P281" i="9" s="1"/>
  <c r="L281" i="9"/>
  <c r="M281" i="9"/>
  <c r="J281" i="9"/>
  <c r="N281" i="9"/>
  <c r="K281" i="9"/>
  <c r="AD281" i="9"/>
  <c r="Y293" i="9"/>
  <c r="V293" i="9"/>
  <c r="P293" i="9" s="1"/>
  <c r="O293" i="9"/>
  <c r="L293" i="9"/>
  <c r="K293" i="9"/>
  <c r="M293" i="9"/>
  <c r="AD293" i="9"/>
  <c r="J293" i="9"/>
  <c r="N293" i="9"/>
  <c r="O305" i="9"/>
  <c r="Y305" i="9"/>
  <c r="V305" i="9"/>
  <c r="P305" i="9" s="1"/>
  <c r="L305" i="9"/>
  <c r="K305" i="9"/>
  <c r="M305" i="9"/>
  <c r="N305" i="9"/>
  <c r="AD305" i="9"/>
  <c r="J305" i="9"/>
  <c r="O317" i="9"/>
  <c r="Y317" i="9"/>
  <c r="V317" i="9"/>
  <c r="P317" i="9" s="1"/>
  <c r="L317" i="9"/>
  <c r="K317" i="9"/>
  <c r="M317" i="9"/>
  <c r="N317" i="9"/>
  <c r="J317" i="9"/>
  <c r="AD317" i="9"/>
  <c r="V329" i="9"/>
  <c r="P329" i="9" s="1"/>
  <c r="O329" i="9"/>
  <c r="Y329" i="9"/>
  <c r="L329" i="9"/>
  <c r="K329" i="9"/>
  <c r="M329" i="9"/>
  <c r="J329" i="9"/>
  <c r="N329" i="9"/>
  <c r="AD329" i="9"/>
  <c r="O341" i="9"/>
  <c r="Y341" i="9"/>
  <c r="V341" i="9"/>
  <c r="P341" i="9" s="1"/>
  <c r="M341" i="9"/>
  <c r="AD341" i="9"/>
  <c r="K341" i="9"/>
  <c r="L341" i="9"/>
  <c r="N341" i="9"/>
  <c r="J341" i="9"/>
  <c r="O353" i="9"/>
  <c r="Y353" i="9"/>
  <c r="V353" i="9"/>
  <c r="P353" i="9" s="1"/>
  <c r="M353" i="9"/>
  <c r="J353" i="9"/>
  <c r="AD353" i="9"/>
  <c r="N353" i="9"/>
  <c r="K353" i="9"/>
  <c r="L353" i="9"/>
  <c r="O365" i="9"/>
  <c r="V365" i="9"/>
  <c r="P365" i="9" s="1"/>
  <c r="Y365" i="9"/>
  <c r="N365" i="9"/>
  <c r="M365" i="9"/>
  <c r="K365" i="9"/>
  <c r="L365" i="9"/>
  <c r="J365" i="9"/>
  <c r="AD365" i="9"/>
  <c r="O377" i="9"/>
  <c r="Y377" i="9"/>
  <c r="V377" i="9"/>
  <c r="P377" i="9" s="1"/>
  <c r="M377" i="9"/>
  <c r="L377" i="9"/>
  <c r="N377" i="9"/>
  <c r="AD377" i="9"/>
  <c r="J377" i="9"/>
  <c r="K377" i="9"/>
  <c r="O389" i="9"/>
  <c r="V389" i="9"/>
  <c r="P389" i="9" s="1"/>
  <c r="Y389" i="9"/>
  <c r="M389" i="9"/>
  <c r="L389" i="9"/>
  <c r="AD389" i="9"/>
  <c r="N389" i="9"/>
  <c r="J389" i="9"/>
  <c r="K389" i="9"/>
  <c r="O401" i="9"/>
  <c r="Y401" i="9"/>
  <c r="V401" i="9"/>
  <c r="P401" i="9" s="1"/>
  <c r="M401" i="9"/>
  <c r="K401" i="9"/>
  <c r="L401" i="9"/>
  <c r="J401" i="9"/>
  <c r="N401" i="9"/>
  <c r="AD401" i="9"/>
  <c r="O413" i="9"/>
  <c r="Y413" i="9"/>
  <c r="V413" i="9"/>
  <c r="P413" i="9" s="1"/>
  <c r="M413" i="9"/>
  <c r="K413" i="9"/>
  <c r="L413" i="9"/>
  <c r="N413" i="9"/>
  <c r="AD413" i="9"/>
  <c r="J413" i="9"/>
  <c r="O425" i="9"/>
  <c r="V425" i="9"/>
  <c r="P425" i="9" s="1"/>
  <c r="Y425" i="9"/>
  <c r="K425" i="9"/>
  <c r="N425" i="9"/>
  <c r="J425" i="9"/>
  <c r="L425" i="9"/>
  <c r="M425" i="9"/>
  <c r="AD425" i="9"/>
  <c r="O437" i="9"/>
  <c r="V437" i="9"/>
  <c r="P437" i="9" s="1"/>
  <c r="Y437" i="9"/>
  <c r="M437" i="9"/>
  <c r="K437" i="9"/>
  <c r="J437" i="9"/>
  <c r="AD437" i="9"/>
  <c r="N437" i="9"/>
  <c r="L437" i="9"/>
  <c r="O449" i="9"/>
  <c r="V449" i="9"/>
  <c r="P449" i="9" s="1"/>
  <c r="Y449" i="9"/>
  <c r="L449" i="9"/>
  <c r="AD449" i="9"/>
  <c r="N449" i="9"/>
  <c r="J449" i="9"/>
  <c r="K449" i="9"/>
  <c r="M449" i="9"/>
  <c r="Y461" i="9"/>
  <c r="V461" i="9"/>
  <c r="P461" i="9" s="1"/>
  <c r="O461" i="9"/>
  <c r="M461" i="9"/>
  <c r="K461" i="9"/>
  <c r="L461" i="9"/>
  <c r="AD461" i="9"/>
  <c r="N461" i="9"/>
  <c r="J461" i="9"/>
  <c r="Y473" i="9"/>
  <c r="V473" i="9"/>
  <c r="P473" i="9" s="1"/>
  <c r="O473" i="9"/>
  <c r="K473" i="9"/>
  <c r="N473" i="9"/>
  <c r="J473" i="9"/>
  <c r="L473" i="9"/>
  <c r="AD473" i="9"/>
  <c r="M473" i="9"/>
  <c r="Y485" i="9"/>
  <c r="O485" i="9"/>
  <c r="V485" i="9"/>
  <c r="P485" i="9" s="1"/>
  <c r="M485" i="9"/>
  <c r="K485" i="9"/>
  <c r="L485" i="9"/>
  <c r="N485" i="9"/>
  <c r="J485" i="9"/>
  <c r="AD485" i="9"/>
  <c r="O497" i="9"/>
  <c r="Y497" i="9"/>
  <c r="V497" i="9"/>
  <c r="P497" i="9" s="1"/>
  <c r="L497" i="9"/>
  <c r="K497" i="9"/>
  <c r="AD497" i="9"/>
  <c r="M497" i="9"/>
  <c r="J497" i="9"/>
  <c r="N497" i="9"/>
  <c r="O509" i="9"/>
  <c r="Y509" i="9"/>
  <c r="V509" i="9"/>
  <c r="P509" i="9" s="1"/>
  <c r="M509" i="9"/>
  <c r="K509" i="9"/>
  <c r="L509" i="9"/>
  <c r="J509" i="9"/>
  <c r="AD509" i="9"/>
  <c r="N509" i="9"/>
  <c r="O521" i="9"/>
  <c r="Y521" i="9"/>
  <c r="V521" i="9"/>
  <c r="P521" i="9" s="1"/>
  <c r="M521" i="9"/>
  <c r="L521" i="9"/>
  <c r="K521" i="9"/>
  <c r="AD521" i="9"/>
  <c r="N521" i="9"/>
  <c r="J521" i="9"/>
  <c r="O533" i="9"/>
  <c r="Y533" i="9"/>
  <c r="V533" i="9"/>
  <c r="P533" i="9" s="1"/>
  <c r="L533" i="9"/>
  <c r="K533" i="9"/>
  <c r="M533" i="9"/>
  <c r="N533" i="9"/>
  <c r="J533" i="9"/>
  <c r="AD533" i="9"/>
  <c r="V545" i="9"/>
  <c r="P545" i="9" s="1"/>
  <c r="Y545" i="9"/>
  <c r="O545" i="9"/>
  <c r="M545" i="9"/>
  <c r="K545" i="9"/>
  <c r="L545" i="9"/>
  <c r="AD545" i="9"/>
  <c r="J545" i="9"/>
  <c r="N545" i="9"/>
  <c r="O557" i="9"/>
  <c r="Y557" i="9"/>
  <c r="V557" i="9"/>
  <c r="P557" i="9" s="1"/>
  <c r="M557" i="9"/>
  <c r="K557" i="9"/>
  <c r="L557" i="9"/>
  <c r="N557" i="9"/>
  <c r="J557" i="9"/>
  <c r="AD557" i="9"/>
  <c r="O569" i="9"/>
  <c r="Y569" i="9"/>
  <c r="V569" i="9"/>
  <c r="P569" i="9" s="1"/>
  <c r="M569" i="9"/>
  <c r="L569" i="9"/>
  <c r="K569" i="9"/>
  <c r="AD569" i="9"/>
  <c r="N569" i="9"/>
  <c r="J569" i="9"/>
  <c r="O581" i="9"/>
  <c r="Y581" i="9"/>
  <c r="V581" i="9"/>
  <c r="P581" i="9" s="1"/>
  <c r="M581" i="9"/>
  <c r="L581" i="9"/>
  <c r="K581" i="9"/>
  <c r="J581" i="9"/>
  <c r="AD581" i="9"/>
  <c r="N581" i="9"/>
  <c r="O593" i="9"/>
  <c r="Y593" i="9"/>
  <c r="V593" i="9"/>
  <c r="P593" i="9" s="1"/>
  <c r="M593" i="9"/>
  <c r="L593" i="9"/>
  <c r="K593" i="9"/>
  <c r="AD593" i="9"/>
  <c r="J593" i="9"/>
  <c r="N593" i="9"/>
  <c r="O605" i="9"/>
  <c r="V605" i="9"/>
  <c r="P605" i="9" s="1"/>
  <c r="Y605" i="9"/>
  <c r="M605" i="9"/>
  <c r="K605" i="9"/>
  <c r="L605" i="9"/>
  <c r="N605" i="9"/>
  <c r="J605" i="9"/>
  <c r="AD605" i="9"/>
  <c r="O617" i="9"/>
  <c r="V617" i="9"/>
  <c r="P617" i="9" s="1"/>
  <c r="Y617" i="9"/>
  <c r="M617" i="9"/>
  <c r="K617" i="9"/>
  <c r="L617" i="9"/>
  <c r="AD617" i="9"/>
  <c r="N617" i="9"/>
  <c r="J617" i="9"/>
  <c r="O629" i="9"/>
  <c r="V629" i="9"/>
  <c r="P629" i="9" s="1"/>
  <c r="Y629" i="9"/>
  <c r="M629" i="9"/>
  <c r="L629" i="9"/>
  <c r="K629" i="9"/>
  <c r="AD629" i="9"/>
  <c r="N629" i="9"/>
  <c r="J629" i="9"/>
  <c r="O641" i="9"/>
  <c r="Y641" i="9"/>
  <c r="V641" i="9"/>
  <c r="P641" i="9" s="1"/>
  <c r="M641" i="9"/>
  <c r="K641" i="9"/>
  <c r="L641" i="9"/>
  <c r="AD641" i="9"/>
  <c r="N641" i="9"/>
  <c r="J641" i="9"/>
  <c r="O653" i="9"/>
  <c r="V653" i="9"/>
  <c r="P653" i="9" s="1"/>
  <c r="Y653" i="9"/>
  <c r="K653" i="9"/>
  <c r="L653" i="9"/>
  <c r="AD653" i="9"/>
  <c r="N653" i="9"/>
  <c r="J653" i="9"/>
  <c r="M653" i="9"/>
  <c r="O665" i="9"/>
  <c r="V665" i="9"/>
  <c r="P665" i="9" s="1"/>
  <c r="Y665" i="9"/>
  <c r="M665" i="9"/>
  <c r="K665" i="9"/>
  <c r="L665" i="9"/>
  <c r="AD665" i="9"/>
  <c r="N665" i="9"/>
  <c r="J665" i="9"/>
  <c r="O677" i="9"/>
  <c r="Y677" i="9"/>
  <c r="V677" i="9"/>
  <c r="P677" i="9" s="1"/>
  <c r="K677" i="9"/>
  <c r="L677" i="9"/>
  <c r="M677" i="9"/>
  <c r="N677" i="9"/>
  <c r="AD677" i="9"/>
  <c r="J677" i="9"/>
  <c r="O689" i="9"/>
  <c r="V689" i="9"/>
  <c r="P689" i="9" s="1"/>
  <c r="Y689" i="9"/>
  <c r="K689" i="9"/>
  <c r="L689" i="9"/>
  <c r="M689" i="9"/>
  <c r="J689" i="9"/>
  <c r="AD689" i="9"/>
  <c r="N689" i="9"/>
  <c r="O701" i="9"/>
  <c r="Y701" i="9"/>
  <c r="V701" i="9"/>
  <c r="P701" i="9" s="1"/>
  <c r="M701" i="9"/>
  <c r="L701" i="9"/>
  <c r="AD701" i="9"/>
  <c r="J701" i="9"/>
  <c r="N701" i="9"/>
  <c r="K701" i="9"/>
  <c r="O713" i="9"/>
  <c r="Y713" i="9"/>
  <c r="V713" i="9"/>
  <c r="P713" i="9" s="1"/>
  <c r="K713" i="9"/>
  <c r="L713" i="9"/>
  <c r="M713" i="9"/>
  <c r="AD713" i="9"/>
  <c r="J713" i="9"/>
  <c r="N713" i="9"/>
  <c r="Y725" i="9"/>
  <c r="O725" i="9"/>
  <c r="V725" i="9"/>
  <c r="P725" i="9" s="1"/>
  <c r="M725" i="9"/>
  <c r="L725" i="9"/>
  <c r="AD725" i="9"/>
  <c r="K725" i="9"/>
  <c r="N725" i="9"/>
  <c r="J725" i="9"/>
  <c r="O737" i="9"/>
  <c r="Y737" i="9"/>
  <c r="V737" i="9"/>
  <c r="P737" i="9" s="1"/>
  <c r="K737" i="9"/>
  <c r="M737" i="9"/>
  <c r="N737" i="9"/>
  <c r="AD737" i="9"/>
  <c r="J737" i="9"/>
  <c r="L737" i="9"/>
  <c r="O749" i="9"/>
  <c r="Y749" i="9"/>
  <c r="V749" i="9"/>
  <c r="P749" i="9" s="1"/>
  <c r="K749" i="9"/>
  <c r="L749" i="9"/>
  <c r="AD749" i="9"/>
  <c r="M749" i="9"/>
  <c r="J749" i="9"/>
  <c r="N749" i="9"/>
  <c r="O761" i="9"/>
  <c r="V761" i="9"/>
  <c r="P761" i="9" s="1"/>
  <c r="Y761" i="9"/>
  <c r="AD761" i="9"/>
  <c r="L761" i="9"/>
  <c r="M761" i="9"/>
  <c r="K761" i="9"/>
  <c r="N761" i="9"/>
  <c r="J761" i="9"/>
  <c r="Y773" i="9"/>
  <c r="V773" i="9"/>
  <c r="P773" i="9" s="1"/>
  <c r="O773" i="9"/>
  <c r="K773" i="9"/>
  <c r="L773" i="9"/>
  <c r="AD773" i="9"/>
  <c r="J773" i="9"/>
  <c r="M773" i="9"/>
  <c r="N773" i="9"/>
  <c r="O785" i="9"/>
  <c r="Y785" i="9"/>
  <c r="V785" i="9"/>
  <c r="P785" i="9" s="1"/>
  <c r="L785" i="9"/>
  <c r="K785" i="9"/>
  <c r="J785" i="9"/>
  <c r="N785" i="9"/>
  <c r="AD785" i="9"/>
  <c r="M785" i="9"/>
  <c r="V797" i="9"/>
  <c r="P797" i="9" s="1"/>
  <c r="O797" i="9"/>
  <c r="Y797" i="9"/>
  <c r="K797" i="9"/>
  <c r="AD797" i="9"/>
  <c r="L797" i="9"/>
  <c r="M797" i="9"/>
  <c r="N797" i="9"/>
  <c r="J797" i="9"/>
  <c r="V809" i="9"/>
  <c r="P809" i="9" s="1"/>
  <c r="O809" i="9"/>
  <c r="Y809" i="9"/>
  <c r="K809" i="9"/>
  <c r="M809" i="9"/>
  <c r="AD809" i="9"/>
  <c r="J809" i="9"/>
  <c r="L809" i="9"/>
  <c r="N809" i="9"/>
  <c r="O821" i="9"/>
  <c r="V821" i="9"/>
  <c r="P821" i="9" s="1"/>
  <c r="Y821" i="9"/>
  <c r="K821" i="9"/>
  <c r="AD821" i="9"/>
  <c r="L821" i="9"/>
  <c r="M821" i="9"/>
  <c r="N821" i="9"/>
  <c r="J821" i="9"/>
  <c r="Y833" i="9"/>
  <c r="V833" i="9"/>
  <c r="P833" i="9" s="1"/>
  <c r="O833" i="9"/>
  <c r="K833" i="9"/>
  <c r="M833" i="9"/>
  <c r="J833" i="9"/>
  <c r="L833" i="9"/>
  <c r="N833" i="9"/>
  <c r="AD833" i="9"/>
  <c r="V95" i="9"/>
  <c r="P95" i="9" s="1"/>
  <c r="Y95" i="9"/>
  <c r="O95" i="9"/>
  <c r="M95" i="9"/>
  <c r="L95" i="9"/>
  <c r="N95" i="9"/>
  <c r="K95" i="9"/>
  <c r="J95" i="9"/>
  <c r="AD95" i="9"/>
  <c r="O227" i="9"/>
  <c r="V227" i="9"/>
  <c r="P227" i="9" s="1"/>
  <c r="Y227" i="9"/>
  <c r="K227" i="9"/>
  <c r="M227" i="9"/>
  <c r="N227" i="9"/>
  <c r="J227" i="9"/>
  <c r="L227" i="9"/>
  <c r="AD227" i="9"/>
  <c r="O371" i="9"/>
  <c r="V371" i="9"/>
  <c r="P371" i="9" s="1"/>
  <c r="Y371" i="9"/>
  <c r="K371" i="9"/>
  <c r="M371" i="9"/>
  <c r="L371" i="9"/>
  <c r="AD371" i="9"/>
  <c r="N371" i="9"/>
  <c r="J371" i="9"/>
  <c r="O503" i="9"/>
  <c r="Y503" i="9"/>
  <c r="V503" i="9"/>
  <c r="P503" i="9" s="1"/>
  <c r="K503" i="9"/>
  <c r="L503" i="9"/>
  <c r="M503" i="9"/>
  <c r="J503" i="9"/>
  <c r="AD503" i="9"/>
  <c r="N503" i="9"/>
  <c r="Y611" i="9"/>
  <c r="V611" i="9"/>
  <c r="P611" i="9" s="1"/>
  <c r="O611" i="9"/>
  <c r="K611" i="9"/>
  <c r="M611" i="9"/>
  <c r="L611" i="9"/>
  <c r="AD611" i="9"/>
  <c r="N611" i="9"/>
  <c r="J611" i="9"/>
  <c r="V779" i="9"/>
  <c r="P779" i="9" s="1"/>
  <c r="O779" i="9"/>
  <c r="Y779" i="9"/>
  <c r="L779" i="9"/>
  <c r="M779" i="9"/>
  <c r="K779" i="9"/>
  <c r="N779" i="9"/>
  <c r="AD779" i="9"/>
  <c r="J779" i="9"/>
  <c r="O36" i="9"/>
  <c r="V36" i="9"/>
  <c r="P36" i="9" s="1"/>
  <c r="Y36" i="9"/>
  <c r="K36" i="9"/>
  <c r="L36" i="9"/>
  <c r="M36" i="9"/>
  <c r="J36" i="9"/>
  <c r="N36" i="9"/>
  <c r="AD36" i="9"/>
  <c r="O168" i="9"/>
  <c r="V168" i="9"/>
  <c r="P168" i="9" s="1"/>
  <c r="Y168" i="9"/>
  <c r="K168" i="9"/>
  <c r="L168" i="9"/>
  <c r="M168" i="9"/>
  <c r="J168" i="9"/>
  <c r="N168" i="9"/>
  <c r="AD168" i="9"/>
  <c r="O288" i="9"/>
  <c r="V288" i="9"/>
  <c r="P288" i="9" s="1"/>
  <c r="Y288" i="9"/>
  <c r="K288" i="9"/>
  <c r="L288" i="9"/>
  <c r="M288" i="9"/>
  <c r="AD288" i="9"/>
  <c r="N288" i="9"/>
  <c r="J288" i="9"/>
  <c r="O384" i="9"/>
  <c r="V384" i="9"/>
  <c r="P384" i="9" s="1"/>
  <c r="Y384" i="9"/>
  <c r="M384" i="9"/>
  <c r="K384" i="9"/>
  <c r="J384" i="9"/>
  <c r="N384" i="9"/>
  <c r="AD384" i="9"/>
  <c r="L384" i="9"/>
  <c r="O504" i="9"/>
  <c r="Y504" i="9"/>
  <c r="V504" i="9"/>
  <c r="P504" i="9" s="1"/>
  <c r="K504" i="9"/>
  <c r="L504" i="9"/>
  <c r="M504" i="9"/>
  <c r="N504" i="9"/>
  <c r="J504" i="9"/>
  <c r="AD504" i="9"/>
  <c r="O648" i="9"/>
  <c r="Y648" i="9"/>
  <c r="V648" i="9"/>
  <c r="P648" i="9" s="1"/>
  <c r="M648" i="9"/>
  <c r="K648" i="9"/>
  <c r="L648" i="9"/>
  <c r="AD648" i="9"/>
  <c r="J648" i="9"/>
  <c r="N648" i="9"/>
  <c r="O768" i="9"/>
  <c r="Y768" i="9"/>
  <c r="V768" i="9"/>
  <c r="P768" i="9" s="1"/>
  <c r="M768" i="9"/>
  <c r="N768" i="9"/>
  <c r="L768" i="9"/>
  <c r="AD768" i="9"/>
  <c r="K768" i="9"/>
  <c r="J768" i="9"/>
  <c r="O30" i="9"/>
  <c r="Y30" i="9"/>
  <c r="V30" i="9"/>
  <c r="P30" i="9" s="1"/>
  <c r="M30" i="9"/>
  <c r="AD30" i="9"/>
  <c r="J30" i="9"/>
  <c r="K30" i="9"/>
  <c r="N30" i="9"/>
  <c r="L30" i="9"/>
  <c r="O42" i="9"/>
  <c r="Y42" i="9"/>
  <c r="V42" i="9"/>
  <c r="P42" i="9" s="1"/>
  <c r="J42" i="9"/>
  <c r="K42" i="9"/>
  <c r="L42" i="9"/>
  <c r="N42" i="9"/>
  <c r="M42" i="9"/>
  <c r="AD42" i="9"/>
  <c r="O54" i="9"/>
  <c r="Y54" i="9"/>
  <c r="V54" i="9"/>
  <c r="P54" i="9" s="1"/>
  <c r="K54" i="9"/>
  <c r="L54" i="9"/>
  <c r="M54" i="9"/>
  <c r="N54" i="9"/>
  <c r="AD54" i="9"/>
  <c r="J54" i="9"/>
  <c r="Y66" i="9"/>
  <c r="V66" i="9"/>
  <c r="P66" i="9" s="1"/>
  <c r="O66" i="9"/>
  <c r="AD66" i="9"/>
  <c r="N66" i="9"/>
  <c r="J66" i="9"/>
  <c r="M66" i="9"/>
  <c r="K66" i="9"/>
  <c r="L66" i="9"/>
  <c r="O78" i="9"/>
  <c r="V78" i="9"/>
  <c r="P78" i="9" s="1"/>
  <c r="Y78" i="9"/>
  <c r="M78" i="9"/>
  <c r="AD78" i="9"/>
  <c r="L78" i="9"/>
  <c r="J78" i="9"/>
  <c r="K78" i="9"/>
  <c r="N78" i="9"/>
  <c r="O90" i="9"/>
  <c r="Y90" i="9"/>
  <c r="V90" i="9"/>
  <c r="P90" i="9" s="1"/>
  <c r="L90" i="9"/>
  <c r="M90" i="9"/>
  <c r="K90" i="9"/>
  <c r="J90" i="9"/>
  <c r="N90" i="9"/>
  <c r="AD90" i="9"/>
  <c r="M102" i="9"/>
  <c r="Y102" i="9"/>
  <c r="V102" i="9"/>
  <c r="P102" i="9" s="1"/>
  <c r="N102" i="9"/>
  <c r="K102" i="9"/>
  <c r="J102" i="9"/>
  <c r="O102" i="9"/>
  <c r="L102" i="9"/>
  <c r="AD102" i="9"/>
  <c r="O114" i="9"/>
  <c r="V114" i="9"/>
  <c r="P114" i="9" s="1"/>
  <c r="Y114" i="9"/>
  <c r="K114" i="9"/>
  <c r="L114" i="9"/>
  <c r="M114" i="9"/>
  <c r="AD114" i="9"/>
  <c r="N114" i="9"/>
  <c r="J114" i="9"/>
  <c r="O126" i="9"/>
  <c r="V126" i="9"/>
  <c r="P126" i="9" s="1"/>
  <c r="Y126" i="9"/>
  <c r="K126" i="9"/>
  <c r="L126" i="9"/>
  <c r="N126" i="9"/>
  <c r="M126" i="9"/>
  <c r="AD126" i="9"/>
  <c r="J126" i="9"/>
  <c r="O138" i="9"/>
  <c r="Y138" i="9"/>
  <c r="V138" i="9"/>
  <c r="P138" i="9" s="1"/>
  <c r="AD138" i="9"/>
  <c r="L138" i="9"/>
  <c r="M138" i="9"/>
  <c r="J138" i="9"/>
  <c r="K138" i="9"/>
  <c r="N138" i="9"/>
  <c r="O150" i="9"/>
  <c r="Y150" i="9"/>
  <c r="V150" i="9"/>
  <c r="P150" i="9" s="1"/>
  <c r="K150" i="9"/>
  <c r="M150" i="9"/>
  <c r="J150" i="9"/>
  <c r="L150" i="9"/>
  <c r="N150" i="9"/>
  <c r="AD150" i="9"/>
  <c r="O162" i="9"/>
  <c r="V162" i="9"/>
  <c r="P162" i="9" s="1"/>
  <c r="Y162" i="9"/>
  <c r="L162" i="9"/>
  <c r="M162" i="9"/>
  <c r="K162" i="9"/>
  <c r="J162" i="9"/>
  <c r="N162" i="9"/>
  <c r="AD162" i="9"/>
  <c r="Y174" i="9"/>
  <c r="V174" i="9"/>
  <c r="P174" i="9" s="1"/>
  <c r="O174" i="9"/>
  <c r="K174" i="9"/>
  <c r="L174" i="9"/>
  <c r="M174" i="9"/>
  <c r="J174" i="9"/>
  <c r="AD174" i="9"/>
  <c r="N174" i="9"/>
  <c r="Y186" i="9"/>
  <c r="V186" i="9"/>
  <c r="P186" i="9" s="1"/>
  <c r="O186" i="9"/>
  <c r="K186" i="9"/>
  <c r="L186" i="9"/>
  <c r="M186" i="9"/>
  <c r="AD186" i="9"/>
  <c r="J186" i="9"/>
  <c r="N186" i="9"/>
  <c r="O198" i="9"/>
  <c r="Y198" i="9"/>
  <c r="V198" i="9"/>
  <c r="P198" i="9" s="1"/>
  <c r="J198" i="9"/>
  <c r="K198" i="9"/>
  <c r="L198" i="9"/>
  <c r="AD198" i="9"/>
  <c r="M198" i="9"/>
  <c r="N198" i="9"/>
  <c r="V210" i="9"/>
  <c r="P210" i="9" s="1"/>
  <c r="O210" i="9"/>
  <c r="Y210" i="9"/>
  <c r="M210" i="9"/>
  <c r="AD210" i="9"/>
  <c r="N210" i="9"/>
  <c r="L210" i="9"/>
  <c r="J210" i="9"/>
  <c r="K210" i="9"/>
  <c r="O222" i="9"/>
  <c r="Y222" i="9"/>
  <c r="V222" i="9"/>
  <c r="P222" i="9" s="1"/>
  <c r="K222" i="9"/>
  <c r="L222" i="9"/>
  <c r="M222" i="9"/>
  <c r="AD222" i="9"/>
  <c r="N222" i="9"/>
  <c r="J222" i="9"/>
  <c r="O234" i="9"/>
  <c r="Y234" i="9"/>
  <c r="V234" i="9"/>
  <c r="P234" i="9" s="1"/>
  <c r="M234" i="9"/>
  <c r="L234" i="9"/>
  <c r="AD234" i="9"/>
  <c r="N234" i="9"/>
  <c r="K234" i="9"/>
  <c r="J234" i="9"/>
  <c r="O246" i="9"/>
  <c r="V246" i="9"/>
  <c r="P246" i="9" s="1"/>
  <c r="Y246" i="9"/>
  <c r="K246" i="9"/>
  <c r="J246" i="9"/>
  <c r="L246" i="9"/>
  <c r="N246" i="9"/>
  <c r="M246" i="9"/>
  <c r="AD246" i="9"/>
  <c r="O258" i="9"/>
  <c r="Y258" i="9"/>
  <c r="V258" i="9"/>
  <c r="P258" i="9" s="1"/>
  <c r="K258" i="9"/>
  <c r="L258" i="9"/>
  <c r="M258" i="9"/>
  <c r="AD258" i="9"/>
  <c r="N258" i="9"/>
  <c r="J258" i="9"/>
  <c r="Y270" i="9"/>
  <c r="V270" i="9"/>
  <c r="P270" i="9" s="1"/>
  <c r="O270" i="9"/>
  <c r="K270" i="9"/>
  <c r="L270" i="9"/>
  <c r="M270" i="9"/>
  <c r="J270" i="9"/>
  <c r="AD270" i="9"/>
  <c r="N270" i="9"/>
  <c r="Y282" i="9"/>
  <c r="V282" i="9"/>
  <c r="P282" i="9" s="1"/>
  <c r="O282" i="9"/>
  <c r="M282" i="9"/>
  <c r="L282" i="9"/>
  <c r="AD282" i="9"/>
  <c r="J282" i="9"/>
  <c r="N282" i="9"/>
  <c r="K282" i="9"/>
  <c r="O294" i="9"/>
  <c r="Y294" i="9"/>
  <c r="V294" i="9"/>
  <c r="P294" i="9" s="1"/>
  <c r="L294" i="9"/>
  <c r="M294" i="9"/>
  <c r="K294" i="9"/>
  <c r="J294" i="9"/>
  <c r="AD294" i="9"/>
  <c r="N294" i="9"/>
  <c r="Y306" i="9"/>
  <c r="V306" i="9"/>
  <c r="P306" i="9" s="1"/>
  <c r="O306" i="9"/>
  <c r="K306" i="9"/>
  <c r="L306" i="9"/>
  <c r="N306" i="9"/>
  <c r="M306" i="9"/>
  <c r="AD306" i="9"/>
  <c r="J306" i="9"/>
  <c r="Y318" i="9"/>
  <c r="V318" i="9"/>
  <c r="P318" i="9" s="1"/>
  <c r="O318" i="9"/>
  <c r="L318" i="9"/>
  <c r="M318" i="9"/>
  <c r="K318" i="9"/>
  <c r="AD318" i="9"/>
  <c r="N318" i="9"/>
  <c r="J318" i="9"/>
  <c r="O330" i="9"/>
  <c r="Y330" i="9"/>
  <c r="V330" i="9"/>
  <c r="P330" i="9" s="1"/>
  <c r="L330" i="9"/>
  <c r="M330" i="9"/>
  <c r="K330" i="9"/>
  <c r="AD330" i="9"/>
  <c r="J330" i="9"/>
  <c r="N330" i="9"/>
  <c r="Y342" i="9"/>
  <c r="O342" i="9"/>
  <c r="V342" i="9"/>
  <c r="P342" i="9" s="1"/>
  <c r="L342" i="9"/>
  <c r="M342" i="9"/>
  <c r="K342" i="9"/>
  <c r="AD342" i="9"/>
  <c r="J342" i="9"/>
  <c r="N342" i="9"/>
  <c r="O354" i="9"/>
  <c r="Y354" i="9"/>
  <c r="V354" i="9"/>
  <c r="P354" i="9" s="1"/>
  <c r="L354" i="9"/>
  <c r="M354" i="9"/>
  <c r="K354" i="9"/>
  <c r="N354" i="9"/>
  <c r="J354" i="9"/>
  <c r="AD354" i="9"/>
  <c r="Y366" i="9"/>
  <c r="V366" i="9"/>
  <c r="P366" i="9" s="1"/>
  <c r="O366" i="9"/>
  <c r="N366" i="9"/>
  <c r="M366" i="9"/>
  <c r="L366" i="9"/>
  <c r="K366" i="9"/>
  <c r="AD366" i="9"/>
  <c r="J366" i="9"/>
  <c r="O378" i="9"/>
  <c r="Y378" i="9"/>
  <c r="V378" i="9"/>
  <c r="P378" i="9" s="1"/>
  <c r="M378" i="9"/>
  <c r="K378" i="9"/>
  <c r="L378" i="9"/>
  <c r="J378" i="9"/>
  <c r="N378" i="9"/>
  <c r="AD378" i="9"/>
  <c r="O390" i="9"/>
  <c r="V390" i="9"/>
  <c r="P390" i="9" s="1"/>
  <c r="Y390" i="9"/>
  <c r="L390" i="9"/>
  <c r="M390" i="9"/>
  <c r="K390" i="9"/>
  <c r="AD390" i="9"/>
  <c r="N390" i="9"/>
  <c r="J390" i="9"/>
  <c r="O402" i="9"/>
  <c r="Y402" i="9"/>
  <c r="V402" i="9"/>
  <c r="P402" i="9" s="1"/>
  <c r="L402" i="9"/>
  <c r="M402" i="9"/>
  <c r="K402" i="9"/>
  <c r="AD402" i="9"/>
  <c r="J402" i="9"/>
  <c r="N402" i="9"/>
  <c r="O414" i="9"/>
  <c r="Y414" i="9"/>
  <c r="V414" i="9"/>
  <c r="P414" i="9" s="1"/>
  <c r="K414" i="9"/>
  <c r="M414" i="9"/>
  <c r="AD414" i="9"/>
  <c r="L414" i="9"/>
  <c r="N414" i="9"/>
  <c r="J414" i="9"/>
  <c r="V426" i="9"/>
  <c r="P426" i="9" s="1"/>
  <c r="O426" i="9"/>
  <c r="Y426" i="9"/>
  <c r="K426" i="9"/>
  <c r="L426" i="9"/>
  <c r="M426" i="9"/>
  <c r="J426" i="9"/>
  <c r="N426" i="9"/>
  <c r="AD426" i="9"/>
  <c r="O438" i="9"/>
  <c r="Y438" i="9"/>
  <c r="V438" i="9"/>
  <c r="P438" i="9" s="1"/>
  <c r="K438" i="9"/>
  <c r="L438" i="9"/>
  <c r="J438" i="9"/>
  <c r="AD438" i="9"/>
  <c r="N438" i="9"/>
  <c r="M438" i="9"/>
  <c r="O450" i="9"/>
  <c r="V450" i="9"/>
  <c r="P450" i="9" s="1"/>
  <c r="Y450" i="9"/>
  <c r="M450" i="9"/>
  <c r="K450" i="9"/>
  <c r="AD450" i="9"/>
  <c r="L450" i="9"/>
  <c r="J450" i="9"/>
  <c r="N450" i="9"/>
  <c r="Y462" i="9"/>
  <c r="V462" i="9"/>
  <c r="P462" i="9" s="1"/>
  <c r="O462" i="9"/>
  <c r="K462" i="9"/>
  <c r="L462" i="9"/>
  <c r="M462" i="9"/>
  <c r="J462" i="9"/>
  <c r="N462" i="9"/>
  <c r="AD462" i="9"/>
  <c r="Y474" i="9"/>
  <c r="V474" i="9"/>
  <c r="P474" i="9" s="1"/>
  <c r="O474" i="9"/>
  <c r="K474" i="9"/>
  <c r="L474" i="9"/>
  <c r="M474" i="9"/>
  <c r="N474" i="9"/>
  <c r="J474" i="9"/>
  <c r="AD474" i="9"/>
  <c r="Y486" i="9"/>
  <c r="V486" i="9"/>
  <c r="P486" i="9" s="1"/>
  <c r="O486" i="9"/>
  <c r="M486" i="9"/>
  <c r="K486" i="9"/>
  <c r="L486" i="9"/>
  <c r="AD486" i="9"/>
  <c r="J486" i="9"/>
  <c r="N486" i="9"/>
  <c r="O498" i="9"/>
  <c r="Y498" i="9"/>
  <c r="V498" i="9"/>
  <c r="P498" i="9" s="1"/>
  <c r="L498" i="9"/>
  <c r="M498" i="9"/>
  <c r="K498" i="9"/>
  <c r="N498" i="9"/>
  <c r="AD498" i="9"/>
  <c r="J498" i="9"/>
  <c r="O510" i="9"/>
  <c r="Y510" i="9"/>
  <c r="V510" i="9"/>
  <c r="P510" i="9" s="1"/>
  <c r="M510" i="9"/>
  <c r="K510" i="9"/>
  <c r="L510" i="9"/>
  <c r="J510" i="9"/>
  <c r="AD510" i="9"/>
  <c r="N510" i="9"/>
  <c r="O522" i="9"/>
  <c r="Y522" i="9"/>
  <c r="V522" i="9"/>
  <c r="P522" i="9" s="1"/>
  <c r="K522" i="9"/>
  <c r="L522" i="9"/>
  <c r="M522" i="9"/>
  <c r="AD522" i="9"/>
  <c r="J522" i="9"/>
  <c r="N522" i="9"/>
  <c r="V534" i="9"/>
  <c r="P534" i="9" s="1"/>
  <c r="O534" i="9"/>
  <c r="Y534" i="9"/>
  <c r="N534" i="9"/>
  <c r="M534" i="9"/>
  <c r="AD534" i="9"/>
  <c r="L534" i="9"/>
  <c r="K534" i="9"/>
  <c r="J534" i="9"/>
  <c r="O546" i="9"/>
  <c r="Y546" i="9"/>
  <c r="V546" i="9"/>
  <c r="P546" i="9" s="1"/>
  <c r="M546" i="9"/>
  <c r="K546" i="9"/>
  <c r="L546" i="9"/>
  <c r="AD546" i="9"/>
  <c r="N546" i="9"/>
  <c r="J546" i="9"/>
  <c r="V558" i="9"/>
  <c r="P558" i="9" s="1"/>
  <c r="O558" i="9"/>
  <c r="Y558" i="9"/>
  <c r="M558" i="9"/>
  <c r="K558" i="9"/>
  <c r="L558" i="9"/>
  <c r="AD558" i="9"/>
  <c r="J558" i="9"/>
  <c r="N558" i="9"/>
  <c r="O570" i="9"/>
  <c r="V570" i="9"/>
  <c r="P570" i="9" s="1"/>
  <c r="Y570" i="9"/>
  <c r="K570" i="9"/>
  <c r="L570" i="9"/>
  <c r="M570" i="9"/>
  <c r="AD570" i="9"/>
  <c r="J570" i="9"/>
  <c r="N570" i="9"/>
  <c r="Y582" i="9"/>
  <c r="O582" i="9"/>
  <c r="V582" i="9"/>
  <c r="P582" i="9" s="1"/>
  <c r="K582" i="9"/>
  <c r="M582" i="9"/>
  <c r="L582" i="9"/>
  <c r="J582" i="9"/>
  <c r="N582" i="9"/>
  <c r="AD582" i="9"/>
  <c r="O594" i="9"/>
  <c r="Y594" i="9"/>
  <c r="V594" i="9"/>
  <c r="P594" i="9" s="1"/>
  <c r="L594" i="9"/>
  <c r="K594" i="9"/>
  <c r="AD594" i="9"/>
  <c r="M594" i="9"/>
  <c r="N594" i="9"/>
  <c r="J594" i="9"/>
  <c r="O606" i="9"/>
  <c r="Y606" i="9"/>
  <c r="V606" i="9"/>
  <c r="P606" i="9" s="1"/>
  <c r="K606" i="9"/>
  <c r="AD606" i="9"/>
  <c r="M606" i="9"/>
  <c r="J606" i="9"/>
  <c r="N606" i="9"/>
  <c r="L606" i="9"/>
  <c r="O618" i="9"/>
  <c r="Y618" i="9"/>
  <c r="V618" i="9"/>
  <c r="P618" i="9" s="1"/>
  <c r="K618" i="9"/>
  <c r="L618" i="9"/>
  <c r="M618" i="9"/>
  <c r="J618" i="9"/>
  <c r="N618" i="9"/>
  <c r="AD618" i="9"/>
  <c r="O630" i="9"/>
  <c r="V630" i="9"/>
  <c r="P630" i="9" s="1"/>
  <c r="Y630" i="9"/>
  <c r="K630" i="9"/>
  <c r="M630" i="9"/>
  <c r="L630" i="9"/>
  <c r="AD630" i="9"/>
  <c r="N630" i="9"/>
  <c r="J630" i="9"/>
  <c r="O642" i="9"/>
  <c r="V642" i="9"/>
  <c r="P642" i="9" s="1"/>
  <c r="Y642" i="9"/>
  <c r="N642" i="9"/>
  <c r="K642" i="9"/>
  <c r="L642" i="9"/>
  <c r="M642" i="9"/>
  <c r="J642" i="9"/>
  <c r="AD642" i="9"/>
  <c r="Y654" i="9"/>
  <c r="V654" i="9"/>
  <c r="P654" i="9" s="1"/>
  <c r="O654" i="9"/>
  <c r="M654" i="9"/>
  <c r="J654" i="9"/>
  <c r="K654" i="9"/>
  <c r="L654" i="9"/>
  <c r="N654" i="9"/>
  <c r="AD654" i="9"/>
  <c r="O666" i="9"/>
  <c r="V666" i="9"/>
  <c r="P666" i="9" s="1"/>
  <c r="Y666" i="9"/>
  <c r="AD666" i="9"/>
  <c r="J666" i="9"/>
  <c r="K666" i="9"/>
  <c r="L666" i="9"/>
  <c r="M666" i="9"/>
  <c r="N666" i="9"/>
  <c r="O678" i="9"/>
  <c r="V678" i="9"/>
  <c r="P678" i="9" s="1"/>
  <c r="Y678" i="9"/>
  <c r="K678" i="9"/>
  <c r="M678" i="9"/>
  <c r="L678" i="9"/>
  <c r="J678" i="9"/>
  <c r="N678" i="9"/>
  <c r="AD678" i="9"/>
  <c r="O690" i="9"/>
  <c r="Y690" i="9"/>
  <c r="V690" i="9"/>
  <c r="P690" i="9" s="1"/>
  <c r="K690" i="9"/>
  <c r="M690" i="9"/>
  <c r="L690" i="9"/>
  <c r="AD690" i="9"/>
  <c r="N690" i="9"/>
  <c r="J690" i="9"/>
  <c r="Y702" i="9"/>
  <c r="O702" i="9"/>
  <c r="V702" i="9"/>
  <c r="P702" i="9" s="1"/>
  <c r="K702" i="9"/>
  <c r="L702" i="9"/>
  <c r="M702" i="9"/>
  <c r="J702" i="9"/>
  <c r="N702" i="9"/>
  <c r="AD702" i="9"/>
  <c r="O714" i="9"/>
  <c r="V714" i="9"/>
  <c r="P714" i="9" s="1"/>
  <c r="Y714" i="9"/>
  <c r="K714" i="9"/>
  <c r="M714" i="9"/>
  <c r="L714" i="9"/>
  <c r="N714" i="9"/>
  <c r="J714" i="9"/>
  <c r="AD714" i="9"/>
  <c r="O726" i="9"/>
  <c r="V726" i="9"/>
  <c r="P726" i="9" s="1"/>
  <c r="Y726" i="9"/>
  <c r="K726" i="9"/>
  <c r="M726" i="9"/>
  <c r="L726" i="9"/>
  <c r="J726" i="9"/>
  <c r="AD726" i="9"/>
  <c r="N726" i="9"/>
  <c r="O738" i="9"/>
  <c r="Y738" i="9"/>
  <c r="V738" i="9"/>
  <c r="P738" i="9" s="1"/>
  <c r="K738" i="9"/>
  <c r="M738" i="9"/>
  <c r="L738" i="9"/>
  <c r="N738" i="9"/>
  <c r="AD738" i="9"/>
  <c r="J738" i="9"/>
  <c r="O750" i="9"/>
  <c r="V750" i="9"/>
  <c r="P750" i="9" s="1"/>
  <c r="Y750" i="9"/>
  <c r="K750" i="9"/>
  <c r="M750" i="9"/>
  <c r="AD750" i="9"/>
  <c r="N750" i="9"/>
  <c r="L750" i="9"/>
  <c r="J750" i="9"/>
  <c r="O762" i="9"/>
  <c r="Y762" i="9"/>
  <c r="V762" i="9"/>
  <c r="P762" i="9" s="1"/>
  <c r="K762" i="9"/>
  <c r="M762" i="9"/>
  <c r="L762" i="9"/>
  <c r="N762" i="9"/>
  <c r="J762" i="9"/>
  <c r="AD762" i="9"/>
  <c r="O774" i="9"/>
  <c r="Y774" i="9"/>
  <c r="V774" i="9"/>
  <c r="P774" i="9" s="1"/>
  <c r="M774" i="9"/>
  <c r="L774" i="9"/>
  <c r="K774" i="9"/>
  <c r="J774" i="9"/>
  <c r="AD774" i="9"/>
  <c r="N774" i="9"/>
  <c r="O786" i="9"/>
  <c r="V786" i="9"/>
  <c r="P786" i="9" s="1"/>
  <c r="Y786" i="9"/>
  <c r="K786" i="9"/>
  <c r="M786" i="9"/>
  <c r="L786" i="9"/>
  <c r="AD786" i="9"/>
  <c r="J786" i="9"/>
  <c r="N786" i="9"/>
  <c r="O798" i="9"/>
  <c r="Y798" i="9"/>
  <c r="V798" i="9"/>
  <c r="P798" i="9" s="1"/>
  <c r="K798" i="9"/>
  <c r="M798" i="9"/>
  <c r="L798" i="9"/>
  <c r="AD798" i="9"/>
  <c r="J798" i="9"/>
  <c r="N798" i="9"/>
  <c r="O810" i="9"/>
  <c r="V810" i="9"/>
  <c r="P810" i="9" s="1"/>
  <c r="Y810" i="9"/>
  <c r="K810" i="9"/>
  <c r="M810" i="9"/>
  <c r="L810" i="9"/>
  <c r="AD810" i="9"/>
  <c r="N810" i="9"/>
  <c r="J810" i="9"/>
  <c r="O822" i="9"/>
  <c r="V822" i="9"/>
  <c r="P822" i="9" s="1"/>
  <c r="Y822" i="9"/>
  <c r="K822" i="9"/>
  <c r="M822" i="9"/>
  <c r="AD822" i="9"/>
  <c r="N822" i="9"/>
  <c r="L822" i="9"/>
  <c r="J822" i="9"/>
  <c r="O834" i="9"/>
  <c r="Y834" i="9"/>
  <c r="V834" i="9"/>
  <c r="P834" i="9" s="1"/>
  <c r="K834" i="9"/>
  <c r="M834" i="9"/>
  <c r="L834" i="9"/>
  <c r="N834" i="9"/>
  <c r="AD834" i="9"/>
  <c r="J834" i="9"/>
  <c r="O191" i="9"/>
  <c r="V191" i="9"/>
  <c r="P191" i="9" s="1"/>
  <c r="Y191" i="9"/>
  <c r="AD191" i="9"/>
  <c r="K191" i="9"/>
  <c r="L191" i="9"/>
  <c r="M191" i="9"/>
  <c r="N191" i="9"/>
  <c r="J191" i="9"/>
  <c r="V443" i="9"/>
  <c r="P443" i="9" s="1"/>
  <c r="Y443" i="9"/>
  <c r="O443" i="9"/>
  <c r="M443" i="9"/>
  <c r="J443" i="9"/>
  <c r="N443" i="9"/>
  <c r="L443" i="9"/>
  <c r="AD443" i="9"/>
  <c r="K443" i="9"/>
  <c r="Y827" i="9"/>
  <c r="O827" i="9"/>
  <c r="V827" i="9"/>
  <c r="P827" i="9" s="1"/>
  <c r="L827" i="9"/>
  <c r="M827" i="9"/>
  <c r="K827" i="9"/>
  <c r="J827" i="9"/>
  <c r="AD827" i="9"/>
  <c r="N827" i="9"/>
  <c r="O48" i="9"/>
  <c r="Y48" i="9"/>
  <c r="V48" i="9"/>
  <c r="P48" i="9" s="1"/>
  <c r="K48" i="9"/>
  <c r="L48" i="9"/>
  <c r="M48" i="9"/>
  <c r="AD48" i="9"/>
  <c r="N48" i="9"/>
  <c r="J48" i="9"/>
  <c r="O120" i="9"/>
  <c r="Y120" i="9"/>
  <c r="V120" i="9"/>
  <c r="P120" i="9" s="1"/>
  <c r="AD120" i="9"/>
  <c r="L120" i="9"/>
  <c r="M120" i="9"/>
  <c r="K120" i="9"/>
  <c r="J120" i="9"/>
  <c r="N120" i="9"/>
  <c r="O180" i="9"/>
  <c r="Y180" i="9"/>
  <c r="V180" i="9"/>
  <c r="P180" i="9" s="1"/>
  <c r="K180" i="9"/>
  <c r="M180" i="9"/>
  <c r="L180" i="9"/>
  <c r="J180" i="9"/>
  <c r="N180" i="9"/>
  <c r="AD180" i="9"/>
  <c r="O240" i="9"/>
  <c r="Y240" i="9"/>
  <c r="V240" i="9"/>
  <c r="P240" i="9" s="1"/>
  <c r="L240" i="9"/>
  <c r="M240" i="9"/>
  <c r="N240" i="9"/>
  <c r="K240" i="9"/>
  <c r="J240" i="9"/>
  <c r="AD240" i="9"/>
  <c r="Y312" i="9"/>
  <c r="O312" i="9"/>
  <c r="V312" i="9"/>
  <c r="P312" i="9" s="1"/>
  <c r="M312" i="9"/>
  <c r="L312" i="9"/>
  <c r="AD312" i="9"/>
  <c r="N312" i="9"/>
  <c r="J312" i="9"/>
  <c r="K312" i="9"/>
  <c r="O348" i="9"/>
  <c r="Y348" i="9"/>
  <c r="V348" i="9"/>
  <c r="P348" i="9" s="1"/>
  <c r="K348" i="9"/>
  <c r="M348" i="9"/>
  <c r="L348" i="9"/>
  <c r="N348" i="9"/>
  <c r="J348" i="9"/>
  <c r="AD348" i="9"/>
  <c r="O408" i="9"/>
  <c r="Y408" i="9"/>
  <c r="V408" i="9"/>
  <c r="P408" i="9" s="1"/>
  <c r="K408" i="9"/>
  <c r="L408" i="9"/>
  <c r="M408" i="9"/>
  <c r="AD408" i="9"/>
  <c r="J408" i="9"/>
  <c r="N408" i="9"/>
  <c r="V492" i="9"/>
  <c r="P492" i="9" s="1"/>
  <c r="O492" i="9"/>
  <c r="Y492" i="9"/>
  <c r="K492" i="9"/>
  <c r="L492" i="9"/>
  <c r="M492" i="9"/>
  <c r="AD492" i="9"/>
  <c r="J492" i="9"/>
  <c r="N492" i="9"/>
  <c r="O564" i="9"/>
  <c r="V564" i="9"/>
  <c r="P564" i="9" s="1"/>
  <c r="Y564" i="9"/>
  <c r="K564" i="9"/>
  <c r="M564" i="9"/>
  <c r="L564" i="9"/>
  <c r="J564" i="9"/>
  <c r="AD564" i="9"/>
  <c r="N564" i="9"/>
  <c r="V624" i="9"/>
  <c r="P624" i="9" s="1"/>
  <c r="O624" i="9"/>
  <c r="Y624" i="9"/>
  <c r="K624" i="9"/>
  <c r="L624" i="9"/>
  <c r="M624" i="9"/>
  <c r="J624" i="9"/>
  <c r="N624" i="9"/>
  <c r="AD624" i="9"/>
  <c r="O660" i="9"/>
  <c r="V660" i="9"/>
  <c r="P660" i="9" s="1"/>
  <c r="Y660" i="9"/>
  <c r="K660" i="9"/>
  <c r="L660" i="9"/>
  <c r="M660" i="9"/>
  <c r="N660" i="9"/>
  <c r="AD660" i="9"/>
  <c r="J660" i="9"/>
  <c r="V696" i="9"/>
  <c r="P696" i="9" s="1"/>
  <c r="O696" i="9"/>
  <c r="Y696" i="9"/>
  <c r="K696" i="9"/>
  <c r="L696" i="9"/>
  <c r="M696" i="9"/>
  <c r="N696" i="9"/>
  <c r="AD696" i="9"/>
  <c r="J696" i="9"/>
  <c r="O744" i="9"/>
  <c r="V744" i="9"/>
  <c r="P744" i="9" s="1"/>
  <c r="Y744" i="9"/>
  <c r="L744" i="9"/>
  <c r="M744" i="9"/>
  <c r="K744" i="9"/>
  <c r="AD744" i="9"/>
  <c r="J744" i="9"/>
  <c r="N744" i="9"/>
  <c r="O31" i="9"/>
  <c r="V31" i="9"/>
  <c r="P31" i="9" s="1"/>
  <c r="Y31" i="9"/>
  <c r="L31" i="9"/>
  <c r="M31" i="9"/>
  <c r="J31" i="9"/>
  <c r="AD31" i="9"/>
  <c r="N31" i="9"/>
  <c r="K31" i="9"/>
  <c r="O43" i="9"/>
  <c r="Y43" i="9"/>
  <c r="V43" i="9"/>
  <c r="P43" i="9" s="1"/>
  <c r="K43" i="9"/>
  <c r="M43" i="9"/>
  <c r="J43" i="9"/>
  <c r="L43" i="9"/>
  <c r="AD43" i="9"/>
  <c r="N43" i="9"/>
  <c r="Y55" i="9"/>
  <c r="V55" i="9"/>
  <c r="P55" i="9" s="1"/>
  <c r="O55" i="9"/>
  <c r="K55" i="9"/>
  <c r="L55" i="9"/>
  <c r="M55" i="9"/>
  <c r="N55" i="9"/>
  <c r="AD55" i="9"/>
  <c r="J55" i="9"/>
  <c r="O67" i="9"/>
  <c r="Y67" i="9"/>
  <c r="V67" i="9"/>
  <c r="P67" i="9" s="1"/>
  <c r="K67" i="9"/>
  <c r="L67" i="9"/>
  <c r="M67" i="9"/>
  <c r="N67" i="9"/>
  <c r="J67" i="9"/>
  <c r="AD67" i="9"/>
  <c r="O79" i="9"/>
  <c r="Y79" i="9"/>
  <c r="V79" i="9"/>
  <c r="P79" i="9" s="1"/>
  <c r="K79" i="9"/>
  <c r="L79" i="9"/>
  <c r="M79" i="9"/>
  <c r="J79" i="9"/>
  <c r="N79" i="9"/>
  <c r="AD79" i="9"/>
  <c r="O91" i="9"/>
  <c r="Y91" i="9"/>
  <c r="V91" i="9"/>
  <c r="P91" i="9" s="1"/>
  <c r="M91" i="9"/>
  <c r="L91" i="9"/>
  <c r="N91" i="9"/>
  <c r="J91" i="9"/>
  <c r="K91" i="9"/>
  <c r="AD91" i="9"/>
  <c r="O103" i="9"/>
  <c r="M103" i="9"/>
  <c r="V103" i="9"/>
  <c r="P103" i="9" s="1"/>
  <c r="L103" i="9"/>
  <c r="Y103" i="9"/>
  <c r="K103" i="9"/>
  <c r="N103" i="9"/>
  <c r="J103" i="9"/>
  <c r="AD103" i="9"/>
  <c r="O115" i="9"/>
  <c r="V115" i="9"/>
  <c r="P115" i="9" s="1"/>
  <c r="Y115" i="9"/>
  <c r="M115" i="9"/>
  <c r="J115" i="9"/>
  <c r="L115" i="9"/>
  <c r="AD115" i="9"/>
  <c r="N115" i="9"/>
  <c r="K115" i="9"/>
  <c r="O127" i="9"/>
  <c r="Y127" i="9"/>
  <c r="V127" i="9"/>
  <c r="P127" i="9" s="1"/>
  <c r="K127" i="9"/>
  <c r="L127" i="9"/>
  <c r="AD127" i="9"/>
  <c r="M127" i="9"/>
  <c r="N127" i="9"/>
  <c r="J127" i="9"/>
  <c r="O139" i="9"/>
  <c r="Y139" i="9"/>
  <c r="V139" i="9"/>
  <c r="P139" i="9" s="1"/>
  <c r="J139" i="9"/>
  <c r="L139" i="9"/>
  <c r="M139" i="9"/>
  <c r="AD139" i="9"/>
  <c r="N139" i="9"/>
  <c r="K139" i="9"/>
  <c r="Y151" i="9"/>
  <c r="V151" i="9"/>
  <c r="P151" i="9" s="1"/>
  <c r="O151" i="9"/>
  <c r="M151" i="9"/>
  <c r="L151" i="9"/>
  <c r="J151" i="9"/>
  <c r="K151" i="9"/>
  <c r="AD151" i="9"/>
  <c r="N151" i="9"/>
  <c r="Y163" i="9"/>
  <c r="V163" i="9"/>
  <c r="P163" i="9" s="1"/>
  <c r="O163" i="9"/>
  <c r="K163" i="9"/>
  <c r="L163" i="9"/>
  <c r="M163" i="9"/>
  <c r="AD163" i="9"/>
  <c r="N163" i="9"/>
  <c r="J163" i="9"/>
  <c r="O175" i="9"/>
  <c r="V175" i="9"/>
  <c r="P175" i="9" s="1"/>
  <c r="Y175" i="9"/>
  <c r="J175" i="9"/>
  <c r="N175" i="9"/>
  <c r="L175" i="9"/>
  <c r="M175" i="9"/>
  <c r="AD175" i="9"/>
  <c r="K175" i="9"/>
  <c r="O187" i="9"/>
  <c r="V187" i="9"/>
  <c r="P187" i="9" s="1"/>
  <c r="Y187" i="9"/>
  <c r="K187" i="9"/>
  <c r="L187" i="9"/>
  <c r="M187" i="9"/>
  <c r="J187" i="9"/>
  <c r="N187" i="9"/>
  <c r="AD187" i="9"/>
  <c r="O199" i="9"/>
  <c r="Y199" i="9"/>
  <c r="V199" i="9"/>
  <c r="P199" i="9" s="1"/>
  <c r="M199" i="9"/>
  <c r="L199" i="9"/>
  <c r="AD199" i="9"/>
  <c r="K199" i="9"/>
  <c r="N199" i="9"/>
  <c r="J199" i="9"/>
  <c r="O211" i="9"/>
  <c r="V211" i="9"/>
  <c r="P211" i="9" s="1"/>
  <c r="Y211" i="9"/>
  <c r="K211" i="9"/>
  <c r="L211" i="9"/>
  <c r="M211" i="9"/>
  <c r="AD211" i="9"/>
  <c r="N211" i="9"/>
  <c r="J211" i="9"/>
  <c r="O223" i="9"/>
  <c r="Y223" i="9"/>
  <c r="V223" i="9"/>
  <c r="P223" i="9" s="1"/>
  <c r="AD223" i="9"/>
  <c r="K223" i="9"/>
  <c r="M223" i="9"/>
  <c r="L223" i="9"/>
  <c r="N223" i="9"/>
  <c r="J223" i="9"/>
  <c r="O235" i="9"/>
  <c r="V235" i="9"/>
  <c r="P235" i="9" s="1"/>
  <c r="Y235" i="9"/>
  <c r="N235" i="9"/>
  <c r="K235" i="9"/>
  <c r="L235" i="9"/>
  <c r="J235" i="9"/>
  <c r="M235" i="9"/>
  <c r="AD235" i="9"/>
  <c r="O247" i="9"/>
  <c r="Y247" i="9"/>
  <c r="V247" i="9"/>
  <c r="P247" i="9" s="1"/>
  <c r="K247" i="9"/>
  <c r="M247" i="9"/>
  <c r="AD247" i="9"/>
  <c r="J247" i="9"/>
  <c r="L247" i="9"/>
  <c r="N247" i="9"/>
  <c r="O259" i="9"/>
  <c r="Y259" i="9"/>
  <c r="V259" i="9"/>
  <c r="P259" i="9" s="1"/>
  <c r="K259" i="9"/>
  <c r="L259" i="9"/>
  <c r="M259" i="9"/>
  <c r="AD259" i="9"/>
  <c r="J259" i="9"/>
  <c r="N259" i="9"/>
  <c r="O271" i="9"/>
  <c r="Y271" i="9"/>
  <c r="V271" i="9"/>
  <c r="P271" i="9" s="1"/>
  <c r="K271" i="9"/>
  <c r="L271" i="9"/>
  <c r="AD271" i="9"/>
  <c r="M271" i="9"/>
  <c r="J271" i="9"/>
  <c r="N271" i="9"/>
  <c r="Y283" i="9"/>
  <c r="V283" i="9"/>
  <c r="P283" i="9" s="1"/>
  <c r="O283" i="9"/>
  <c r="K283" i="9"/>
  <c r="M283" i="9"/>
  <c r="L283" i="9"/>
  <c r="AD283" i="9"/>
  <c r="J283" i="9"/>
  <c r="N283" i="9"/>
  <c r="V295" i="9"/>
  <c r="P295" i="9" s="1"/>
  <c r="O295" i="9"/>
  <c r="Y295" i="9"/>
  <c r="N295" i="9"/>
  <c r="K295" i="9"/>
  <c r="L295" i="9"/>
  <c r="M295" i="9"/>
  <c r="AD295" i="9"/>
  <c r="J295" i="9"/>
  <c r="O307" i="9"/>
  <c r="Y307" i="9"/>
  <c r="V307" i="9"/>
  <c r="P307" i="9" s="1"/>
  <c r="M307" i="9"/>
  <c r="L307" i="9"/>
  <c r="AD307" i="9"/>
  <c r="N307" i="9"/>
  <c r="K307" i="9"/>
  <c r="J307" i="9"/>
  <c r="O319" i="9"/>
  <c r="V319" i="9"/>
  <c r="P319" i="9" s="1"/>
  <c r="Y319" i="9"/>
  <c r="M319" i="9"/>
  <c r="K319" i="9"/>
  <c r="N319" i="9"/>
  <c r="L319" i="9"/>
  <c r="AD319" i="9"/>
  <c r="J319" i="9"/>
  <c r="Y331" i="9"/>
  <c r="V331" i="9"/>
  <c r="P331" i="9" s="1"/>
  <c r="O331" i="9"/>
  <c r="M331" i="9"/>
  <c r="K331" i="9"/>
  <c r="AD331" i="9"/>
  <c r="L331" i="9"/>
  <c r="J331" i="9"/>
  <c r="N331" i="9"/>
  <c r="O343" i="9"/>
  <c r="V343" i="9"/>
  <c r="P343" i="9" s="1"/>
  <c r="Y343" i="9"/>
  <c r="M343" i="9"/>
  <c r="K343" i="9"/>
  <c r="L343" i="9"/>
  <c r="AD343" i="9"/>
  <c r="J343" i="9"/>
  <c r="N343" i="9"/>
  <c r="O355" i="9"/>
  <c r="V355" i="9"/>
  <c r="P355" i="9" s="1"/>
  <c r="Y355" i="9"/>
  <c r="J355" i="9"/>
  <c r="M355" i="9"/>
  <c r="N355" i="9"/>
  <c r="L355" i="9"/>
  <c r="AD355" i="9"/>
  <c r="K355" i="9"/>
  <c r="O367" i="9"/>
  <c r="V367" i="9"/>
  <c r="P367" i="9" s="1"/>
  <c r="Y367" i="9"/>
  <c r="M367" i="9"/>
  <c r="N367" i="9"/>
  <c r="L367" i="9"/>
  <c r="J367" i="9"/>
  <c r="K367" i="9"/>
  <c r="AD367" i="9"/>
  <c r="V379" i="9"/>
  <c r="P379" i="9" s="1"/>
  <c r="O379" i="9"/>
  <c r="Y379" i="9"/>
  <c r="J379" i="9"/>
  <c r="N379" i="9"/>
  <c r="L379" i="9"/>
  <c r="AD379" i="9"/>
  <c r="K379" i="9"/>
  <c r="M379" i="9"/>
  <c r="O391" i="9"/>
  <c r="Y391" i="9"/>
  <c r="V391" i="9"/>
  <c r="P391" i="9" s="1"/>
  <c r="K391" i="9"/>
  <c r="M391" i="9"/>
  <c r="AD391" i="9"/>
  <c r="L391" i="9"/>
  <c r="N391" i="9"/>
  <c r="J391" i="9"/>
  <c r="O403" i="9"/>
  <c r="Y403" i="9"/>
  <c r="V403" i="9"/>
  <c r="P403" i="9" s="1"/>
  <c r="L403" i="9"/>
  <c r="M403" i="9"/>
  <c r="K403" i="9"/>
  <c r="N403" i="9"/>
  <c r="AD403" i="9"/>
  <c r="J403" i="9"/>
  <c r="O415" i="9"/>
  <c r="Y415" i="9"/>
  <c r="V415" i="9"/>
  <c r="P415" i="9" s="1"/>
  <c r="L415" i="9"/>
  <c r="M415" i="9"/>
  <c r="K415" i="9"/>
  <c r="AD415" i="9"/>
  <c r="N415" i="9"/>
  <c r="J415" i="9"/>
  <c r="Y427" i="9"/>
  <c r="V427" i="9"/>
  <c r="P427" i="9" s="1"/>
  <c r="O427" i="9"/>
  <c r="K427" i="9"/>
  <c r="L427" i="9"/>
  <c r="M427" i="9"/>
  <c r="N427" i="9"/>
  <c r="AD427" i="9"/>
  <c r="J427" i="9"/>
  <c r="O439" i="9"/>
  <c r="V439" i="9"/>
  <c r="P439" i="9" s="1"/>
  <c r="Y439" i="9"/>
  <c r="K439" i="9"/>
  <c r="L439" i="9"/>
  <c r="M439" i="9"/>
  <c r="J439" i="9"/>
  <c r="AD439" i="9"/>
  <c r="N439" i="9"/>
  <c r="O451" i="9"/>
  <c r="Y451" i="9"/>
  <c r="V451" i="9"/>
  <c r="P451" i="9" s="1"/>
  <c r="M451" i="9"/>
  <c r="K451" i="9"/>
  <c r="L451" i="9"/>
  <c r="N451" i="9"/>
  <c r="J451" i="9"/>
  <c r="AD451" i="9"/>
  <c r="O463" i="9"/>
  <c r="Y463" i="9"/>
  <c r="V463" i="9"/>
  <c r="P463" i="9" s="1"/>
  <c r="J463" i="9"/>
  <c r="L463" i="9"/>
  <c r="M463" i="9"/>
  <c r="K463" i="9"/>
  <c r="AD463" i="9"/>
  <c r="N463" i="9"/>
  <c r="O475" i="9"/>
  <c r="Y475" i="9"/>
  <c r="V475" i="9"/>
  <c r="P475" i="9" s="1"/>
  <c r="K475" i="9"/>
  <c r="M475" i="9"/>
  <c r="L475" i="9"/>
  <c r="J475" i="9"/>
  <c r="AD475" i="9"/>
  <c r="N475" i="9"/>
  <c r="O487" i="9"/>
  <c r="Y487" i="9"/>
  <c r="V487" i="9"/>
  <c r="P487" i="9" s="1"/>
  <c r="K487" i="9"/>
  <c r="AD487" i="9"/>
  <c r="L487" i="9"/>
  <c r="M487" i="9"/>
  <c r="N487" i="9"/>
  <c r="J487" i="9"/>
  <c r="O499" i="9"/>
  <c r="Y499" i="9"/>
  <c r="V499" i="9"/>
  <c r="P499" i="9" s="1"/>
  <c r="M499" i="9"/>
  <c r="L499" i="9"/>
  <c r="AD499" i="9"/>
  <c r="K499" i="9"/>
  <c r="N499" i="9"/>
  <c r="J499" i="9"/>
  <c r="O511" i="9"/>
  <c r="V511" i="9"/>
  <c r="P511" i="9" s="1"/>
  <c r="Y511" i="9"/>
  <c r="L511" i="9"/>
  <c r="M511" i="9"/>
  <c r="K511" i="9"/>
  <c r="J511" i="9"/>
  <c r="N511" i="9"/>
  <c r="AD511" i="9"/>
  <c r="O523" i="9"/>
  <c r="Y523" i="9"/>
  <c r="V523" i="9"/>
  <c r="P523" i="9" s="1"/>
  <c r="K523" i="9"/>
  <c r="M523" i="9"/>
  <c r="L523" i="9"/>
  <c r="AD523" i="9"/>
  <c r="N523" i="9"/>
  <c r="J523" i="9"/>
  <c r="O535" i="9"/>
  <c r="Y535" i="9"/>
  <c r="V535" i="9"/>
  <c r="P535" i="9" s="1"/>
  <c r="K535" i="9"/>
  <c r="L535" i="9"/>
  <c r="M535" i="9"/>
  <c r="N535" i="9"/>
  <c r="AD535" i="9"/>
  <c r="J535" i="9"/>
  <c r="Y547" i="9"/>
  <c r="V547" i="9"/>
  <c r="P547" i="9" s="1"/>
  <c r="O547" i="9"/>
  <c r="L547" i="9"/>
  <c r="K547" i="9"/>
  <c r="M547" i="9"/>
  <c r="AD547" i="9"/>
  <c r="J547" i="9"/>
  <c r="N547" i="9"/>
  <c r="O559" i="9"/>
  <c r="Y559" i="9"/>
  <c r="V559" i="9"/>
  <c r="P559" i="9" s="1"/>
  <c r="M559" i="9"/>
  <c r="K559" i="9"/>
  <c r="L559" i="9"/>
  <c r="AD559" i="9"/>
  <c r="J559" i="9"/>
  <c r="N559" i="9"/>
  <c r="V571" i="9"/>
  <c r="P571" i="9" s="1"/>
  <c r="O571" i="9"/>
  <c r="Y571" i="9"/>
  <c r="L571" i="9"/>
  <c r="K571" i="9"/>
  <c r="M571" i="9"/>
  <c r="AD571" i="9"/>
  <c r="J571" i="9"/>
  <c r="N571" i="9"/>
  <c r="O583" i="9"/>
  <c r="Y583" i="9"/>
  <c r="V583" i="9"/>
  <c r="P583" i="9" s="1"/>
  <c r="K583" i="9"/>
  <c r="L583" i="9"/>
  <c r="M583" i="9"/>
  <c r="AD583" i="9"/>
  <c r="N583" i="9"/>
  <c r="J583" i="9"/>
  <c r="Y595" i="9"/>
  <c r="O595" i="9"/>
  <c r="V595" i="9"/>
  <c r="P595" i="9" s="1"/>
  <c r="M595" i="9"/>
  <c r="L595" i="9"/>
  <c r="K595" i="9"/>
  <c r="N595" i="9"/>
  <c r="J595" i="9"/>
  <c r="AD595" i="9"/>
  <c r="Y607" i="9"/>
  <c r="O607" i="9"/>
  <c r="V607" i="9"/>
  <c r="P607" i="9" s="1"/>
  <c r="K607" i="9"/>
  <c r="M607" i="9"/>
  <c r="N607" i="9"/>
  <c r="L607" i="9"/>
  <c r="AD607" i="9"/>
  <c r="J607" i="9"/>
  <c r="O619" i="9"/>
  <c r="Y619" i="9"/>
  <c r="V619" i="9"/>
  <c r="P619" i="9" s="1"/>
  <c r="K619" i="9"/>
  <c r="L619" i="9"/>
  <c r="M619" i="9"/>
  <c r="N619" i="9"/>
  <c r="J619" i="9"/>
  <c r="AD619" i="9"/>
  <c r="O631" i="9"/>
  <c r="Y631" i="9"/>
  <c r="V631" i="9"/>
  <c r="P631" i="9" s="1"/>
  <c r="K631" i="9"/>
  <c r="L631" i="9"/>
  <c r="M631" i="9"/>
  <c r="J631" i="9"/>
  <c r="N631" i="9"/>
  <c r="AD631" i="9"/>
  <c r="Y643" i="9"/>
  <c r="O643" i="9"/>
  <c r="V643" i="9"/>
  <c r="P643" i="9" s="1"/>
  <c r="L643" i="9"/>
  <c r="K643" i="9"/>
  <c r="M643" i="9"/>
  <c r="N643" i="9"/>
  <c r="J643" i="9"/>
  <c r="AD643" i="9"/>
  <c r="O655" i="9"/>
  <c r="Y655" i="9"/>
  <c r="V655" i="9"/>
  <c r="P655" i="9" s="1"/>
  <c r="K655" i="9"/>
  <c r="M655" i="9"/>
  <c r="L655" i="9"/>
  <c r="N655" i="9"/>
  <c r="J655" i="9"/>
  <c r="AD655" i="9"/>
  <c r="O667" i="9"/>
  <c r="Y667" i="9"/>
  <c r="V667" i="9"/>
  <c r="P667" i="9" s="1"/>
  <c r="K667" i="9"/>
  <c r="M667" i="9"/>
  <c r="L667" i="9"/>
  <c r="N667" i="9"/>
  <c r="J667" i="9"/>
  <c r="AD667" i="9"/>
  <c r="Y679" i="9"/>
  <c r="O679" i="9"/>
  <c r="V679" i="9"/>
  <c r="P679" i="9" s="1"/>
  <c r="K679" i="9"/>
  <c r="L679" i="9"/>
  <c r="M679" i="9"/>
  <c r="AD679" i="9"/>
  <c r="N679" i="9"/>
  <c r="J679" i="9"/>
  <c r="O691" i="9"/>
  <c r="Y691" i="9"/>
  <c r="V691" i="9"/>
  <c r="P691" i="9" s="1"/>
  <c r="K691" i="9"/>
  <c r="L691" i="9"/>
  <c r="M691" i="9"/>
  <c r="AD691" i="9"/>
  <c r="J691" i="9"/>
  <c r="N691" i="9"/>
  <c r="V703" i="9"/>
  <c r="P703" i="9" s="1"/>
  <c r="O703" i="9"/>
  <c r="Y703" i="9"/>
  <c r="K703" i="9"/>
  <c r="L703" i="9"/>
  <c r="M703" i="9"/>
  <c r="J703" i="9"/>
  <c r="N703" i="9"/>
  <c r="AD703" i="9"/>
  <c r="V715" i="9"/>
  <c r="P715" i="9" s="1"/>
  <c r="O715" i="9"/>
  <c r="Y715" i="9"/>
  <c r="K715" i="9"/>
  <c r="L715" i="9"/>
  <c r="M715" i="9"/>
  <c r="J715" i="9"/>
  <c r="AD715" i="9"/>
  <c r="N715" i="9"/>
  <c r="O727" i="9"/>
  <c r="Y727" i="9"/>
  <c r="V727" i="9"/>
  <c r="P727" i="9" s="1"/>
  <c r="M727" i="9"/>
  <c r="L727" i="9"/>
  <c r="N727" i="9"/>
  <c r="J727" i="9"/>
  <c r="AD727" i="9"/>
  <c r="K727" i="9"/>
  <c r="O739" i="9"/>
  <c r="Y739" i="9"/>
  <c r="V739" i="9"/>
  <c r="P739" i="9" s="1"/>
  <c r="M739" i="9"/>
  <c r="L739" i="9"/>
  <c r="AD739" i="9"/>
  <c r="K739" i="9"/>
  <c r="N739" i="9"/>
  <c r="J739" i="9"/>
  <c r="Y751" i="9"/>
  <c r="V751" i="9"/>
  <c r="P751" i="9" s="1"/>
  <c r="O751" i="9"/>
  <c r="K751" i="9"/>
  <c r="M751" i="9"/>
  <c r="L751" i="9"/>
  <c r="AD751" i="9"/>
  <c r="N751" i="9"/>
  <c r="J751" i="9"/>
  <c r="O763" i="9"/>
  <c r="V763" i="9"/>
  <c r="P763" i="9" s="1"/>
  <c r="Y763" i="9"/>
  <c r="K763" i="9"/>
  <c r="M763" i="9"/>
  <c r="L763" i="9"/>
  <c r="J763" i="9"/>
  <c r="N763" i="9"/>
  <c r="AD763" i="9"/>
  <c r="O775" i="9"/>
  <c r="Y775" i="9"/>
  <c r="V775" i="9"/>
  <c r="P775" i="9" s="1"/>
  <c r="L775" i="9"/>
  <c r="AD775" i="9"/>
  <c r="M775" i="9"/>
  <c r="N775" i="9"/>
  <c r="K775" i="9"/>
  <c r="J775" i="9"/>
  <c r="Y787" i="9"/>
  <c r="V787" i="9"/>
  <c r="P787" i="9" s="1"/>
  <c r="O787" i="9"/>
  <c r="K787" i="9"/>
  <c r="M787" i="9"/>
  <c r="L787" i="9"/>
  <c r="N787" i="9"/>
  <c r="AD787" i="9"/>
  <c r="J787" i="9"/>
  <c r="Y799" i="9"/>
  <c r="O799" i="9"/>
  <c r="V799" i="9"/>
  <c r="P799" i="9" s="1"/>
  <c r="K799" i="9"/>
  <c r="L799" i="9"/>
  <c r="AD799" i="9"/>
  <c r="N799" i="9"/>
  <c r="M799" i="9"/>
  <c r="J799" i="9"/>
  <c r="O811" i="9"/>
  <c r="V811" i="9"/>
  <c r="P811" i="9" s="1"/>
  <c r="Y811" i="9"/>
  <c r="K811" i="9"/>
  <c r="M811" i="9"/>
  <c r="L811" i="9"/>
  <c r="AD811" i="9"/>
  <c r="N811" i="9"/>
  <c r="J811" i="9"/>
  <c r="Y823" i="9"/>
  <c r="V823" i="9"/>
  <c r="P823" i="9" s="1"/>
  <c r="O823" i="9"/>
  <c r="K823" i="9"/>
  <c r="M823" i="9"/>
  <c r="L823" i="9"/>
  <c r="J823" i="9"/>
  <c r="AD823" i="9"/>
  <c r="N823" i="9"/>
  <c r="O835" i="9"/>
  <c r="Y835" i="9"/>
  <c r="V835" i="9"/>
  <c r="P835" i="9" s="1"/>
  <c r="K835" i="9"/>
  <c r="L835" i="9"/>
  <c r="M835" i="9"/>
  <c r="AD835" i="9"/>
  <c r="N835" i="9"/>
  <c r="J835" i="9"/>
  <c r="O167" i="9"/>
  <c r="V167" i="9"/>
  <c r="P167" i="9" s="1"/>
  <c r="Y167" i="9"/>
  <c r="M167" i="9"/>
  <c r="L167" i="9"/>
  <c r="AD167" i="9"/>
  <c r="J167" i="9"/>
  <c r="N167" i="9"/>
  <c r="K167" i="9"/>
  <c r="O431" i="9"/>
  <c r="V431" i="9"/>
  <c r="P431" i="9" s="1"/>
  <c r="Y431" i="9"/>
  <c r="AD431" i="9"/>
  <c r="K431" i="9"/>
  <c r="L431" i="9"/>
  <c r="M431" i="9"/>
  <c r="N431" i="9"/>
  <c r="J431" i="9"/>
  <c r="O731" i="9"/>
  <c r="Y731" i="9"/>
  <c r="V731" i="9"/>
  <c r="P731" i="9" s="1"/>
  <c r="L731" i="9"/>
  <c r="M731" i="9"/>
  <c r="K731" i="9"/>
  <c r="J731" i="9"/>
  <c r="AD731" i="9"/>
  <c r="N731" i="9"/>
  <c r="O96" i="9"/>
  <c r="Y96" i="9"/>
  <c r="V96" i="9"/>
  <c r="P96" i="9" s="1"/>
  <c r="K96" i="9"/>
  <c r="L96" i="9"/>
  <c r="M96" i="9"/>
  <c r="AD96" i="9"/>
  <c r="N96" i="9"/>
  <c r="J96" i="9"/>
  <c r="O276" i="9"/>
  <c r="Y276" i="9"/>
  <c r="V276" i="9"/>
  <c r="P276" i="9" s="1"/>
  <c r="K276" i="9"/>
  <c r="M276" i="9"/>
  <c r="AD276" i="9"/>
  <c r="N276" i="9"/>
  <c r="J276" i="9"/>
  <c r="L276" i="9"/>
  <c r="Y444" i="9"/>
  <c r="V444" i="9"/>
  <c r="P444" i="9" s="1"/>
  <c r="O444" i="9"/>
  <c r="K444" i="9"/>
  <c r="L444" i="9"/>
  <c r="M444" i="9"/>
  <c r="N444" i="9"/>
  <c r="AD444" i="9"/>
  <c r="J444" i="9"/>
  <c r="O612" i="9"/>
  <c r="V612" i="9"/>
  <c r="P612" i="9" s="1"/>
  <c r="Y612" i="9"/>
  <c r="K612" i="9"/>
  <c r="M612" i="9"/>
  <c r="L612" i="9"/>
  <c r="AD612" i="9"/>
  <c r="J612" i="9"/>
  <c r="N612" i="9"/>
  <c r="O780" i="9"/>
  <c r="V780" i="9"/>
  <c r="P780" i="9" s="1"/>
  <c r="Y780" i="9"/>
  <c r="M780" i="9"/>
  <c r="K780" i="9"/>
  <c r="AD780" i="9"/>
  <c r="L780" i="9"/>
  <c r="N780" i="9"/>
  <c r="J780" i="9"/>
  <c r="Y32" i="9"/>
  <c r="V32" i="9"/>
  <c r="P32" i="9" s="1"/>
  <c r="O32" i="9"/>
  <c r="L32" i="9"/>
  <c r="M32" i="9"/>
  <c r="N32" i="9"/>
  <c r="K32" i="9"/>
  <c r="AD32" i="9"/>
  <c r="J32" i="9"/>
  <c r="O44" i="9"/>
  <c r="V44" i="9"/>
  <c r="P44" i="9" s="1"/>
  <c r="Y44" i="9"/>
  <c r="K44" i="9"/>
  <c r="N44" i="9"/>
  <c r="L44" i="9"/>
  <c r="J44" i="9"/>
  <c r="M44" i="9"/>
  <c r="AD44" i="9"/>
  <c r="O56" i="9"/>
  <c r="Y56" i="9"/>
  <c r="V56" i="9"/>
  <c r="P56" i="9" s="1"/>
  <c r="M56" i="9"/>
  <c r="N56" i="9"/>
  <c r="L56" i="9"/>
  <c r="AD56" i="9"/>
  <c r="J56" i="9"/>
  <c r="K56" i="9"/>
  <c r="V68" i="9"/>
  <c r="P68" i="9" s="1"/>
  <c r="O68" i="9"/>
  <c r="Y68" i="9"/>
  <c r="K68" i="9"/>
  <c r="L68" i="9"/>
  <c r="M68" i="9"/>
  <c r="AD68" i="9"/>
  <c r="N68" i="9"/>
  <c r="J68" i="9"/>
  <c r="Y80" i="9"/>
  <c r="V80" i="9"/>
  <c r="P80" i="9" s="1"/>
  <c r="O80" i="9"/>
  <c r="M80" i="9"/>
  <c r="L80" i="9"/>
  <c r="AD80" i="9"/>
  <c r="N80" i="9"/>
  <c r="J80" i="9"/>
  <c r="K80" i="9"/>
  <c r="O92" i="9"/>
  <c r="Y92" i="9"/>
  <c r="V92" i="9"/>
  <c r="P92" i="9" s="1"/>
  <c r="M92" i="9"/>
  <c r="L92" i="9"/>
  <c r="N92" i="9"/>
  <c r="K92" i="9"/>
  <c r="AD92" i="9"/>
  <c r="J92" i="9"/>
  <c r="O104" i="9"/>
  <c r="Y104" i="9"/>
  <c r="V104" i="9"/>
  <c r="P104" i="9" s="1"/>
  <c r="N104" i="9"/>
  <c r="AD104" i="9"/>
  <c r="K104" i="9"/>
  <c r="L104" i="9"/>
  <c r="M104" i="9"/>
  <c r="J104" i="9"/>
  <c r="O116" i="9"/>
  <c r="Y116" i="9"/>
  <c r="V116" i="9"/>
  <c r="P116" i="9" s="1"/>
  <c r="M116" i="9"/>
  <c r="L116" i="9"/>
  <c r="AD116" i="9"/>
  <c r="K116" i="9"/>
  <c r="N116" i="9"/>
  <c r="J116" i="9"/>
  <c r="O128" i="9"/>
  <c r="Y128" i="9"/>
  <c r="V128" i="9"/>
  <c r="P128" i="9" s="1"/>
  <c r="K128" i="9"/>
  <c r="L128" i="9"/>
  <c r="M128" i="9"/>
  <c r="AD128" i="9"/>
  <c r="J128" i="9"/>
  <c r="N128" i="9"/>
  <c r="O140" i="9"/>
  <c r="Y140" i="9"/>
  <c r="V140" i="9"/>
  <c r="P140" i="9" s="1"/>
  <c r="K140" i="9"/>
  <c r="L140" i="9"/>
  <c r="M140" i="9"/>
  <c r="J140" i="9"/>
  <c r="N140" i="9"/>
  <c r="AD140" i="9"/>
  <c r="Y152" i="9"/>
  <c r="V152" i="9"/>
  <c r="P152" i="9" s="1"/>
  <c r="O152" i="9"/>
  <c r="L152" i="9"/>
  <c r="M152" i="9"/>
  <c r="K152" i="9"/>
  <c r="J152" i="9"/>
  <c r="AD152" i="9"/>
  <c r="N152" i="9"/>
  <c r="Y164" i="9"/>
  <c r="V164" i="9"/>
  <c r="P164" i="9" s="1"/>
  <c r="O164" i="9"/>
  <c r="K164" i="9"/>
  <c r="AD164" i="9"/>
  <c r="L164" i="9"/>
  <c r="J164" i="9"/>
  <c r="M164" i="9"/>
  <c r="N164" i="9"/>
  <c r="O176" i="9"/>
  <c r="Y176" i="9"/>
  <c r="V176" i="9"/>
  <c r="P176" i="9" s="1"/>
  <c r="M176" i="9"/>
  <c r="L176" i="9"/>
  <c r="J176" i="9"/>
  <c r="AD176" i="9"/>
  <c r="K176" i="9"/>
  <c r="N176" i="9"/>
  <c r="O188" i="9"/>
  <c r="V188" i="9"/>
  <c r="P188" i="9" s="1"/>
  <c r="Y188" i="9"/>
  <c r="K188" i="9"/>
  <c r="M188" i="9"/>
  <c r="AD188" i="9"/>
  <c r="L188" i="9"/>
  <c r="N188" i="9"/>
  <c r="J188" i="9"/>
  <c r="O200" i="9"/>
  <c r="Y200" i="9"/>
  <c r="V200" i="9"/>
  <c r="P200" i="9" s="1"/>
  <c r="K200" i="9"/>
  <c r="L200" i="9"/>
  <c r="M200" i="9"/>
  <c r="J200" i="9"/>
  <c r="N200" i="9"/>
  <c r="AD200" i="9"/>
  <c r="O212" i="9"/>
  <c r="Y212" i="9"/>
  <c r="V212" i="9"/>
  <c r="P212" i="9" s="1"/>
  <c r="AD212" i="9"/>
  <c r="K212" i="9"/>
  <c r="L212" i="9"/>
  <c r="M212" i="9"/>
  <c r="N212" i="9"/>
  <c r="J212" i="9"/>
  <c r="O224" i="9"/>
  <c r="Y224" i="9"/>
  <c r="V224" i="9"/>
  <c r="P224" i="9" s="1"/>
  <c r="K224" i="9"/>
  <c r="L224" i="9"/>
  <c r="M224" i="9"/>
  <c r="AD224" i="9"/>
  <c r="N224" i="9"/>
  <c r="J224" i="9"/>
  <c r="O236" i="9"/>
  <c r="Y236" i="9"/>
  <c r="V236" i="9"/>
  <c r="P236" i="9" s="1"/>
  <c r="M236" i="9"/>
  <c r="L236" i="9"/>
  <c r="K236" i="9"/>
  <c r="J236" i="9"/>
  <c r="N236" i="9"/>
  <c r="AD236" i="9"/>
  <c r="O248" i="9"/>
  <c r="Y248" i="9"/>
  <c r="V248" i="9"/>
  <c r="P248" i="9" s="1"/>
  <c r="L248" i="9"/>
  <c r="M248" i="9"/>
  <c r="J248" i="9"/>
  <c r="AD248" i="9"/>
  <c r="N248" i="9"/>
  <c r="K248" i="9"/>
  <c r="O260" i="9"/>
  <c r="V260" i="9"/>
  <c r="P260" i="9" s="1"/>
  <c r="Y260" i="9"/>
  <c r="M260" i="9"/>
  <c r="L260" i="9"/>
  <c r="N260" i="9"/>
  <c r="K260" i="9"/>
  <c r="J260" i="9"/>
  <c r="AD260" i="9"/>
  <c r="Y272" i="9"/>
  <c r="O272" i="9"/>
  <c r="V272" i="9"/>
  <c r="P272" i="9" s="1"/>
  <c r="K272" i="9"/>
  <c r="L272" i="9"/>
  <c r="M272" i="9"/>
  <c r="J272" i="9"/>
  <c r="N272" i="9"/>
  <c r="AD272" i="9"/>
  <c r="O284" i="9"/>
  <c r="Y284" i="9"/>
  <c r="V284" i="9"/>
  <c r="P284" i="9" s="1"/>
  <c r="K284" i="9"/>
  <c r="M284" i="9"/>
  <c r="J284" i="9"/>
  <c r="L284" i="9"/>
  <c r="AD284" i="9"/>
  <c r="N284" i="9"/>
  <c r="Y296" i="9"/>
  <c r="V296" i="9"/>
  <c r="P296" i="9" s="1"/>
  <c r="O296" i="9"/>
  <c r="K296" i="9"/>
  <c r="L296" i="9"/>
  <c r="M296" i="9"/>
  <c r="AD296" i="9"/>
  <c r="N296" i="9"/>
  <c r="J296" i="9"/>
  <c r="O308" i="9"/>
  <c r="Y308" i="9"/>
  <c r="V308" i="9"/>
  <c r="P308" i="9" s="1"/>
  <c r="K308" i="9"/>
  <c r="L308" i="9"/>
  <c r="M308" i="9"/>
  <c r="AD308" i="9"/>
  <c r="J308" i="9"/>
  <c r="N308" i="9"/>
  <c r="Y320" i="9"/>
  <c r="V320" i="9"/>
  <c r="P320" i="9" s="1"/>
  <c r="O320" i="9"/>
  <c r="K320" i="9"/>
  <c r="L320" i="9"/>
  <c r="N320" i="9"/>
  <c r="J320" i="9"/>
  <c r="M320" i="9"/>
  <c r="AD320" i="9"/>
  <c r="O332" i="9"/>
  <c r="Y332" i="9"/>
  <c r="V332" i="9"/>
  <c r="P332" i="9" s="1"/>
  <c r="K332" i="9"/>
  <c r="AD332" i="9"/>
  <c r="M332" i="9"/>
  <c r="L332" i="9"/>
  <c r="J332" i="9"/>
  <c r="N332" i="9"/>
  <c r="O344" i="9"/>
  <c r="V344" i="9"/>
  <c r="P344" i="9" s="1"/>
  <c r="Y344" i="9"/>
  <c r="L344" i="9"/>
  <c r="M344" i="9"/>
  <c r="K344" i="9"/>
  <c r="AD344" i="9"/>
  <c r="J344" i="9"/>
  <c r="N344" i="9"/>
  <c r="O356" i="9"/>
  <c r="Y356" i="9"/>
  <c r="V356" i="9"/>
  <c r="P356" i="9" s="1"/>
  <c r="K356" i="9"/>
  <c r="L356" i="9"/>
  <c r="AD356" i="9"/>
  <c r="J356" i="9"/>
  <c r="M356" i="9"/>
  <c r="N356" i="9"/>
  <c r="O368" i="9"/>
  <c r="Y368" i="9"/>
  <c r="V368" i="9"/>
  <c r="P368" i="9" s="1"/>
  <c r="K368" i="9"/>
  <c r="L368" i="9"/>
  <c r="M368" i="9"/>
  <c r="AD368" i="9"/>
  <c r="J368" i="9"/>
  <c r="N368" i="9"/>
  <c r="O380" i="9"/>
  <c r="Y380" i="9"/>
  <c r="V380" i="9"/>
  <c r="P380" i="9" s="1"/>
  <c r="K380" i="9"/>
  <c r="L380" i="9"/>
  <c r="M380" i="9"/>
  <c r="J380" i="9"/>
  <c r="AD380" i="9"/>
  <c r="N380" i="9"/>
  <c r="O392" i="9"/>
  <c r="Y392" i="9"/>
  <c r="V392" i="9"/>
  <c r="P392" i="9" s="1"/>
  <c r="M392" i="9"/>
  <c r="L392" i="9"/>
  <c r="AD392" i="9"/>
  <c r="K392" i="9"/>
  <c r="J392" i="9"/>
  <c r="N392" i="9"/>
  <c r="Y404" i="9"/>
  <c r="V404" i="9"/>
  <c r="P404" i="9" s="1"/>
  <c r="O404" i="9"/>
  <c r="K404" i="9"/>
  <c r="M404" i="9"/>
  <c r="N404" i="9"/>
  <c r="J404" i="9"/>
  <c r="AD404" i="9"/>
  <c r="L404" i="9"/>
  <c r="O416" i="9"/>
  <c r="V416" i="9"/>
  <c r="P416" i="9" s="1"/>
  <c r="Y416" i="9"/>
  <c r="L416" i="9"/>
  <c r="M416" i="9"/>
  <c r="J416" i="9"/>
  <c r="K416" i="9"/>
  <c r="AD416" i="9"/>
  <c r="N416" i="9"/>
  <c r="O428" i="9"/>
  <c r="Y428" i="9"/>
  <c r="V428" i="9"/>
  <c r="P428" i="9" s="1"/>
  <c r="L428" i="9"/>
  <c r="M428" i="9"/>
  <c r="K428" i="9"/>
  <c r="AD428" i="9"/>
  <c r="J428" i="9"/>
  <c r="N428" i="9"/>
  <c r="O440" i="9"/>
  <c r="V440" i="9"/>
  <c r="P440" i="9" s="1"/>
  <c r="Y440" i="9"/>
  <c r="K440" i="9"/>
  <c r="L440" i="9"/>
  <c r="M440" i="9"/>
  <c r="AD440" i="9"/>
  <c r="N440" i="9"/>
  <c r="J440" i="9"/>
  <c r="O452" i="9"/>
  <c r="V452" i="9"/>
  <c r="P452" i="9" s="1"/>
  <c r="Y452" i="9"/>
  <c r="K452" i="9"/>
  <c r="L452" i="9"/>
  <c r="M452" i="9"/>
  <c r="N452" i="9"/>
  <c r="J452" i="9"/>
  <c r="AD452" i="9"/>
  <c r="Y464" i="9"/>
  <c r="V464" i="9"/>
  <c r="P464" i="9" s="1"/>
  <c r="O464" i="9"/>
  <c r="M464" i="9"/>
  <c r="L464" i="9"/>
  <c r="K464" i="9"/>
  <c r="AD464" i="9"/>
  <c r="J464" i="9"/>
  <c r="N464" i="9"/>
  <c r="O476" i="9"/>
  <c r="Y476" i="9"/>
  <c r="V476" i="9"/>
  <c r="P476" i="9" s="1"/>
  <c r="K476" i="9"/>
  <c r="AD476" i="9"/>
  <c r="M476" i="9"/>
  <c r="N476" i="9"/>
  <c r="J476" i="9"/>
  <c r="L476" i="9"/>
  <c r="O488" i="9"/>
  <c r="Y488" i="9"/>
  <c r="V488" i="9"/>
  <c r="P488" i="9" s="1"/>
  <c r="L488" i="9"/>
  <c r="M488" i="9"/>
  <c r="K488" i="9"/>
  <c r="AD488" i="9"/>
  <c r="N488" i="9"/>
  <c r="J488" i="9"/>
  <c r="O500" i="9"/>
  <c r="Y500" i="9"/>
  <c r="V500" i="9"/>
  <c r="P500" i="9" s="1"/>
  <c r="K500" i="9"/>
  <c r="L500" i="9"/>
  <c r="M500" i="9"/>
  <c r="J500" i="9"/>
  <c r="AD500" i="9"/>
  <c r="N500" i="9"/>
  <c r="Y512" i="9"/>
  <c r="O512" i="9"/>
  <c r="V512" i="9"/>
  <c r="P512" i="9" s="1"/>
  <c r="M512" i="9"/>
  <c r="K512" i="9"/>
  <c r="L512" i="9"/>
  <c r="J512" i="9"/>
  <c r="AD512" i="9"/>
  <c r="N512" i="9"/>
  <c r="O524" i="9"/>
  <c r="V524" i="9"/>
  <c r="P524" i="9" s="1"/>
  <c r="Y524" i="9"/>
  <c r="M524" i="9"/>
  <c r="K524" i="9"/>
  <c r="L524" i="9"/>
  <c r="AD524" i="9"/>
  <c r="N524" i="9"/>
  <c r="J524" i="9"/>
  <c r="O536" i="9"/>
  <c r="Y536" i="9"/>
  <c r="V536" i="9"/>
  <c r="P536" i="9" s="1"/>
  <c r="M536" i="9"/>
  <c r="L536" i="9"/>
  <c r="N536" i="9"/>
  <c r="K536" i="9"/>
  <c r="J536" i="9"/>
  <c r="AD536" i="9"/>
  <c r="Y548" i="9"/>
  <c r="O548" i="9"/>
  <c r="V548" i="9"/>
  <c r="P548" i="9" s="1"/>
  <c r="K548" i="9"/>
  <c r="L548" i="9"/>
  <c r="M548" i="9"/>
  <c r="AD548" i="9"/>
  <c r="J548" i="9"/>
  <c r="N548" i="9"/>
  <c r="O560" i="9"/>
  <c r="Y560" i="9"/>
  <c r="V560" i="9"/>
  <c r="P560" i="9" s="1"/>
  <c r="M560" i="9"/>
  <c r="L560" i="9"/>
  <c r="K560" i="9"/>
  <c r="N560" i="9"/>
  <c r="AD560" i="9"/>
  <c r="J560" i="9"/>
  <c r="Y572" i="9"/>
  <c r="O572" i="9"/>
  <c r="V572" i="9"/>
  <c r="P572" i="9" s="1"/>
  <c r="K572" i="9"/>
  <c r="L572" i="9"/>
  <c r="M572" i="9"/>
  <c r="J572" i="9"/>
  <c r="N572" i="9"/>
  <c r="AD572" i="9"/>
  <c r="O584" i="9"/>
  <c r="V584" i="9"/>
  <c r="P584" i="9" s="1"/>
  <c r="Y584" i="9"/>
  <c r="K584" i="9"/>
  <c r="L584" i="9"/>
  <c r="M584" i="9"/>
  <c r="AD584" i="9"/>
  <c r="J584" i="9"/>
  <c r="N584" i="9"/>
  <c r="Y596" i="9"/>
  <c r="O596" i="9"/>
  <c r="V596" i="9"/>
  <c r="P596" i="9" s="1"/>
  <c r="M596" i="9"/>
  <c r="L596" i="9"/>
  <c r="AD596" i="9"/>
  <c r="K596" i="9"/>
  <c r="N596" i="9"/>
  <c r="J596" i="9"/>
  <c r="V608" i="9"/>
  <c r="P608" i="9" s="1"/>
  <c r="O608" i="9"/>
  <c r="Y608" i="9"/>
  <c r="K608" i="9"/>
  <c r="L608" i="9"/>
  <c r="J608" i="9"/>
  <c r="M608" i="9"/>
  <c r="N608" i="9"/>
  <c r="AD608" i="9"/>
  <c r="O620" i="9"/>
  <c r="V620" i="9"/>
  <c r="P620" i="9" s="1"/>
  <c r="Y620" i="9"/>
  <c r="N620" i="9"/>
  <c r="AD620" i="9"/>
  <c r="K620" i="9"/>
  <c r="L620" i="9"/>
  <c r="M620" i="9"/>
  <c r="J620" i="9"/>
  <c r="Y632" i="9"/>
  <c r="O632" i="9"/>
  <c r="V632" i="9"/>
  <c r="P632" i="9" s="1"/>
  <c r="N632" i="9"/>
  <c r="L632" i="9"/>
  <c r="K632" i="9"/>
  <c r="M632" i="9"/>
  <c r="AD632" i="9"/>
  <c r="J632" i="9"/>
  <c r="Y644" i="9"/>
  <c r="V644" i="9"/>
  <c r="P644" i="9" s="1"/>
  <c r="O644" i="9"/>
  <c r="AD644" i="9"/>
  <c r="L644" i="9"/>
  <c r="M644" i="9"/>
  <c r="K644" i="9"/>
  <c r="J644" i="9"/>
  <c r="N644" i="9"/>
  <c r="Y656" i="9"/>
  <c r="O656" i="9"/>
  <c r="V656" i="9"/>
  <c r="P656" i="9" s="1"/>
  <c r="L656" i="9"/>
  <c r="M656" i="9"/>
  <c r="AD656" i="9"/>
  <c r="N656" i="9"/>
  <c r="J656" i="9"/>
  <c r="K656" i="9"/>
  <c r="Y668" i="9"/>
  <c r="V668" i="9"/>
  <c r="P668" i="9" s="1"/>
  <c r="O668" i="9"/>
  <c r="K668" i="9"/>
  <c r="L668" i="9"/>
  <c r="M668" i="9"/>
  <c r="AD668" i="9"/>
  <c r="J668" i="9"/>
  <c r="N668" i="9"/>
  <c r="O680" i="9"/>
  <c r="Y680" i="9"/>
  <c r="V680" i="9"/>
  <c r="P680" i="9" s="1"/>
  <c r="M680" i="9"/>
  <c r="K680" i="9"/>
  <c r="N680" i="9"/>
  <c r="J680" i="9"/>
  <c r="AD680" i="9"/>
  <c r="L680" i="9"/>
  <c r="O692" i="9"/>
  <c r="Y692" i="9"/>
  <c r="V692" i="9"/>
  <c r="P692" i="9" s="1"/>
  <c r="M692" i="9"/>
  <c r="K692" i="9"/>
  <c r="L692" i="9"/>
  <c r="J692" i="9"/>
  <c r="AD692" i="9"/>
  <c r="N692" i="9"/>
  <c r="V704" i="9"/>
  <c r="P704" i="9" s="1"/>
  <c r="O704" i="9"/>
  <c r="Y704" i="9"/>
  <c r="M704" i="9"/>
  <c r="L704" i="9"/>
  <c r="AD704" i="9"/>
  <c r="K704" i="9"/>
  <c r="N704" i="9"/>
  <c r="J704" i="9"/>
  <c r="O716" i="9"/>
  <c r="Y716" i="9"/>
  <c r="V716" i="9"/>
  <c r="P716" i="9" s="1"/>
  <c r="M716" i="9"/>
  <c r="K716" i="9"/>
  <c r="L716" i="9"/>
  <c r="J716" i="9"/>
  <c r="AD716" i="9"/>
  <c r="N716" i="9"/>
  <c r="Y728" i="9"/>
  <c r="O728" i="9"/>
  <c r="V728" i="9"/>
  <c r="P728" i="9" s="1"/>
  <c r="K728" i="9"/>
  <c r="L728" i="9"/>
  <c r="M728" i="9"/>
  <c r="J728" i="9"/>
  <c r="AD728" i="9"/>
  <c r="N728" i="9"/>
  <c r="Y740" i="9"/>
  <c r="O740" i="9"/>
  <c r="V740" i="9"/>
  <c r="P740" i="9" s="1"/>
  <c r="M740" i="9"/>
  <c r="K740" i="9"/>
  <c r="L740" i="9"/>
  <c r="AD740" i="9"/>
  <c r="N740" i="9"/>
  <c r="J740" i="9"/>
  <c r="O752" i="9"/>
  <c r="V752" i="9"/>
  <c r="P752" i="9" s="1"/>
  <c r="Y752" i="9"/>
  <c r="K752" i="9"/>
  <c r="L752" i="9"/>
  <c r="M752" i="9"/>
  <c r="J752" i="9"/>
  <c r="AD752" i="9"/>
  <c r="N752" i="9"/>
  <c r="Y764" i="9"/>
  <c r="O764" i="9"/>
  <c r="V764" i="9"/>
  <c r="P764" i="9" s="1"/>
  <c r="M764" i="9"/>
  <c r="K764" i="9"/>
  <c r="L764" i="9"/>
  <c r="J764" i="9"/>
  <c r="AD764" i="9"/>
  <c r="N764" i="9"/>
  <c r="O776" i="9"/>
  <c r="V776" i="9"/>
  <c r="P776" i="9" s="1"/>
  <c r="Y776" i="9"/>
  <c r="L776" i="9"/>
  <c r="K776" i="9"/>
  <c r="AD776" i="9"/>
  <c r="J776" i="9"/>
  <c r="M776" i="9"/>
  <c r="N776" i="9"/>
  <c r="O788" i="9"/>
  <c r="Y788" i="9"/>
  <c r="V788" i="9"/>
  <c r="P788" i="9" s="1"/>
  <c r="M788" i="9"/>
  <c r="K788" i="9"/>
  <c r="L788" i="9"/>
  <c r="AD788" i="9"/>
  <c r="J788" i="9"/>
  <c r="N788" i="9"/>
  <c r="Y800" i="9"/>
  <c r="O800" i="9"/>
  <c r="V800" i="9"/>
  <c r="P800" i="9" s="1"/>
  <c r="M800" i="9"/>
  <c r="L800" i="9"/>
  <c r="AD800" i="9"/>
  <c r="J800" i="9"/>
  <c r="K800" i="9"/>
  <c r="N800" i="9"/>
  <c r="Y812" i="9"/>
  <c r="O812" i="9"/>
  <c r="V812" i="9"/>
  <c r="P812" i="9" s="1"/>
  <c r="M812" i="9"/>
  <c r="K812" i="9"/>
  <c r="L812" i="9"/>
  <c r="AD812" i="9"/>
  <c r="J812" i="9"/>
  <c r="N812" i="9"/>
  <c r="V824" i="9"/>
  <c r="P824" i="9" s="1"/>
  <c r="O824" i="9"/>
  <c r="Y824" i="9"/>
  <c r="M824" i="9"/>
  <c r="L824" i="9"/>
  <c r="K824" i="9"/>
  <c r="AD824" i="9"/>
  <c r="J824" i="9"/>
  <c r="N824" i="9"/>
  <c r="O23" i="9"/>
  <c r="V23" i="9"/>
  <c r="P23" i="9" s="1"/>
  <c r="Y23" i="9"/>
  <c r="K23" i="9"/>
  <c r="L23" i="9"/>
  <c r="M23" i="9"/>
  <c r="J23" i="9"/>
  <c r="AD23" i="9"/>
  <c r="N23" i="9"/>
  <c r="O143" i="9"/>
  <c r="V143" i="9"/>
  <c r="P143" i="9" s="1"/>
  <c r="Y143" i="9"/>
  <c r="J143" i="9"/>
  <c r="AD143" i="9"/>
  <c r="K143" i="9"/>
  <c r="M143" i="9"/>
  <c r="N143" i="9"/>
  <c r="L143" i="9"/>
  <c r="O275" i="9"/>
  <c r="V275" i="9"/>
  <c r="P275" i="9" s="1"/>
  <c r="Y275" i="9"/>
  <c r="K275" i="9"/>
  <c r="L275" i="9"/>
  <c r="M275" i="9"/>
  <c r="AD275" i="9"/>
  <c r="J275" i="9"/>
  <c r="N275" i="9"/>
  <c r="O395" i="9"/>
  <c r="V395" i="9"/>
  <c r="P395" i="9" s="1"/>
  <c r="Y395" i="9"/>
  <c r="M395" i="9"/>
  <c r="L395" i="9"/>
  <c r="J395" i="9"/>
  <c r="N395" i="9"/>
  <c r="K395" i="9"/>
  <c r="AD395" i="9"/>
  <c r="O527" i="9"/>
  <c r="Y527" i="9"/>
  <c r="V527" i="9"/>
  <c r="P527" i="9" s="1"/>
  <c r="K527" i="9"/>
  <c r="L527" i="9"/>
  <c r="N527" i="9"/>
  <c r="J527" i="9"/>
  <c r="AD527" i="9"/>
  <c r="M527" i="9"/>
  <c r="O635" i="9"/>
  <c r="Y635" i="9"/>
  <c r="V635" i="9"/>
  <c r="P635" i="9" s="1"/>
  <c r="L635" i="9"/>
  <c r="AD635" i="9"/>
  <c r="K635" i="9"/>
  <c r="M635" i="9"/>
  <c r="N635" i="9"/>
  <c r="J635" i="9"/>
  <c r="O767" i="9"/>
  <c r="V767" i="9"/>
  <c r="P767" i="9" s="1"/>
  <c r="Y767" i="9"/>
  <c r="L767" i="9"/>
  <c r="M767" i="9"/>
  <c r="K767" i="9"/>
  <c r="AD767" i="9"/>
  <c r="J767" i="9"/>
  <c r="N767" i="9"/>
  <c r="O108" i="9"/>
  <c r="V108" i="9"/>
  <c r="P108" i="9" s="1"/>
  <c r="Y108" i="9"/>
  <c r="K108" i="9"/>
  <c r="L108" i="9"/>
  <c r="M108" i="9"/>
  <c r="J108" i="9"/>
  <c r="N108" i="9"/>
  <c r="AD108" i="9"/>
  <c r="Y228" i="9"/>
  <c r="V228" i="9"/>
  <c r="P228" i="9" s="1"/>
  <c r="O228" i="9"/>
  <c r="K228" i="9"/>
  <c r="L228" i="9"/>
  <c r="M228" i="9"/>
  <c r="J228" i="9"/>
  <c r="N228" i="9"/>
  <c r="AD228" i="9"/>
  <c r="O360" i="9"/>
  <c r="Y360" i="9"/>
  <c r="V360" i="9"/>
  <c r="P360" i="9" s="1"/>
  <c r="L360" i="9"/>
  <c r="M360" i="9"/>
  <c r="N360" i="9"/>
  <c r="K360" i="9"/>
  <c r="J360" i="9"/>
  <c r="AD360" i="9"/>
  <c r="O468" i="9"/>
  <c r="Y468" i="9"/>
  <c r="V468" i="9"/>
  <c r="P468" i="9" s="1"/>
  <c r="K468" i="9"/>
  <c r="M468" i="9"/>
  <c r="J468" i="9"/>
  <c r="AD468" i="9"/>
  <c r="N468" i="9"/>
  <c r="L468" i="9"/>
  <c r="O552" i="9"/>
  <c r="Y552" i="9"/>
  <c r="V552" i="9"/>
  <c r="P552" i="9" s="1"/>
  <c r="L552" i="9"/>
  <c r="M552" i="9"/>
  <c r="K552" i="9"/>
  <c r="AD552" i="9"/>
  <c r="N552" i="9"/>
  <c r="J552" i="9"/>
  <c r="O672" i="9"/>
  <c r="V672" i="9"/>
  <c r="P672" i="9" s="1"/>
  <c r="Y672" i="9"/>
  <c r="K672" i="9"/>
  <c r="L672" i="9"/>
  <c r="AD672" i="9"/>
  <c r="J672" i="9"/>
  <c r="N672" i="9"/>
  <c r="M672" i="9"/>
  <c r="O756" i="9"/>
  <c r="V756" i="9"/>
  <c r="P756" i="9" s="1"/>
  <c r="Y756" i="9"/>
  <c r="L756" i="9"/>
  <c r="M756" i="9"/>
  <c r="K756" i="9"/>
  <c r="N756" i="9"/>
  <c r="AD756" i="9"/>
  <c r="J756" i="9"/>
  <c r="O33" i="9"/>
  <c r="Y33" i="9"/>
  <c r="V33" i="9"/>
  <c r="P33" i="9" s="1"/>
  <c r="L33" i="9"/>
  <c r="K33" i="9"/>
  <c r="M33" i="9"/>
  <c r="AD33" i="9"/>
  <c r="J33" i="9"/>
  <c r="N33" i="9"/>
  <c r="Y45" i="9"/>
  <c r="V45" i="9"/>
  <c r="P45" i="9" s="1"/>
  <c r="O45" i="9"/>
  <c r="N45" i="9"/>
  <c r="M45" i="9"/>
  <c r="AD45" i="9"/>
  <c r="L45" i="9"/>
  <c r="K45" i="9"/>
  <c r="J45" i="9"/>
  <c r="Y57" i="9"/>
  <c r="V57" i="9"/>
  <c r="P57" i="9" s="1"/>
  <c r="O57" i="9"/>
  <c r="K57" i="9"/>
  <c r="M57" i="9"/>
  <c r="L57" i="9"/>
  <c r="AD57" i="9"/>
  <c r="J57" i="9"/>
  <c r="N57" i="9"/>
  <c r="O69" i="9"/>
  <c r="V69" i="9"/>
  <c r="P69" i="9" s="1"/>
  <c r="Y69" i="9"/>
  <c r="L69" i="9"/>
  <c r="M69" i="9"/>
  <c r="N69" i="9"/>
  <c r="J69" i="9"/>
  <c r="AD69" i="9"/>
  <c r="K69" i="9"/>
  <c r="O81" i="9"/>
  <c r="Y81" i="9"/>
  <c r="V81" i="9"/>
  <c r="P81" i="9" s="1"/>
  <c r="K81" i="9"/>
  <c r="M81" i="9"/>
  <c r="J81" i="9"/>
  <c r="N81" i="9"/>
  <c r="AD81" i="9"/>
  <c r="L81" i="9"/>
  <c r="Y93" i="9"/>
  <c r="O93" i="9"/>
  <c r="V93" i="9"/>
  <c r="P93" i="9" s="1"/>
  <c r="L93" i="9"/>
  <c r="M93" i="9"/>
  <c r="K93" i="9"/>
  <c r="AD93" i="9"/>
  <c r="J93" i="9"/>
  <c r="N93" i="9"/>
  <c r="O105" i="9"/>
  <c r="Y105" i="9"/>
  <c r="V105" i="9"/>
  <c r="P105" i="9" s="1"/>
  <c r="M105" i="9"/>
  <c r="L105" i="9"/>
  <c r="K105" i="9"/>
  <c r="AD105" i="9"/>
  <c r="J105" i="9"/>
  <c r="N105" i="9"/>
  <c r="V117" i="9"/>
  <c r="P117" i="9" s="1"/>
  <c r="O117" i="9"/>
  <c r="Y117" i="9"/>
  <c r="N117" i="9"/>
  <c r="L117" i="9"/>
  <c r="J117" i="9"/>
  <c r="K117" i="9"/>
  <c r="AD117" i="9"/>
  <c r="M117" i="9"/>
  <c r="Y129" i="9"/>
  <c r="V129" i="9"/>
  <c r="P129" i="9" s="1"/>
  <c r="O129" i="9"/>
  <c r="K129" i="9"/>
  <c r="J129" i="9"/>
  <c r="L129" i="9"/>
  <c r="M129" i="9"/>
  <c r="N129" i="9"/>
  <c r="AD129" i="9"/>
  <c r="O141" i="9"/>
  <c r="Y141" i="9"/>
  <c r="V141" i="9"/>
  <c r="P141" i="9" s="1"/>
  <c r="L141" i="9"/>
  <c r="M141" i="9"/>
  <c r="K141" i="9"/>
  <c r="AD141" i="9"/>
  <c r="N141" i="9"/>
  <c r="J141" i="9"/>
  <c r="O153" i="9"/>
  <c r="Y153" i="9"/>
  <c r="V153" i="9"/>
  <c r="P153" i="9" s="1"/>
  <c r="L153" i="9"/>
  <c r="M153" i="9"/>
  <c r="J153" i="9"/>
  <c r="K153" i="9"/>
  <c r="AD153" i="9"/>
  <c r="N153" i="9"/>
  <c r="O165" i="9"/>
  <c r="Y165" i="9"/>
  <c r="V165" i="9"/>
  <c r="P165" i="9" s="1"/>
  <c r="L165" i="9"/>
  <c r="M165" i="9"/>
  <c r="K165" i="9"/>
  <c r="AD165" i="9"/>
  <c r="N165" i="9"/>
  <c r="J165" i="9"/>
  <c r="Y177" i="9"/>
  <c r="V177" i="9"/>
  <c r="P177" i="9" s="1"/>
  <c r="O177" i="9"/>
  <c r="L177" i="9"/>
  <c r="K177" i="9"/>
  <c r="M177" i="9"/>
  <c r="AD177" i="9"/>
  <c r="N177" i="9"/>
  <c r="J177" i="9"/>
  <c r="O189" i="9"/>
  <c r="Y189" i="9"/>
  <c r="V189" i="9"/>
  <c r="P189" i="9" s="1"/>
  <c r="L189" i="9"/>
  <c r="M189" i="9"/>
  <c r="K189" i="9"/>
  <c r="J189" i="9"/>
  <c r="AD189" i="9"/>
  <c r="N189" i="9"/>
  <c r="O201" i="9"/>
  <c r="V201" i="9"/>
  <c r="P201" i="9" s="1"/>
  <c r="Y201" i="9"/>
  <c r="M201" i="9"/>
  <c r="K201" i="9"/>
  <c r="N201" i="9"/>
  <c r="J201" i="9"/>
  <c r="AD201" i="9"/>
  <c r="L201" i="9"/>
  <c r="V213" i="9"/>
  <c r="P213" i="9" s="1"/>
  <c r="O213" i="9"/>
  <c r="Y213" i="9"/>
  <c r="L213" i="9"/>
  <c r="M213" i="9"/>
  <c r="N213" i="9"/>
  <c r="J213" i="9"/>
  <c r="AD213" i="9"/>
  <c r="K213" i="9"/>
  <c r="O225" i="9"/>
  <c r="Y225" i="9"/>
  <c r="V225" i="9"/>
  <c r="P225" i="9" s="1"/>
  <c r="L225" i="9"/>
  <c r="K225" i="9"/>
  <c r="M225" i="9"/>
  <c r="AD225" i="9"/>
  <c r="J225" i="9"/>
  <c r="N225" i="9"/>
  <c r="O237" i="9"/>
  <c r="Y237" i="9"/>
  <c r="V237" i="9"/>
  <c r="P237" i="9" s="1"/>
  <c r="L237" i="9"/>
  <c r="M237" i="9"/>
  <c r="K237" i="9"/>
  <c r="J237" i="9"/>
  <c r="AD237" i="9"/>
  <c r="N237" i="9"/>
  <c r="Y249" i="9"/>
  <c r="V249" i="9"/>
  <c r="P249" i="9" s="1"/>
  <c r="O249" i="9"/>
  <c r="M249" i="9"/>
  <c r="K249" i="9"/>
  <c r="N249" i="9"/>
  <c r="L249" i="9"/>
  <c r="AD249" i="9"/>
  <c r="J249" i="9"/>
  <c r="Y261" i="9"/>
  <c r="V261" i="9"/>
  <c r="P261" i="9" s="1"/>
  <c r="O261" i="9"/>
  <c r="L261" i="9"/>
  <c r="M261" i="9"/>
  <c r="K261" i="9"/>
  <c r="N261" i="9"/>
  <c r="AD261" i="9"/>
  <c r="J261" i="9"/>
  <c r="O273" i="9"/>
  <c r="Y273" i="9"/>
  <c r="V273" i="9"/>
  <c r="P273" i="9" s="1"/>
  <c r="L273" i="9"/>
  <c r="M273" i="9"/>
  <c r="J273" i="9"/>
  <c r="K273" i="9"/>
  <c r="AD273" i="9"/>
  <c r="N273" i="9"/>
  <c r="V285" i="9"/>
  <c r="P285" i="9" s="1"/>
  <c r="O285" i="9"/>
  <c r="Y285" i="9"/>
  <c r="L285" i="9"/>
  <c r="M285" i="9"/>
  <c r="J285" i="9"/>
  <c r="K285" i="9"/>
  <c r="N285" i="9"/>
  <c r="AD285" i="9"/>
  <c r="Y297" i="9"/>
  <c r="O297" i="9"/>
  <c r="V297" i="9"/>
  <c r="P297" i="9" s="1"/>
  <c r="M297" i="9"/>
  <c r="J297" i="9"/>
  <c r="K297" i="9"/>
  <c r="L297" i="9"/>
  <c r="AD297" i="9"/>
  <c r="N297" i="9"/>
  <c r="O309" i="9"/>
  <c r="Y309" i="9"/>
  <c r="V309" i="9"/>
  <c r="P309" i="9" s="1"/>
  <c r="L309" i="9"/>
  <c r="M309" i="9"/>
  <c r="K309" i="9"/>
  <c r="AD309" i="9"/>
  <c r="J309" i="9"/>
  <c r="N309" i="9"/>
  <c r="O321" i="9"/>
  <c r="Y321" i="9"/>
  <c r="V321" i="9"/>
  <c r="P321" i="9" s="1"/>
  <c r="L321" i="9"/>
  <c r="K321" i="9"/>
  <c r="M321" i="9"/>
  <c r="AD321" i="9"/>
  <c r="N321" i="9"/>
  <c r="J321" i="9"/>
  <c r="O333" i="9"/>
  <c r="Y333" i="9"/>
  <c r="V333" i="9"/>
  <c r="P333" i="9" s="1"/>
  <c r="J333" i="9"/>
  <c r="L333" i="9"/>
  <c r="K333" i="9"/>
  <c r="M333" i="9"/>
  <c r="AD333" i="9"/>
  <c r="N333" i="9"/>
  <c r="Y345" i="9"/>
  <c r="V345" i="9"/>
  <c r="P345" i="9" s="1"/>
  <c r="O345" i="9"/>
  <c r="AD345" i="9"/>
  <c r="L345" i="9"/>
  <c r="K345" i="9"/>
  <c r="M345" i="9"/>
  <c r="N345" i="9"/>
  <c r="J345" i="9"/>
  <c r="V357" i="9"/>
  <c r="P357" i="9" s="1"/>
  <c r="O357" i="9"/>
  <c r="Y357" i="9"/>
  <c r="M357" i="9"/>
  <c r="L357" i="9"/>
  <c r="AD357" i="9"/>
  <c r="N357" i="9"/>
  <c r="J357" i="9"/>
  <c r="K357" i="9"/>
  <c r="Y369" i="9"/>
  <c r="V369" i="9"/>
  <c r="P369" i="9" s="1"/>
  <c r="O369" i="9"/>
  <c r="J369" i="9"/>
  <c r="M369" i="9"/>
  <c r="K369" i="9"/>
  <c r="L369" i="9"/>
  <c r="AD369" i="9"/>
  <c r="N369" i="9"/>
  <c r="O381" i="9"/>
  <c r="V381" i="9"/>
  <c r="P381" i="9" s="1"/>
  <c r="Y381" i="9"/>
  <c r="M381" i="9"/>
  <c r="L381" i="9"/>
  <c r="K381" i="9"/>
  <c r="J381" i="9"/>
  <c r="N381" i="9"/>
  <c r="AD381" i="9"/>
  <c r="O393" i="9"/>
  <c r="Y393" i="9"/>
  <c r="V393" i="9"/>
  <c r="P393" i="9" s="1"/>
  <c r="K393" i="9"/>
  <c r="L393" i="9"/>
  <c r="M393" i="9"/>
  <c r="AD393" i="9"/>
  <c r="J393" i="9"/>
  <c r="N393" i="9"/>
  <c r="O405" i="9"/>
  <c r="Y405" i="9"/>
  <c r="V405" i="9"/>
  <c r="P405" i="9" s="1"/>
  <c r="M405" i="9"/>
  <c r="K405" i="9"/>
  <c r="N405" i="9"/>
  <c r="L405" i="9"/>
  <c r="J405" i="9"/>
  <c r="AD405" i="9"/>
  <c r="O417" i="9"/>
  <c r="Y417" i="9"/>
  <c r="V417" i="9"/>
  <c r="P417" i="9" s="1"/>
  <c r="M417" i="9"/>
  <c r="K417" i="9"/>
  <c r="L417" i="9"/>
  <c r="AD417" i="9"/>
  <c r="J417" i="9"/>
  <c r="N417" i="9"/>
  <c r="Y429" i="9"/>
  <c r="V429" i="9"/>
  <c r="P429" i="9" s="1"/>
  <c r="O429" i="9"/>
  <c r="M429" i="9"/>
  <c r="K429" i="9"/>
  <c r="L429" i="9"/>
  <c r="J429" i="9"/>
  <c r="AD429" i="9"/>
  <c r="N429" i="9"/>
  <c r="O441" i="9"/>
  <c r="Y441" i="9"/>
  <c r="V441" i="9"/>
  <c r="P441" i="9" s="1"/>
  <c r="M441" i="9"/>
  <c r="L441" i="9"/>
  <c r="K441" i="9"/>
  <c r="AD441" i="9"/>
  <c r="J441" i="9"/>
  <c r="N441" i="9"/>
  <c r="O453" i="9"/>
  <c r="V453" i="9"/>
  <c r="P453" i="9" s="1"/>
  <c r="Y453" i="9"/>
  <c r="M453" i="9"/>
  <c r="K453" i="9"/>
  <c r="L453" i="9"/>
  <c r="J453" i="9"/>
  <c r="AD453" i="9"/>
  <c r="N453" i="9"/>
  <c r="O465" i="9"/>
  <c r="Y465" i="9"/>
  <c r="V465" i="9"/>
  <c r="P465" i="9" s="1"/>
  <c r="M465" i="9"/>
  <c r="K465" i="9"/>
  <c r="L465" i="9"/>
  <c r="AD465" i="9"/>
  <c r="J465" i="9"/>
  <c r="N465" i="9"/>
  <c r="O477" i="9"/>
  <c r="V477" i="9"/>
  <c r="P477" i="9" s="1"/>
  <c r="Y477" i="9"/>
  <c r="J477" i="9"/>
  <c r="M477" i="9"/>
  <c r="L477" i="9"/>
  <c r="K477" i="9"/>
  <c r="AD477" i="9"/>
  <c r="N477" i="9"/>
  <c r="V489" i="9"/>
  <c r="P489" i="9" s="1"/>
  <c r="O489" i="9"/>
  <c r="Y489" i="9"/>
  <c r="M489" i="9"/>
  <c r="L489" i="9"/>
  <c r="K489" i="9"/>
  <c r="AD489" i="9"/>
  <c r="J489" i="9"/>
  <c r="N489" i="9"/>
  <c r="O501" i="9"/>
  <c r="V501" i="9"/>
  <c r="P501" i="9" s="1"/>
  <c r="Y501" i="9"/>
  <c r="K501" i="9"/>
  <c r="L501" i="9"/>
  <c r="J501" i="9"/>
  <c r="AD501" i="9"/>
  <c r="M501" i="9"/>
  <c r="N501" i="9"/>
  <c r="O513" i="9"/>
  <c r="V513" i="9"/>
  <c r="P513" i="9" s="1"/>
  <c r="Y513" i="9"/>
  <c r="K513" i="9"/>
  <c r="L513" i="9"/>
  <c r="AD513" i="9"/>
  <c r="N513" i="9"/>
  <c r="M513" i="9"/>
  <c r="J513" i="9"/>
  <c r="O525" i="9"/>
  <c r="Y525" i="9"/>
  <c r="V525" i="9"/>
  <c r="P525" i="9" s="1"/>
  <c r="M525" i="9"/>
  <c r="L525" i="9"/>
  <c r="K525" i="9"/>
  <c r="AD525" i="9"/>
  <c r="N525" i="9"/>
  <c r="J525" i="9"/>
  <c r="V537" i="9"/>
  <c r="P537" i="9" s="1"/>
  <c r="Y537" i="9"/>
  <c r="O537" i="9"/>
  <c r="L537" i="9"/>
  <c r="AD537" i="9"/>
  <c r="M537" i="9"/>
  <c r="K537" i="9"/>
  <c r="N537" i="9"/>
  <c r="J537" i="9"/>
  <c r="O549" i="9"/>
  <c r="Y549" i="9"/>
  <c r="V549" i="9"/>
  <c r="P549" i="9" s="1"/>
  <c r="M549" i="9"/>
  <c r="AD549" i="9"/>
  <c r="L549" i="9"/>
  <c r="K549" i="9"/>
  <c r="J549" i="9"/>
  <c r="N549" i="9"/>
  <c r="V561" i="9"/>
  <c r="P561" i="9" s="1"/>
  <c r="O561" i="9"/>
  <c r="Y561" i="9"/>
  <c r="M561" i="9"/>
  <c r="L561" i="9"/>
  <c r="AD561" i="9"/>
  <c r="K561" i="9"/>
  <c r="J561" i="9"/>
  <c r="N561" i="9"/>
  <c r="O573" i="9"/>
  <c r="V573" i="9"/>
  <c r="P573" i="9" s="1"/>
  <c r="Y573" i="9"/>
  <c r="AD573" i="9"/>
  <c r="M573" i="9"/>
  <c r="K573" i="9"/>
  <c r="L573" i="9"/>
  <c r="N573" i="9"/>
  <c r="J573" i="9"/>
  <c r="O585" i="9"/>
  <c r="V585" i="9"/>
  <c r="P585" i="9" s="1"/>
  <c r="Y585" i="9"/>
  <c r="M585" i="9"/>
  <c r="K585" i="9"/>
  <c r="L585" i="9"/>
  <c r="N585" i="9"/>
  <c r="J585" i="9"/>
  <c r="AD585" i="9"/>
  <c r="O597" i="9"/>
  <c r="Y597" i="9"/>
  <c r="V597" i="9"/>
  <c r="P597" i="9" s="1"/>
  <c r="L597" i="9"/>
  <c r="AD597" i="9"/>
  <c r="M597" i="9"/>
  <c r="N597" i="9"/>
  <c r="K597" i="9"/>
  <c r="J597" i="9"/>
  <c r="O609" i="9"/>
  <c r="Y609" i="9"/>
  <c r="V609" i="9"/>
  <c r="P609" i="9" s="1"/>
  <c r="M609" i="9"/>
  <c r="K609" i="9"/>
  <c r="L609" i="9"/>
  <c r="AD609" i="9"/>
  <c r="N609" i="9"/>
  <c r="J609" i="9"/>
  <c r="O621" i="9"/>
  <c r="V621" i="9"/>
  <c r="P621" i="9" s="1"/>
  <c r="Y621" i="9"/>
  <c r="K621" i="9"/>
  <c r="L621" i="9"/>
  <c r="AD621" i="9"/>
  <c r="M621" i="9"/>
  <c r="N621" i="9"/>
  <c r="J621" i="9"/>
  <c r="V633" i="9"/>
  <c r="P633" i="9" s="1"/>
  <c r="Y633" i="9"/>
  <c r="O633" i="9"/>
  <c r="M633" i="9"/>
  <c r="K633" i="9"/>
  <c r="L633" i="9"/>
  <c r="AD633" i="9"/>
  <c r="J633" i="9"/>
  <c r="N633" i="9"/>
  <c r="O645" i="9"/>
  <c r="Y645" i="9"/>
  <c r="V645" i="9"/>
  <c r="P645" i="9" s="1"/>
  <c r="M645" i="9"/>
  <c r="K645" i="9"/>
  <c r="L645" i="9"/>
  <c r="AD645" i="9"/>
  <c r="J645" i="9"/>
  <c r="N645" i="9"/>
  <c r="O657" i="9"/>
  <c r="V657" i="9"/>
  <c r="P657" i="9" s="1"/>
  <c r="Y657" i="9"/>
  <c r="L657" i="9"/>
  <c r="M657" i="9"/>
  <c r="AD657" i="9"/>
  <c r="K657" i="9"/>
  <c r="N657" i="9"/>
  <c r="J657" i="9"/>
  <c r="O669" i="9"/>
  <c r="Y669" i="9"/>
  <c r="V669" i="9"/>
  <c r="P669" i="9" s="1"/>
  <c r="L669" i="9"/>
  <c r="K669" i="9"/>
  <c r="M669" i="9"/>
  <c r="AD669" i="9"/>
  <c r="J669" i="9"/>
  <c r="N669" i="9"/>
  <c r="V681" i="9"/>
  <c r="P681" i="9" s="1"/>
  <c r="O681" i="9"/>
  <c r="Y681" i="9"/>
  <c r="K681" i="9"/>
  <c r="M681" i="9"/>
  <c r="L681" i="9"/>
  <c r="AD681" i="9"/>
  <c r="N681" i="9"/>
  <c r="J681" i="9"/>
  <c r="V693" i="9"/>
  <c r="P693" i="9" s="1"/>
  <c r="O693" i="9"/>
  <c r="Y693" i="9"/>
  <c r="K693" i="9"/>
  <c r="L693" i="9"/>
  <c r="M693" i="9"/>
  <c r="AD693" i="9"/>
  <c r="N693" i="9"/>
  <c r="J693" i="9"/>
  <c r="Y705" i="9"/>
  <c r="V705" i="9"/>
  <c r="P705" i="9" s="1"/>
  <c r="O705" i="9"/>
  <c r="K705" i="9"/>
  <c r="L705" i="9"/>
  <c r="M705" i="9"/>
  <c r="AD705" i="9"/>
  <c r="J705" i="9"/>
  <c r="N705" i="9"/>
  <c r="V717" i="9"/>
  <c r="P717" i="9" s="1"/>
  <c r="O717" i="9"/>
  <c r="Y717" i="9"/>
  <c r="K717" i="9"/>
  <c r="L717" i="9"/>
  <c r="M717" i="9"/>
  <c r="AD717" i="9"/>
  <c r="N717" i="9"/>
  <c r="J717" i="9"/>
  <c r="Y729" i="9"/>
  <c r="V729" i="9"/>
  <c r="P729" i="9" s="1"/>
  <c r="O729" i="9"/>
  <c r="K729" i="9"/>
  <c r="L729" i="9"/>
  <c r="M729" i="9"/>
  <c r="AD729" i="9"/>
  <c r="N729" i="9"/>
  <c r="J729" i="9"/>
  <c r="Y741" i="9"/>
  <c r="O741" i="9"/>
  <c r="V741" i="9"/>
  <c r="P741" i="9" s="1"/>
  <c r="L741" i="9"/>
  <c r="M741" i="9"/>
  <c r="K741" i="9"/>
  <c r="AD741" i="9"/>
  <c r="J741" i="9"/>
  <c r="N741" i="9"/>
  <c r="V753" i="9"/>
  <c r="P753" i="9" s="1"/>
  <c r="O753" i="9"/>
  <c r="Y753" i="9"/>
  <c r="K753" i="9"/>
  <c r="M753" i="9"/>
  <c r="L753" i="9"/>
  <c r="AD753" i="9"/>
  <c r="J753" i="9"/>
  <c r="N753" i="9"/>
  <c r="Y765" i="9"/>
  <c r="V765" i="9"/>
  <c r="P765" i="9" s="1"/>
  <c r="O765" i="9"/>
  <c r="K765" i="9"/>
  <c r="M765" i="9"/>
  <c r="L765" i="9"/>
  <c r="AD765" i="9"/>
  <c r="N765" i="9"/>
  <c r="J765" i="9"/>
  <c r="Y777" i="9"/>
  <c r="O777" i="9"/>
  <c r="V777" i="9"/>
  <c r="P777" i="9" s="1"/>
  <c r="K777" i="9"/>
  <c r="L777" i="9"/>
  <c r="AD777" i="9"/>
  <c r="M777" i="9"/>
  <c r="N777" i="9"/>
  <c r="J777" i="9"/>
  <c r="O789" i="9"/>
  <c r="V789" i="9"/>
  <c r="P789" i="9" s="1"/>
  <c r="Y789" i="9"/>
  <c r="K789" i="9"/>
  <c r="L789" i="9"/>
  <c r="M789" i="9"/>
  <c r="AD789" i="9"/>
  <c r="N789" i="9"/>
  <c r="J789" i="9"/>
  <c r="O801" i="9"/>
  <c r="V801" i="9"/>
  <c r="P801" i="9" s="1"/>
  <c r="Y801" i="9"/>
  <c r="K801" i="9"/>
  <c r="M801" i="9"/>
  <c r="L801" i="9"/>
  <c r="J801" i="9"/>
  <c r="AD801" i="9"/>
  <c r="N801" i="9"/>
  <c r="O813" i="9"/>
  <c r="Y813" i="9"/>
  <c r="V813" i="9"/>
  <c r="P813" i="9" s="1"/>
  <c r="K813" i="9"/>
  <c r="M813" i="9"/>
  <c r="L813" i="9"/>
  <c r="AD813" i="9"/>
  <c r="N813" i="9"/>
  <c r="J813" i="9"/>
  <c r="O825" i="9"/>
  <c r="Y825" i="9"/>
  <c r="V825" i="9"/>
  <c r="P825" i="9" s="1"/>
  <c r="K825" i="9"/>
  <c r="M825" i="9"/>
  <c r="L825" i="9"/>
  <c r="AD825" i="9"/>
  <c r="N825" i="9"/>
  <c r="J825" i="9"/>
  <c r="V47" i="9"/>
  <c r="P47" i="9" s="1"/>
  <c r="Y47" i="9"/>
  <c r="O47" i="9"/>
  <c r="K47" i="9"/>
  <c r="M47" i="9"/>
  <c r="L47" i="9"/>
  <c r="AD47" i="9"/>
  <c r="J47" i="9"/>
  <c r="N47" i="9"/>
  <c r="V251" i="9"/>
  <c r="P251" i="9" s="1"/>
  <c r="Y251" i="9"/>
  <c r="O251" i="9"/>
  <c r="L251" i="9"/>
  <c r="M251" i="9"/>
  <c r="K251" i="9"/>
  <c r="N251" i="9"/>
  <c r="AD251" i="9"/>
  <c r="J251" i="9"/>
  <c r="V515" i="9"/>
  <c r="P515" i="9" s="1"/>
  <c r="O515" i="9"/>
  <c r="Y515" i="9"/>
  <c r="K515" i="9"/>
  <c r="L515" i="9"/>
  <c r="M515" i="9"/>
  <c r="AD515" i="9"/>
  <c r="J515" i="9"/>
  <c r="N515" i="9"/>
  <c r="V815" i="9"/>
  <c r="P815" i="9" s="1"/>
  <c r="Y815" i="9"/>
  <c r="O815" i="9"/>
  <c r="M815" i="9"/>
  <c r="L815" i="9"/>
  <c r="K815" i="9"/>
  <c r="AD815" i="9"/>
  <c r="J815" i="9"/>
  <c r="N815" i="9"/>
  <c r="O60" i="9"/>
  <c r="V60" i="9"/>
  <c r="P60" i="9" s="1"/>
  <c r="Y60" i="9"/>
  <c r="K60" i="9"/>
  <c r="L60" i="9"/>
  <c r="M60" i="9"/>
  <c r="J60" i="9"/>
  <c r="N60" i="9"/>
  <c r="AD60" i="9"/>
  <c r="O132" i="9"/>
  <c r="V132" i="9"/>
  <c r="P132" i="9" s="1"/>
  <c r="Y132" i="9"/>
  <c r="K132" i="9"/>
  <c r="L132" i="9"/>
  <c r="M132" i="9"/>
  <c r="J132" i="9"/>
  <c r="AD132" i="9"/>
  <c r="N132" i="9"/>
  <c r="Y192" i="9"/>
  <c r="V192" i="9"/>
  <c r="P192" i="9" s="1"/>
  <c r="O192" i="9"/>
  <c r="J192" i="9"/>
  <c r="K192" i="9"/>
  <c r="L192" i="9"/>
  <c r="M192" i="9"/>
  <c r="AD192" i="9"/>
  <c r="N192" i="9"/>
  <c r="O264" i="9"/>
  <c r="Y264" i="9"/>
  <c r="V264" i="9"/>
  <c r="P264" i="9" s="1"/>
  <c r="J264" i="9"/>
  <c r="K264" i="9"/>
  <c r="L264" i="9"/>
  <c r="M264" i="9"/>
  <c r="AD264" i="9"/>
  <c r="N264" i="9"/>
  <c r="O324" i="9"/>
  <c r="Y324" i="9"/>
  <c r="V324" i="9"/>
  <c r="P324" i="9" s="1"/>
  <c r="K324" i="9"/>
  <c r="M324" i="9"/>
  <c r="L324" i="9"/>
  <c r="J324" i="9"/>
  <c r="AD324" i="9"/>
  <c r="N324" i="9"/>
  <c r="O372" i="9"/>
  <c r="Y372" i="9"/>
  <c r="V372" i="9"/>
  <c r="P372" i="9" s="1"/>
  <c r="L372" i="9"/>
  <c r="M372" i="9"/>
  <c r="J372" i="9"/>
  <c r="AD372" i="9"/>
  <c r="N372" i="9"/>
  <c r="K372" i="9"/>
  <c r="Y432" i="9"/>
  <c r="V432" i="9"/>
  <c r="P432" i="9" s="1"/>
  <c r="O432" i="9"/>
  <c r="K432" i="9"/>
  <c r="L432" i="9"/>
  <c r="AD432" i="9"/>
  <c r="M432" i="9"/>
  <c r="J432" i="9"/>
  <c r="N432" i="9"/>
  <c r="O480" i="9"/>
  <c r="V480" i="9"/>
  <c r="P480" i="9" s="1"/>
  <c r="Y480" i="9"/>
  <c r="M480" i="9"/>
  <c r="L480" i="9"/>
  <c r="J480" i="9"/>
  <c r="N480" i="9"/>
  <c r="K480" i="9"/>
  <c r="AD480" i="9"/>
  <c r="Y540" i="9"/>
  <c r="O540" i="9"/>
  <c r="V540" i="9"/>
  <c r="P540" i="9" s="1"/>
  <c r="K540" i="9"/>
  <c r="M540" i="9"/>
  <c r="L540" i="9"/>
  <c r="AD540" i="9"/>
  <c r="N540" i="9"/>
  <c r="J540" i="9"/>
  <c r="O576" i="9"/>
  <c r="Y576" i="9"/>
  <c r="V576" i="9"/>
  <c r="P576" i="9" s="1"/>
  <c r="K576" i="9"/>
  <c r="M576" i="9"/>
  <c r="L576" i="9"/>
  <c r="J576" i="9"/>
  <c r="N576" i="9"/>
  <c r="AD576" i="9"/>
  <c r="O636" i="9"/>
  <c r="Y636" i="9"/>
  <c r="V636" i="9"/>
  <c r="P636" i="9" s="1"/>
  <c r="K636" i="9"/>
  <c r="L636" i="9"/>
  <c r="M636" i="9"/>
  <c r="J636" i="9"/>
  <c r="AD636" i="9"/>
  <c r="N636" i="9"/>
  <c r="Y684" i="9"/>
  <c r="O684" i="9"/>
  <c r="V684" i="9"/>
  <c r="P684" i="9" s="1"/>
  <c r="K684" i="9"/>
  <c r="L684" i="9"/>
  <c r="M684" i="9"/>
  <c r="AD684" i="9"/>
  <c r="J684" i="9"/>
  <c r="N684" i="9"/>
  <c r="Y708" i="9"/>
  <c r="O708" i="9"/>
  <c r="V708" i="9"/>
  <c r="P708" i="9" s="1"/>
  <c r="K708" i="9"/>
  <c r="L708" i="9"/>
  <c r="M708" i="9"/>
  <c r="AD708" i="9"/>
  <c r="N708" i="9"/>
  <c r="J708" i="9"/>
  <c r="V732" i="9"/>
  <c r="P732" i="9" s="1"/>
  <c r="O732" i="9"/>
  <c r="Y732" i="9"/>
  <c r="L732" i="9"/>
  <c r="M732" i="9"/>
  <c r="K732" i="9"/>
  <c r="AD732" i="9"/>
  <c r="J732" i="9"/>
  <c r="N732" i="9"/>
  <c r="O34" i="9"/>
  <c r="Y34" i="9"/>
  <c r="V34" i="9"/>
  <c r="P34" i="9" s="1"/>
  <c r="K34" i="9"/>
  <c r="M34" i="9"/>
  <c r="N34" i="9"/>
  <c r="J34" i="9"/>
  <c r="L34" i="9"/>
  <c r="AD34" i="9"/>
  <c r="O46" i="9"/>
  <c r="Y46" i="9"/>
  <c r="V46" i="9"/>
  <c r="P46" i="9" s="1"/>
  <c r="N46" i="9"/>
  <c r="J46" i="9"/>
  <c r="K46" i="9"/>
  <c r="M46" i="9"/>
  <c r="L46" i="9"/>
  <c r="AD46" i="9"/>
  <c r="Y58" i="9"/>
  <c r="V58" i="9"/>
  <c r="P58" i="9" s="1"/>
  <c r="O58" i="9"/>
  <c r="N58" i="9"/>
  <c r="K58" i="9"/>
  <c r="M58" i="9"/>
  <c r="L58" i="9"/>
  <c r="AD58" i="9"/>
  <c r="J58" i="9"/>
  <c r="O70" i="9"/>
  <c r="Y70" i="9"/>
  <c r="V70" i="9"/>
  <c r="P70" i="9" s="1"/>
  <c r="L70" i="9"/>
  <c r="M70" i="9"/>
  <c r="K70" i="9"/>
  <c r="N70" i="9"/>
  <c r="AD70" i="9"/>
  <c r="J70" i="9"/>
  <c r="Y82" i="9"/>
  <c r="V82" i="9"/>
  <c r="P82" i="9" s="1"/>
  <c r="O82" i="9"/>
  <c r="N82" i="9"/>
  <c r="AD82" i="9"/>
  <c r="L82" i="9"/>
  <c r="M82" i="9"/>
  <c r="K82" i="9"/>
  <c r="J82" i="9"/>
  <c r="Y94" i="9"/>
  <c r="V94" i="9"/>
  <c r="P94" i="9" s="1"/>
  <c r="O94" i="9"/>
  <c r="N94" i="9"/>
  <c r="L94" i="9"/>
  <c r="M94" i="9"/>
  <c r="J94" i="9"/>
  <c r="AD94" i="9"/>
  <c r="K94" i="9"/>
  <c r="O106" i="9"/>
  <c r="Y106" i="9"/>
  <c r="V106" i="9"/>
  <c r="P106" i="9" s="1"/>
  <c r="M106" i="9"/>
  <c r="L106" i="9"/>
  <c r="AD106" i="9"/>
  <c r="N106" i="9"/>
  <c r="J106" i="9"/>
  <c r="K106" i="9"/>
  <c r="O118" i="9"/>
  <c r="V118" i="9"/>
  <c r="P118" i="9" s="1"/>
  <c r="Y118" i="9"/>
  <c r="K118" i="9"/>
  <c r="L118" i="9"/>
  <c r="M118" i="9"/>
  <c r="AD118" i="9"/>
  <c r="J118" i="9"/>
  <c r="N118" i="9"/>
  <c r="O130" i="9"/>
  <c r="Y130" i="9"/>
  <c r="V130" i="9"/>
  <c r="P130" i="9" s="1"/>
  <c r="N130" i="9"/>
  <c r="AD130" i="9"/>
  <c r="K130" i="9"/>
  <c r="L130" i="9"/>
  <c r="J130" i="9"/>
  <c r="M130" i="9"/>
  <c r="O142" i="9"/>
  <c r="Y142" i="9"/>
  <c r="V142" i="9"/>
  <c r="P142" i="9" s="1"/>
  <c r="N142" i="9"/>
  <c r="K142" i="9"/>
  <c r="L142" i="9"/>
  <c r="M142" i="9"/>
  <c r="AD142" i="9"/>
  <c r="J142" i="9"/>
  <c r="Y154" i="9"/>
  <c r="O154" i="9"/>
  <c r="V154" i="9"/>
  <c r="P154" i="9" s="1"/>
  <c r="L154" i="9"/>
  <c r="J154" i="9"/>
  <c r="K154" i="9"/>
  <c r="M154" i="9"/>
  <c r="N154" i="9"/>
  <c r="AD154" i="9"/>
  <c r="O166" i="9"/>
  <c r="Y166" i="9"/>
  <c r="V166" i="9"/>
  <c r="P166" i="9" s="1"/>
  <c r="K166" i="9"/>
  <c r="L166" i="9"/>
  <c r="M166" i="9"/>
  <c r="AD166" i="9"/>
  <c r="N166" i="9"/>
  <c r="J166" i="9"/>
  <c r="O178" i="9"/>
  <c r="V178" i="9"/>
  <c r="P178" i="9" s="1"/>
  <c r="Y178" i="9"/>
  <c r="L178" i="9"/>
  <c r="M178" i="9"/>
  <c r="K178" i="9"/>
  <c r="J178" i="9"/>
  <c r="N178" i="9"/>
  <c r="AD178" i="9"/>
  <c r="O190" i="9"/>
  <c r="Y190" i="9"/>
  <c r="V190" i="9"/>
  <c r="P190" i="9" s="1"/>
  <c r="K190" i="9"/>
  <c r="L190" i="9"/>
  <c r="M190" i="9"/>
  <c r="J190" i="9"/>
  <c r="AD190" i="9"/>
  <c r="N190" i="9"/>
  <c r="O202" i="9"/>
  <c r="Y202" i="9"/>
  <c r="V202" i="9"/>
  <c r="P202" i="9" s="1"/>
  <c r="K202" i="9"/>
  <c r="L202" i="9"/>
  <c r="M202" i="9"/>
  <c r="AD202" i="9"/>
  <c r="N202" i="9"/>
  <c r="J202" i="9"/>
  <c r="O214" i="9"/>
  <c r="Y214" i="9"/>
  <c r="V214" i="9"/>
  <c r="P214" i="9" s="1"/>
  <c r="K214" i="9"/>
  <c r="L214" i="9"/>
  <c r="M214" i="9"/>
  <c r="AD214" i="9"/>
  <c r="N214" i="9"/>
  <c r="J214" i="9"/>
  <c r="O226" i="9"/>
  <c r="V226" i="9"/>
  <c r="P226" i="9" s="1"/>
  <c r="Y226" i="9"/>
  <c r="K226" i="9"/>
  <c r="L226" i="9"/>
  <c r="M226" i="9"/>
  <c r="N226" i="9"/>
  <c r="AD226" i="9"/>
  <c r="J226" i="9"/>
  <c r="O238" i="9"/>
  <c r="Y238" i="9"/>
  <c r="V238" i="9"/>
  <c r="P238" i="9" s="1"/>
  <c r="L238" i="9"/>
  <c r="M238" i="9"/>
  <c r="N238" i="9"/>
  <c r="K238" i="9"/>
  <c r="J238" i="9"/>
  <c r="AD238" i="9"/>
  <c r="O250" i="9"/>
  <c r="Y250" i="9"/>
  <c r="V250" i="9"/>
  <c r="P250" i="9" s="1"/>
  <c r="K250" i="9"/>
  <c r="L250" i="9"/>
  <c r="M250" i="9"/>
  <c r="AD250" i="9"/>
  <c r="J250" i="9"/>
  <c r="N250" i="9"/>
  <c r="Y262" i="9"/>
  <c r="V262" i="9"/>
  <c r="P262" i="9" s="1"/>
  <c r="O262" i="9"/>
  <c r="K262" i="9"/>
  <c r="M262" i="9"/>
  <c r="L262" i="9"/>
  <c r="N262" i="9"/>
  <c r="J262" i="9"/>
  <c r="AD262" i="9"/>
  <c r="Y274" i="9"/>
  <c r="V274" i="9"/>
  <c r="P274" i="9" s="1"/>
  <c r="O274" i="9"/>
  <c r="K274" i="9"/>
  <c r="L274" i="9"/>
  <c r="M274" i="9"/>
  <c r="AD274" i="9"/>
  <c r="J274" i="9"/>
  <c r="N274" i="9"/>
  <c r="O286" i="9"/>
  <c r="Y286" i="9"/>
  <c r="V286" i="9"/>
  <c r="P286" i="9" s="1"/>
  <c r="AD286" i="9"/>
  <c r="J286" i="9"/>
  <c r="K286" i="9"/>
  <c r="M286" i="9"/>
  <c r="L286" i="9"/>
  <c r="N286" i="9"/>
  <c r="O298" i="9"/>
  <c r="Y298" i="9"/>
  <c r="V298" i="9"/>
  <c r="P298" i="9" s="1"/>
  <c r="K298" i="9"/>
  <c r="L298" i="9"/>
  <c r="M298" i="9"/>
  <c r="AD298" i="9"/>
  <c r="N298" i="9"/>
  <c r="J298" i="9"/>
  <c r="O310" i="9"/>
  <c r="Y310" i="9"/>
  <c r="V310" i="9"/>
  <c r="P310" i="9" s="1"/>
  <c r="M310" i="9"/>
  <c r="K310" i="9"/>
  <c r="L310" i="9"/>
  <c r="J310" i="9"/>
  <c r="N310" i="9"/>
  <c r="AD310" i="9"/>
  <c r="Y322" i="9"/>
  <c r="V322" i="9"/>
  <c r="P322" i="9" s="1"/>
  <c r="O322" i="9"/>
  <c r="M322" i="9"/>
  <c r="L322" i="9"/>
  <c r="K322" i="9"/>
  <c r="J322" i="9"/>
  <c r="AD322" i="9"/>
  <c r="N322" i="9"/>
  <c r="O334" i="9"/>
  <c r="Y334" i="9"/>
  <c r="V334" i="9"/>
  <c r="P334" i="9" s="1"/>
  <c r="M334" i="9"/>
  <c r="K334" i="9"/>
  <c r="L334" i="9"/>
  <c r="N334" i="9"/>
  <c r="AD334" i="9"/>
  <c r="J334" i="9"/>
  <c r="Y346" i="9"/>
  <c r="O346" i="9"/>
  <c r="V346" i="9"/>
  <c r="P346" i="9" s="1"/>
  <c r="M346" i="9"/>
  <c r="K346" i="9"/>
  <c r="L346" i="9"/>
  <c r="AD346" i="9"/>
  <c r="J346" i="9"/>
  <c r="N346" i="9"/>
  <c r="O358" i="9"/>
  <c r="Y358" i="9"/>
  <c r="V358" i="9"/>
  <c r="P358" i="9" s="1"/>
  <c r="M358" i="9"/>
  <c r="L358" i="9"/>
  <c r="K358" i="9"/>
  <c r="J358" i="9"/>
  <c r="AD358" i="9"/>
  <c r="N358" i="9"/>
  <c r="O370" i="9"/>
  <c r="Y370" i="9"/>
  <c r="V370" i="9"/>
  <c r="P370" i="9" s="1"/>
  <c r="M370" i="9"/>
  <c r="K370" i="9"/>
  <c r="L370" i="9"/>
  <c r="AD370" i="9"/>
  <c r="J370" i="9"/>
  <c r="N370" i="9"/>
  <c r="V382" i="9"/>
  <c r="P382" i="9" s="1"/>
  <c r="O382" i="9"/>
  <c r="Y382" i="9"/>
  <c r="M382" i="9"/>
  <c r="K382" i="9"/>
  <c r="L382" i="9"/>
  <c r="AD382" i="9"/>
  <c r="N382" i="9"/>
  <c r="J382" i="9"/>
  <c r="O394" i="9"/>
  <c r="Y394" i="9"/>
  <c r="V394" i="9"/>
  <c r="P394" i="9" s="1"/>
  <c r="M394" i="9"/>
  <c r="L394" i="9"/>
  <c r="N394" i="9"/>
  <c r="K394" i="9"/>
  <c r="AD394" i="9"/>
  <c r="J394" i="9"/>
  <c r="O406" i="9"/>
  <c r="Y406" i="9"/>
  <c r="V406" i="9"/>
  <c r="P406" i="9" s="1"/>
  <c r="M406" i="9"/>
  <c r="L406" i="9"/>
  <c r="N406" i="9"/>
  <c r="K406" i="9"/>
  <c r="J406" i="9"/>
  <c r="AD406" i="9"/>
  <c r="Y418" i="9"/>
  <c r="V418" i="9"/>
  <c r="P418" i="9" s="1"/>
  <c r="O418" i="9"/>
  <c r="K418" i="9"/>
  <c r="L418" i="9"/>
  <c r="M418" i="9"/>
  <c r="AD418" i="9"/>
  <c r="N418" i="9"/>
  <c r="J418" i="9"/>
  <c r="Y430" i="9"/>
  <c r="V430" i="9"/>
  <c r="P430" i="9" s="1"/>
  <c r="O430" i="9"/>
  <c r="M430" i="9"/>
  <c r="L430" i="9"/>
  <c r="AD430" i="9"/>
  <c r="N430" i="9"/>
  <c r="J430" i="9"/>
  <c r="K430" i="9"/>
  <c r="Y442" i="9"/>
  <c r="V442" i="9"/>
  <c r="P442" i="9" s="1"/>
  <c r="O442" i="9"/>
  <c r="K442" i="9"/>
  <c r="L442" i="9"/>
  <c r="M442" i="9"/>
  <c r="AD442" i="9"/>
  <c r="J442" i="9"/>
  <c r="N442" i="9"/>
  <c r="O454" i="9"/>
  <c r="Y454" i="9"/>
  <c r="V454" i="9"/>
  <c r="P454" i="9" s="1"/>
  <c r="M454" i="9"/>
  <c r="L454" i="9"/>
  <c r="J454" i="9"/>
  <c r="K454" i="9"/>
  <c r="N454" i="9"/>
  <c r="AD454" i="9"/>
  <c r="O466" i="9"/>
  <c r="Y466" i="9"/>
  <c r="V466" i="9"/>
  <c r="P466" i="9" s="1"/>
  <c r="K466" i="9"/>
  <c r="J466" i="9"/>
  <c r="L466" i="9"/>
  <c r="AD466" i="9"/>
  <c r="M466" i="9"/>
  <c r="N466" i="9"/>
  <c r="O478" i="9"/>
  <c r="Y478" i="9"/>
  <c r="V478" i="9"/>
  <c r="P478" i="9" s="1"/>
  <c r="K478" i="9"/>
  <c r="L478" i="9"/>
  <c r="M478" i="9"/>
  <c r="AD478" i="9"/>
  <c r="J478" i="9"/>
  <c r="N478" i="9"/>
  <c r="V490" i="9"/>
  <c r="P490" i="9" s="1"/>
  <c r="O490" i="9"/>
  <c r="Y490" i="9"/>
  <c r="M490" i="9"/>
  <c r="L490" i="9"/>
  <c r="AD490" i="9"/>
  <c r="K490" i="9"/>
  <c r="N490" i="9"/>
  <c r="J490" i="9"/>
  <c r="V502" i="9"/>
  <c r="P502" i="9" s="1"/>
  <c r="Y502" i="9"/>
  <c r="O502" i="9"/>
  <c r="M502" i="9"/>
  <c r="K502" i="9"/>
  <c r="L502" i="9"/>
  <c r="AD502" i="9"/>
  <c r="J502" i="9"/>
  <c r="N502" i="9"/>
  <c r="Y514" i="9"/>
  <c r="O514" i="9"/>
  <c r="V514" i="9"/>
  <c r="P514" i="9" s="1"/>
  <c r="K514" i="9"/>
  <c r="L514" i="9"/>
  <c r="M514" i="9"/>
  <c r="AD514" i="9"/>
  <c r="N514" i="9"/>
  <c r="J514" i="9"/>
  <c r="Y526" i="9"/>
  <c r="O526" i="9"/>
  <c r="V526" i="9"/>
  <c r="P526" i="9" s="1"/>
  <c r="K526" i="9"/>
  <c r="L526" i="9"/>
  <c r="M526" i="9"/>
  <c r="AD526" i="9"/>
  <c r="N526" i="9"/>
  <c r="J526" i="9"/>
  <c r="O538" i="9"/>
  <c r="Y538" i="9"/>
  <c r="V538" i="9"/>
  <c r="P538" i="9" s="1"/>
  <c r="K538" i="9"/>
  <c r="L538" i="9"/>
  <c r="AD538" i="9"/>
  <c r="M538" i="9"/>
  <c r="J538" i="9"/>
  <c r="N538" i="9"/>
  <c r="O550" i="9"/>
  <c r="Y550" i="9"/>
  <c r="V550" i="9"/>
  <c r="P550" i="9" s="1"/>
  <c r="K550" i="9"/>
  <c r="L550" i="9"/>
  <c r="M550" i="9"/>
  <c r="AD550" i="9"/>
  <c r="N550" i="9"/>
  <c r="J550" i="9"/>
  <c r="Y562" i="9"/>
  <c r="O562" i="9"/>
  <c r="V562" i="9"/>
  <c r="P562" i="9" s="1"/>
  <c r="K562" i="9"/>
  <c r="L562" i="9"/>
  <c r="N562" i="9"/>
  <c r="J562" i="9"/>
  <c r="AD562" i="9"/>
  <c r="M562" i="9"/>
  <c r="Y574" i="9"/>
  <c r="V574" i="9"/>
  <c r="P574" i="9" s="1"/>
  <c r="O574" i="9"/>
  <c r="L574" i="9"/>
  <c r="M574" i="9"/>
  <c r="K574" i="9"/>
  <c r="J574" i="9"/>
  <c r="AD574" i="9"/>
  <c r="N574" i="9"/>
  <c r="O586" i="9"/>
  <c r="Y586" i="9"/>
  <c r="V586" i="9"/>
  <c r="P586" i="9" s="1"/>
  <c r="K586" i="9"/>
  <c r="L586" i="9"/>
  <c r="M586" i="9"/>
  <c r="AD586" i="9"/>
  <c r="N586" i="9"/>
  <c r="J586" i="9"/>
  <c r="O598" i="9"/>
  <c r="Y598" i="9"/>
  <c r="V598" i="9"/>
  <c r="P598" i="9" s="1"/>
  <c r="K598" i="9"/>
  <c r="L598" i="9"/>
  <c r="AD598" i="9"/>
  <c r="M598" i="9"/>
  <c r="J598" i="9"/>
  <c r="N598" i="9"/>
  <c r="V610" i="9"/>
  <c r="P610" i="9" s="1"/>
  <c r="Y610" i="9"/>
  <c r="O610" i="9"/>
  <c r="K610" i="9"/>
  <c r="L610" i="9"/>
  <c r="M610" i="9"/>
  <c r="AD610" i="9"/>
  <c r="N610" i="9"/>
  <c r="J610" i="9"/>
  <c r="O622" i="9"/>
  <c r="V622" i="9"/>
  <c r="P622" i="9" s="1"/>
  <c r="Y622" i="9"/>
  <c r="K622" i="9"/>
  <c r="L622" i="9"/>
  <c r="M622" i="9"/>
  <c r="N622" i="9"/>
  <c r="J622" i="9"/>
  <c r="AD622" i="9"/>
  <c r="Y634" i="9"/>
  <c r="V634" i="9"/>
  <c r="P634" i="9" s="1"/>
  <c r="O634" i="9"/>
  <c r="M634" i="9"/>
  <c r="L634" i="9"/>
  <c r="K634" i="9"/>
  <c r="AD634" i="9"/>
  <c r="J634" i="9"/>
  <c r="N634" i="9"/>
  <c r="V646" i="9"/>
  <c r="P646" i="9" s="1"/>
  <c r="Y646" i="9"/>
  <c r="O646" i="9"/>
  <c r="K646" i="9"/>
  <c r="L646" i="9"/>
  <c r="M646" i="9"/>
  <c r="N646" i="9"/>
  <c r="AD646" i="9"/>
  <c r="J646" i="9"/>
  <c r="Y658" i="9"/>
  <c r="V658" i="9"/>
  <c r="P658" i="9" s="1"/>
  <c r="O658" i="9"/>
  <c r="K658" i="9"/>
  <c r="L658" i="9"/>
  <c r="M658" i="9"/>
  <c r="AD658" i="9"/>
  <c r="J658" i="9"/>
  <c r="N658" i="9"/>
  <c r="Y670" i="9"/>
  <c r="O670" i="9"/>
  <c r="V670" i="9"/>
  <c r="P670" i="9" s="1"/>
  <c r="K670" i="9"/>
  <c r="L670" i="9"/>
  <c r="M670" i="9"/>
  <c r="AD670" i="9"/>
  <c r="N670" i="9"/>
  <c r="J670" i="9"/>
  <c r="O682" i="9"/>
  <c r="Y682" i="9"/>
  <c r="V682" i="9"/>
  <c r="P682" i="9" s="1"/>
  <c r="M682" i="9"/>
  <c r="L682" i="9"/>
  <c r="N682" i="9"/>
  <c r="K682" i="9"/>
  <c r="AD682" i="9"/>
  <c r="J682" i="9"/>
  <c r="Y694" i="9"/>
  <c r="O694" i="9"/>
  <c r="V694" i="9"/>
  <c r="P694" i="9" s="1"/>
  <c r="M694" i="9"/>
  <c r="L694" i="9"/>
  <c r="K694" i="9"/>
  <c r="J694" i="9"/>
  <c r="AD694" i="9"/>
  <c r="N694" i="9"/>
  <c r="V706" i="9"/>
  <c r="P706" i="9" s="1"/>
  <c r="O706" i="9"/>
  <c r="Y706" i="9"/>
  <c r="AD706" i="9"/>
  <c r="K706" i="9"/>
  <c r="M706" i="9"/>
  <c r="J706" i="9"/>
  <c r="L706" i="9"/>
  <c r="N706" i="9"/>
  <c r="Y718" i="9"/>
  <c r="O718" i="9"/>
  <c r="V718" i="9"/>
  <c r="P718" i="9" s="1"/>
  <c r="K718" i="9"/>
  <c r="M718" i="9"/>
  <c r="L718" i="9"/>
  <c r="AD718" i="9"/>
  <c r="N718" i="9"/>
  <c r="J718" i="9"/>
  <c r="O730" i="9"/>
  <c r="Y730" i="9"/>
  <c r="V730" i="9"/>
  <c r="P730" i="9" s="1"/>
  <c r="K730" i="9"/>
  <c r="M730" i="9"/>
  <c r="L730" i="9"/>
  <c r="AD730" i="9"/>
  <c r="N730" i="9"/>
  <c r="J730" i="9"/>
  <c r="O742" i="9"/>
  <c r="V742" i="9"/>
  <c r="P742" i="9" s="1"/>
  <c r="Y742" i="9"/>
  <c r="L742" i="9"/>
  <c r="AD742" i="9"/>
  <c r="K742" i="9"/>
  <c r="N742" i="9"/>
  <c r="M742" i="9"/>
  <c r="J742" i="9"/>
  <c r="Y754" i="9"/>
  <c r="O754" i="9"/>
  <c r="V754" i="9"/>
  <c r="P754" i="9" s="1"/>
  <c r="K754" i="9"/>
  <c r="M754" i="9"/>
  <c r="AD754" i="9"/>
  <c r="L754" i="9"/>
  <c r="N754" i="9"/>
  <c r="J754" i="9"/>
  <c r="V766" i="9"/>
  <c r="P766" i="9" s="1"/>
  <c r="O766" i="9"/>
  <c r="Y766" i="9"/>
  <c r="K766" i="9"/>
  <c r="M766" i="9"/>
  <c r="L766" i="9"/>
  <c r="J766" i="9"/>
  <c r="AD766" i="9"/>
  <c r="N766" i="9"/>
  <c r="O778" i="9"/>
  <c r="Y778" i="9"/>
  <c r="V778" i="9"/>
  <c r="P778" i="9" s="1"/>
  <c r="K778" i="9"/>
  <c r="M778" i="9"/>
  <c r="L778" i="9"/>
  <c r="AD778" i="9"/>
  <c r="J778" i="9"/>
  <c r="N778" i="9"/>
  <c r="O790" i="9"/>
  <c r="Y790" i="9"/>
  <c r="V790" i="9"/>
  <c r="P790" i="9" s="1"/>
  <c r="L790" i="9"/>
  <c r="K790" i="9"/>
  <c r="N790" i="9"/>
  <c r="M790" i="9"/>
  <c r="J790" i="9"/>
  <c r="AD790" i="9"/>
  <c r="O802" i="9"/>
  <c r="V802" i="9"/>
  <c r="P802" i="9" s="1"/>
  <c r="Y802" i="9"/>
  <c r="K802" i="9"/>
  <c r="L802" i="9"/>
  <c r="AD802" i="9"/>
  <c r="J802" i="9"/>
  <c r="M802" i="9"/>
  <c r="N802" i="9"/>
  <c r="O814" i="9"/>
  <c r="V814" i="9"/>
  <c r="P814" i="9" s="1"/>
  <c r="Y814" i="9"/>
  <c r="K814" i="9"/>
  <c r="M814" i="9"/>
  <c r="L814" i="9"/>
  <c r="AD814" i="9"/>
  <c r="N814" i="9"/>
  <c r="J814" i="9"/>
  <c r="O826" i="9"/>
  <c r="V826" i="9"/>
  <c r="P826" i="9" s="1"/>
  <c r="Y826" i="9"/>
  <c r="AD826" i="9"/>
  <c r="K826" i="9"/>
  <c r="M826" i="9"/>
  <c r="L826" i="9"/>
  <c r="N826" i="9"/>
  <c r="J826" i="9"/>
  <c r="L6" i="20" l="1"/>
  <c r="K6" i="20"/>
  <c r="K7" i="20" s="1"/>
  <c r="M6" i="20"/>
  <c r="G15" i="20" s="1"/>
  <c r="G14" i="20" l="1"/>
  <c r="H22" i="20"/>
  <c r="O22" i="20" s="1"/>
  <c r="H21" i="20"/>
  <c r="O21" i="20" s="1"/>
  <c r="H15" i="20"/>
  <c r="H14" i="20"/>
  <c r="M17" i="20"/>
  <c r="M18" i="20"/>
  <c r="M16" i="20"/>
  <c r="M19" i="20"/>
  <c r="M20" i="20"/>
  <c r="M14" i="20" l="1"/>
  <c r="P21" i="20"/>
  <c r="N21" i="20"/>
  <c r="N22" i="20"/>
  <c r="M22" i="20"/>
  <c r="P22" i="20"/>
  <c r="O14" i="20"/>
  <c r="O77" i="20" s="1"/>
  <c r="M21" i="20"/>
  <c r="P14" i="20"/>
  <c r="P77" i="20" s="1"/>
  <c r="N14" i="20"/>
  <c r="N77" i="20" s="1"/>
  <c r="O15" i="20"/>
  <c r="M15" i="20"/>
  <c r="P15" i="20"/>
  <c r="N15" i="20"/>
  <c r="C13" i="9" l="1" a="1"/>
  <c r="C13" i="9" s="1"/>
  <c r="AD13" i="9" s="1"/>
  <c r="J13" i="9" l="1"/>
  <c r="L13" i="9"/>
  <c r="M13" i="9"/>
  <c r="U13" i="9"/>
  <c r="K13" i="9"/>
  <c r="V13" i="9"/>
  <c r="Y13" i="9"/>
  <c r="O13" i="9"/>
  <c r="N13" i="9"/>
  <c r="M16" i="13" l="1"/>
  <c r="H15" i="11"/>
  <c r="M17" i="11"/>
  <c r="H15" i="13"/>
  <c r="M16" i="11"/>
  <c r="H16" i="13"/>
  <c r="M15" i="11"/>
  <c r="M15" i="13"/>
  <c r="M19" i="11"/>
  <c r="M18" i="11"/>
  <c r="H16" i="11"/>
  <c r="C14" i="9" a="1"/>
  <c r="C14" i="9" s="1"/>
  <c r="N16" i="13" l="1"/>
  <c r="P16" i="13"/>
  <c r="O16" i="13"/>
  <c r="O15" i="13"/>
  <c r="N15" i="13"/>
  <c r="P15" i="13"/>
  <c r="O16" i="11"/>
  <c r="P16" i="11"/>
  <c r="N16" i="11"/>
  <c r="N15" i="11"/>
  <c r="O15" i="11"/>
  <c r="P15" i="11"/>
  <c r="N14" i="9"/>
  <c r="V14" i="9"/>
  <c r="Y14" i="9"/>
  <c r="L14" i="9"/>
  <c r="U14" i="9"/>
  <c r="M14" i="9"/>
  <c r="K14" i="9"/>
  <c r="AD14" i="9"/>
  <c r="J14" i="9"/>
  <c r="O14" i="9"/>
  <c r="O77" i="11" l="1"/>
  <c r="P77" i="13"/>
  <c r="P77" i="11"/>
  <c r="N77" i="13"/>
  <c r="N77" i="11"/>
  <c r="O77" i="13"/>
  <c r="C15" i="9" a="1"/>
  <c r="C15" i="9" s="1"/>
  <c r="AD15" i="9" l="1"/>
  <c r="N15" i="9"/>
  <c r="O15" i="9"/>
  <c r="L15" i="9"/>
  <c r="V15" i="9"/>
  <c r="Y15" i="9"/>
  <c r="U15" i="9"/>
  <c r="M15" i="9"/>
  <c r="K15" i="9"/>
  <c r="J15" i="9"/>
  <c r="C16" i="9" l="1" a="1"/>
  <c r="C16" i="9" s="1"/>
  <c r="AD16" i="9" l="1"/>
  <c r="O16" i="9"/>
  <c r="N16" i="9"/>
  <c r="L16" i="9"/>
  <c r="U16" i="9"/>
  <c r="V16" i="9"/>
  <c r="Y16" i="9"/>
  <c r="M16" i="9"/>
  <c r="K16" i="9"/>
  <c r="J16" i="9"/>
  <c r="C17" i="9" l="1" a="1"/>
  <c r="C17" i="9" s="1"/>
  <c r="K17" i="9" l="1"/>
  <c r="V17" i="9"/>
  <c r="Y17" i="9"/>
  <c r="N17" i="9"/>
  <c r="L17" i="9"/>
  <c r="U17" i="9"/>
  <c r="AD17" i="9"/>
  <c r="M17" i="9"/>
  <c r="J17" i="9"/>
  <c r="O17" i="9"/>
  <c r="C18" i="9" l="1" a="1"/>
  <c r="C18" i="9" s="1"/>
  <c r="M18" i="9" l="1"/>
  <c r="K18" i="9"/>
  <c r="N18" i="9"/>
  <c r="V18" i="9"/>
  <c r="L18" i="9"/>
  <c r="U18" i="9"/>
  <c r="Y18" i="9"/>
  <c r="C19" i="9" s="1" a="1"/>
  <c r="C19" i="9" s="1"/>
  <c r="J18" i="9"/>
  <c r="AD18" i="9"/>
  <c r="O18" i="9"/>
  <c r="AD19" i="9" l="1"/>
  <c r="J19" i="9"/>
  <c r="V19" i="9"/>
  <c r="N19" i="9"/>
  <c r="Y19" i="9"/>
  <c r="C20" i="9" s="1" a="1"/>
  <c r="C20" i="9" s="1"/>
  <c r="K19" i="9"/>
  <c r="L19" i="9"/>
  <c r="M19" i="9"/>
  <c r="O19" i="9"/>
  <c r="U19" i="9"/>
  <c r="Y20" i="9" l="1"/>
  <c r="C21" i="9" s="1" a="1"/>
  <c r="C21" i="9" s="1"/>
  <c r="J20" i="9"/>
  <c r="N20" i="9"/>
  <c r="AD20" i="9"/>
  <c r="M20" i="9"/>
  <c r="K20" i="9"/>
  <c r="O20" i="9"/>
  <c r="L20" i="9"/>
  <c r="V20" i="9"/>
  <c r="U20" i="9"/>
  <c r="E21" i="9" l="1"/>
  <c r="S21" i="9" s="1"/>
  <c r="M21" i="9"/>
  <c r="K21" i="9"/>
  <c r="L21" i="9"/>
  <c r="J21" i="9"/>
  <c r="Y21" i="9"/>
  <c r="C22" i="9" s="1" a="1"/>
  <c r="C22" i="9" s="1"/>
  <c r="V21" i="9"/>
  <c r="AD21" i="9"/>
  <c r="O21" i="9"/>
  <c r="N21" i="9"/>
  <c r="E19" i="9"/>
  <c r="S19" i="9" s="1"/>
  <c r="E13" i="9"/>
  <c r="S13" i="9" s="1"/>
  <c r="U21" i="9"/>
  <c r="V22" i="9" l="1"/>
  <c r="P22" i="9" s="1"/>
  <c r="AD22" i="9"/>
  <c r="L22" i="9"/>
  <c r="L6" i="18" s="1"/>
  <c r="O22" i="9"/>
  <c r="K22" i="9"/>
  <c r="M6" i="18" s="1"/>
  <c r="G16" i="18" s="1"/>
  <c r="Y22" i="9"/>
  <c r="N22" i="9"/>
  <c r="J22" i="9"/>
  <c r="M22" i="9"/>
  <c r="K6" i="18" s="1"/>
  <c r="E20" i="9"/>
  <c r="S20" i="9" s="1"/>
  <c r="E18" i="9"/>
  <c r="S18" i="9" s="1"/>
  <c r="E14" i="9"/>
  <c r="S14" i="9" s="1"/>
  <c r="E15" i="9"/>
  <c r="S15" i="9" s="1"/>
  <c r="E17" i="9"/>
  <c r="S17" i="9" s="1"/>
  <c r="E16" i="9"/>
  <c r="S16" i="9" s="1"/>
  <c r="B21" i="9"/>
  <c r="R21" i="9"/>
  <c r="A21" i="9"/>
  <c r="AX21" i="9"/>
  <c r="A13" i="9"/>
  <c r="R13" i="9"/>
  <c r="AX13" i="9"/>
  <c r="B13" i="9"/>
  <c r="AX19" i="9"/>
  <c r="B19" i="9"/>
  <c r="A19" i="9"/>
  <c r="R19" i="9"/>
  <c r="U22" i="9"/>
  <c r="K7" i="18" l="1"/>
  <c r="M17" i="18" s="1"/>
  <c r="G15" i="18"/>
  <c r="AX14" i="9"/>
  <c r="B14" i="9"/>
  <c r="R14" i="9"/>
  <c r="A14" i="9"/>
  <c r="AX16" i="9"/>
  <c r="R16" i="9"/>
  <c r="B16" i="9"/>
  <c r="A16" i="9"/>
  <c r="R17" i="9"/>
  <c r="A17" i="9"/>
  <c r="AX17" i="9"/>
  <c r="B17" i="9"/>
  <c r="AX15" i="9"/>
  <c r="R15" i="9"/>
  <c r="B15" i="9"/>
  <c r="A15" i="9"/>
  <c r="A18" i="9"/>
  <c r="R18" i="9"/>
  <c r="B18" i="9"/>
  <c r="AX18" i="9"/>
  <c r="R20" i="9"/>
  <c r="B20" i="9"/>
  <c r="AX20" i="9"/>
  <c r="A20" i="9"/>
  <c r="U23" i="9"/>
  <c r="M18" i="18" l="1"/>
  <c r="M19" i="18"/>
  <c r="H15" i="18"/>
  <c r="O15" i="18" s="1"/>
  <c r="H16" i="18"/>
  <c r="U24" i="9"/>
  <c r="P16" i="18" l="1"/>
  <c r="N16" i="18"/>
  <c r="M16" i="18"/>
  <c r="O16" i="18"/>
  <c r="O77" i="18" s="1"/>
  <c r="M15" i="18"/>
  <c r="N15" i="18"/>
  <c r="P15" i="18"/>
  <c r="U25" i="9"/>
  <c r="N77" i="18" l="1"/>
  <c r="P77" i="18"/>
  <c r="U26" i="9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U63" i="9" s="1"/>
  <c r="U64" i="9" s="1"/>
  <c r="U65" i="9" s="1"/>
  <c r="U66" i="9" s="1"/>
  <c r="U67" i="9" s="1"/>
  <c r="U68" i="9" s="1"/>
  <c r="U69" i="9" s="1"/>
  <c r="U70" i="9" s="1"/>
  <c r="U71" i="9" s="1"/>
  <c r="U72" i="9" s="1"/>
  <c r="U73" i="9" s="1"/>
  <c r="U74" i="9" s="1"/>
  <c r="U75" i="9" s="1"/>
  <c r="U76" i="9" s="1"/>
  <c r="U77" i="9" s="1"/>
  <c r="U78" i="9" s="1"/>
  <c r="U79" i="9" s="1"/>
  <c r="U80" i="9" s="1"/>
  <c r="U81" i="9" s="1"/>
  <c r="U82" i="9" s="1"/>
  <c r="U83" i="9" s="1"/>
  <c r="U84" i="9" s="1"/>
  <c r="U85" i="9" s="1"/>
  <c r="U86" i="9" s="1"/>
  <c r="U87" i="9" s="1"/>
  <c r="U88" i="9" s="1"/>
  <c r="U89" i="9" s="1"/>
  <c r="U90" i="9" s="1"/>
  <c r="U91" i="9" s="1"/>
  <c r="U92" i="9" s="1"/>
  <c r="U93" i="9" s="1"/>
  <c r="U94" i="9" s="1"/>
  <c r="U95" i="9" s="1"/>
  <c r="U96" i="9" s="1"/>
  <c r="U97" i="9" s="1"/>
  <c r="U98" i="9" s="1"/>
  <c r="U99" i="9" s="1"/>
  <c r="U100" i="9" s="1"/>
  <c r="U101" i="9" s="1"/>
  <c r="U102" i="9" s="1"/>
  <c r="U103" i="9" s="1"/>
  <c r="U104" i="9" s="1"/>
  <c r="U105" i="9" s="1"/>
  <c r="U106" i="9" s="1"/>
  <c r="U107" i="9" s="1"/>
  <c r="U108" i="9" s="1"/>
  <c r="U109" i="9" s="1"/>
  <c r="U110" i="9" s="1"/>
  <c r="U111" i="9" s="1"/>
  <c r="U112" i="9" s="1"/>
  <c r="U113" i="9" s="1"/>
  <c r="U114" i="9" s="1"/>
  <c r="U115" i="9" s="1"/>
  <c r="U116" i="9" s="1"/>
  <c r="U117" i="9" s="1"/>
  <c r="U118" i="9" s="1"/>
  <c r="U119" i="9" s="1"/>
  <c r="U120" i="9" s="1"/>
  <c r="U121" i="9" s="1"/>
  <c r="U122" i="9" s="1"/>
  <c r="U123" i="9" s="1"/>
  <c r="U124" i="9" s="1"/>
  <c r="U125" i="9" s="1"/>
  <c r="U126" i="9" s="1"/>
  <c r="U127" i="9" s="1"/>
  <c r="U128" i="9" s="1"/>
  <c r="U129" i="9" s="1"/>
  <c r="U130" i="9" s="1"/>
  <c r="U131" i="9" s="1"/>
  <c r="U132" i="9" s="1"/>
  <c r="U133" i="9" s="1"/>
  <c r="U134" i="9" s="1"/>
  <c r="U135" i="9" s="1"/>
  <c r="U136" i="9" s="1"/>
  <c r="U137" i="9" s="1"/>
  <c r="U138" i="9" s="1"/>
  <c r="U139" i="9" s="1"/>
  <c r="U140" i="9" s="1"/>
  <c r="U141" i="9" s="1"/>
  <c r="U142" i="9" s="1"/>
  <c r="U143" i="9" s="1"/>
  <c r="U144" i="9" s="1"/>
  <c r="U145" i="9" s="1"/>
  <c r="U146" i="9" s="1"/>
  <c r="U147" i="9" s="1"/>
  <c r="U148" i="9" s="1"/>
  <c r="U149" i="9" s="1"/>
  <c r="U150" i="9" s="1"/>
  <c r="U151" i="9" s="1"/>
  <c r="U152" i="9" s="1"/>
  <c r="U153" i="9" s="1"/>
  <c r="U154" i="9" s="1"/>
  <c r="U155" i="9" s="1"/>
  <c r="U156" i="9" s="1"/>
  <c r="U157" i="9" s="1"/>
  <c r="U158" i="9" s="1"/>
  <c r="U159" i="9" s="1"/>
  <c r="U160" i="9" s="1"/>
  <c r="U161" i="9" s="1"/>
  <c r="U162" i="9" s="1"/>
  <c r="U163" i="9" s="1"/>
  <c r="U164" i="9" s="1"/>
  <c r="U165" i="9" s="1"/>
  <c r="U166" i="9" s="1"/>
  <c r="U167" i="9" s="1"/>
  <c r="U168" i="9" s="1"/>
  <c r="U169" i="9" s="1"/>
  <c r="U170" i="9" s="1"/>
  <c r="U171" i="9" s="1"/>
  <c r="U172" i="9" s="1"/>
  <c r="U173" i="9" s="1"/>
  <c r="U174" i="9" s="1"/>
  <c r="U175" i="9" s="1"/>
  <c r="U176" i="9" s="1"/>
  <c r="U177" i="9" s="1"/>
  <c r="U178" i="9" s="1"/>
  <c r="U179" i="9" s="1"/>
  <c r="U180" i="9" s="1"/>
  <c r="U181" i="9" s="1"/>
  <c r="U182" i="9" s="1"/>
  <c r="U183" i="9" s="1"/>
  <c r="U184" i="9" s="1"/>
  <c r="U185" i="9" s="1"/>
  <c r="U186" i="9" s="1"/>
  <c r="U187" i="9" s="1"/>
  <c r="U188" i="9" s="1"/>
  <c r="U189" i="9" s="1"/>
  <c r="U190" i="9" s="1"/>
  <c r="U191" i="9" s="1"/>
  <c r="U192" i="9" s="1"/>
  <c r="U193" i="9" s="1"/>
  <c r="U194" i="9" s="1"/>
  <c r="U195" i="9" s="1"/>
  <c r="U196" i="9" s="1"/>
  <c r="U197" i="9" s="1"/>
  <c r="U198" i="9" s="1"/>
  <c r="U199" i="9" s="1"/>
  <c r="U200" i="9" s="1"/>
  <c r="U201" i="9" s="1"/>
  <c r="U202" i="9" s="1"/>
  <c r="U203" i="9" s="1"/>
  <c r="U204" i="9" s="1"/>
  <c r="U205" i="9" s="1"/>
  <c r="U206" i="9" s="1"/>
  <c r="U207" i="9" s="1"/>
  <c r="U208" i="9" s="1"/>
  <c r="U209" i="9" s="1"/>
  <c r="U210" i="9" s="1"/>
  <c r="U211" i="9" s="1"/>
  <c r="U212" i="9" s="1"/>
  <c r="U213" i="9" s="1"/>
  <c r="U214" i="9" s="1"/>
  <c r="U215" i="9" s="1"/>
  <c r="U216" i="9" s="1"/>
  <c r="U217" i="9" s="1"/>
  <c r="U218" i="9" s="1"/>
  <c r="U219" i="9" s="1"/>
  <c r="U220" i="9" s="1"/>
  <c r="U221" i="9" s="1"/>
  <c r="U222" i="9" s="1"/>
  <c r="U223" i="9" s="1"/>
  <c r="U224" i="9" s="1"/>
  <c r="U225" i="9" s="1"/>
  <c r="U226" i="9" s="1"/>
  <c r="U227" i="9" s="1"/>
  <c r="U228" i="9" s="1"/>
  <c r="U229" i="9" s="1"/>
  <c r="U230" i="9" s="1"/>
  <c r="U231" i="9" s="1"/>
  <c r="U232" i="9" s="1"/>
  <c r="U233" i="9" s="1"/>
  <c r="U234" i="9" s="1"/>
  <c r="U235" i="9" s="1"/>
  <c r="U236" i="9" s="1"/>
  <c r="U237" i="9" s="1"/>
  <c r="U238" i="9" s="1"/>
  <c r="U239" i="9" s="1"/>
  <c r="U240" i="9" s="1"/>
  <c r="U241" i="9" s="1"/>
  <c r="U242" i="9" s="1"/>
  <c r="U243" i="9" s="1"/>
  <c r="U244" i="9" s="1"/>
  <c r="U245" i="9" s="1"/>
  <c r="U246" i="9" s="1"/>
  <c r="U247" i="9" s="1"/>
  <c r="U248" i="9" s="1"/>
  <c r="U249" i="9" s="1"/>
  <c r="U250" i="9" s="1"/>
  <c r="U251" i="9" s="1"/>
  <c r="U252" i="9" s="1"/>
  <c r="U253" i="9" s="1"/>
  <c r="U254" i="9" s="1"/>
  <c r="U255" i="9" s="1"/>
  <c r="U256" i="9" s="1"/>
  <c r="U257" i="9" s="1"/>
  <c r="U258" i="9" s="1"/>
  <c r="U259" i="9" s="1"/>
  <c r="U260" i="9" s="1"/>
  <c r="U261" i="9" s="1"/>
  <c r="U262" i="9" s="1"/>
  <c r="U263" i="9" s="1"/>
  <c r="U264" i="9" s="1"/>
  <c r="U265" i="9" s="1"/>
  <c r="U266" i="9" s="1"/>
  <c r="U267" i="9" s="1"/>
  <c r="U268" i="9" s="1"/>
  <c r="U269" i="9" s="1"/>
  <c r="U270" i="9" s="1"/>
  <c r="U271" i="9" s="1"/>
  <c r="U272" i="9" s="1"/>
  <c r="U273" i="9" s="1"/>
  <c r="U274" i="9" s="1"/>
  <c r="U275" i="9" s="1"/>
  <c r="U276" i="9" s="1"/>
  <c r="U277" i="9" s="1"/>
  <c r="U278" i="9" s="1"/>
  <c r="U279" i="9" s="1"/>
  <c r="U280" i="9" s="1"/>
  <c r="U281" i="9" s="1"/>
  <c r="U282" i="9" s="1"/>
  <c r="U283" i="9" s="1"/>
  <c r="U284" i="9" s="1"/>
  <c r="U285" i="9" s="1"/>
  <c r="U286" i="9" s="1"/>
  <c r="U287" i="9" s="1"/>
  <c r="U288" i="9" s="1"/>
  <c r="U289" i="9" s="1"/>
  <c r="U290" i="9" s="1"/>
  <c r="U291" i="9" s="1"/>
  <c r="U292" i="9" s="1"/>
  <c r="U293" i="9" s="1"/>
  <c r="U294" i="9" s="1"/>
  <c r="U295" i="9" s="1"/>
  <c r="U296" i="9" s="1"/>
  <c r="U297" i="9" s="1"/>
  <c r="U298" i="9" s="1"/>
  <c r="U299" i="9" s="1"/>
  <c r="U300" i="9" s="1"/>
  <c r="U301" i="9" s="1"/>
  <c r="U302" i="9" s="1"/>
  <c r="U303" i="9" s="1"/>
  <c r="U304" i="9" s="1"/>
  <c r="U305" i="9" s="1"/>
  <c r="U306" i="9" s="1"/>
  <c r="U307" i="9" s="1"/>
  <c r="U308" i="9" s="1"/>
  <c r="U309" i="9" s="1"/>
  <c r="U310" i="9" s="1"/>
  <c r="U311" i="9" s="1"/>
  <c r="U312" i="9" s="1"/>
  <c r="U313" i="9" s="1"/>
  <c r="U314" i="9" s="1"/>
  <c r="U315" i="9" s="1"/>
  <c r="U316" i="9" s="1"/>
  <c r="U317" i="9" s="1"/>
  <c r="U318" i="9" s="1"/>
  <c r="U319" i="9" s="1"/>
  <c r="U320" i="9" s="1"/>
  <c r="U321" i="9" s="1"/>
  <c r="U322" i="9" s="1"/>
  <c r="U323" i="9" s="1"/>
  <c r="U324" i="9" s="1"/>
  <c r="U325" i="9" s="1"/>
  <c r="U326" i="9" s="1"/>
  <c r="U327" i="9" s="1"/>
  <c r="U328" i="9" s="1"/>
  <c r="U329" i="9" s="1"/>
  <c r="U330" i="9" s="1"/>
  <c r="U331" i="9" s="1"/>
  <c r="U332" i="9" s="1"/>
  <c r="U333" i="9" s="1"/>
  <c r="U334" i="9" s="1"/>
  <c r="U335" i="9" s="1"/>
  <c r="U336" i="9" s="1"/>
  <c r="U337" i="9" s="1"/>
  <c r="U338" i="9" s="1"/>
  <c r="U339" i="9" s="1"/>
  <c r="U340" i="9" s="1"/>
  <c r="U341" i="9" s="1"/>
  <c r="U342" i="9" s="1"/>
  <c r="U343" i="9" s="1"/>
  <c r="U344" i="9" s="1"/>
  <c r="U345" i="9" s="1"/>
  <c r="U346" i="9" s="1"/>
  <c r="U347" i="9" s="1"/>
  <c r="U348" i="9" s="1"/>
  <c r="U349" i="9" s="1"/>
  <c r="U350" i="9" s="1"/>
  <c r="U351" i="9" s="1"/>
  <c r="U352" i="9" s="1"/>
  <c r="U353" i="9" s="1"/>
  <c r="U354" i="9" s="1"/>
  <c r="U355" i="9" s="1"/>
  <c r="U356" i="9" s="1"/>
  <c r="U357" i="9" s="1"/>
  <c r="U358" i="9" s="1"/>
  <c r="U359" i="9" s="1"/>
  <c r="U360" i="9" s="1"/>
  <c r="U361" i="9" s="1"/>
  <c r="U362" i="9" s="1"/>
  <c r="U363" i="9" s="1"/>
  <c r="U364" i="9" s="1"/>
  <c r="U365" i="9" s="1"/>
  <c r="U366" i="9" s="1"/>
  <c r="U367" i="9" s="1"/>
  <c r="U368" i="9" s="1"/>
  <c r="U369" i="9" s="1"/>
  <c r="U370" i="9" s="1"/>
  <c r="U371" i="9" s="1"/>
  <c r="U372" i="9" s="1"/>
  <c r="U373" i="9" s="1"/>
  <c r="U374" i="9" s="1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406" i="9" s="1"/>
  <c r="U407" i="9" s="1"/>
  <c r="U408" i="9" s="1"/>
  <c r="U409" i="9" s="1"/>
  <c r="U410" i="9" s="1"/>
  <c r="U411" i="9" s="1"/>
  <c r="U412" i="9" s="1"/>
  <c r="U413" i="9" s="1"/>
  <c r="U414" i="9" s="1"/>
  <c r="U415" i="9" s="1"/>
  <c r="U416" i="9" s="1"/>
  <c r="U417" i="9" s="1"/>
  <c r="U418" i="9" s="1"/>
  <c r="U419" i="9" s="1"/>
  <c r="U420" i="9" s="1"/>
  <c r="U421" i="9" s="1"/>
  <c r="U422" i="9" s="1"/>
  <c r="U423" i="9" s="1"/>
  <c r="U424" i="9" s="1"/>
  <c r="U425" i="9" s="1"/>
  <c r="U426" i="9" s="1"/>
  <c r="U427" i="9" s="1"/>
  <c r="U428" i="9" s="1"/>
  <c r="U429" i="9" s="1"/>
  <c r="U430" i="9" s="1"/>
  <c r="U431" i="9" s="1"/>
  <c r="U432" i="9" s="1"/>
  <c r="U433" i="9" s="1"/>
  <c r="U434" i="9" s="1"/>
  <c r="U435" i="9" s="1"/>
  <c r="U436" i="9" s="1"/>
  <c r="U437" i="9" s="1"/>
  <c r="U438" i="9" s="1"/>
  <c r="U439" i="9" s="1"/>
  <c r="U440" i="9" s="1"/>
  <c r="U441" i="9" s="1"/>
  <c r="U442" i="9" s="1"/>
  <c r="U443" i="9" s="1"/>
  <c r="U444" i="9" s="1"/>
  <c r="U445" i="9" s="1"/>
  <c r="U446" i="9" s="1"/>
  <c r="U447" i="9" s="1"/>
  <c r="U448" i="9" s="1"/>
  <c r="U449" i="9" s="1"/>
  <c r="U450" i="9" s="1"/>
  <c r="U451" i="9" s="1"/>
  <c r="U452" i="9" s="1"/>
  <c r="U453" i="9" s="1"/>
  <c r="U454" i="9" s="1"/>
  <c r="U455" i="9" s="1"/>
  <c r="U456" i="9" s="1"/>
  <c r="U457" i="9" s="1"/>
  <c r="U458" i="9" s="1"/>
  <c r="U459" i="9" s="1"/>
  <c r="U460" i="9" s="1"/>
  <c r="U461" i="9" s="1"/>
  <c r="U462" i="9" s="1"/>
  <c r="U463" i="9" s="1"/>
  <c r="U464" i="9" s="1"/>
  <c r="U465" i="9" s="1"/>
  <c r="U466" i="9" s="1"/>
  <c r="U467" i="9" s="1"/>
  <c r="U468" i="9" s="1"/>
  <c r="U469" i="9" s="1"/>
  <c r="U470" i="9" s="1"/>
  <c r="U471" i="9" s="1"/>
  <c r="U472" i="9" s="1"/>
  <c r="U473" i="9" s="1"/>
  <c r="U474" i="9" s="1"/>
  <c r="U475" i="9" s="1"/>
  <c r="U476" i="9" s="1"/>
  <c r="U477" i="9" s="1"/>
  <c r="U478" i="9" s="1"/>
  <c r="U479" i="9" s="1"/>
  <c r="U480" i="9" s="1"/>
  <c r="U481" i="9" s="1"/>
  <c r="U482" i="9" s="1"/>
  <c r="U483" i="9" s="1"/>
  <c r="U484" i="9" s="1"/>
  <c r="U485" i="9" s="1"/>
  <c r="U486" i="9" s="1"/>
  <c r="U487" i="9" s="1"/>
  <c r="U488" i="9" s="1"/>
  <c r="U489" i="9" s="1"/>
  <c r="U490" i="9" s="1"/>
  <c r="U491" i="9" s="1"/>
  <c r="U492" i="9" s="1"/>
  <c r="U493" i="9" s="1"/>
  <c r="U494" i="9" s="1"/>
  <c r="U495" i="9" s="1"/>
  <c r="U496" i="9" s="1"/>
  <c r="U497" i="9" s="1"/>
  <c r="U498" i="9" s="1"/>
  <c r="U499" i="9" s="1"/>
  <c r="U500" i="9" s="1"/>
  <c r="U501" i="9" s="1"/>
  <c r="U502" i="9" s="1"/>
  <c r="U503" i="9" s="1"/>
  <c r="U504" i="9" s="1"/>
  <c r="U505" i="9" s="1"/>
  <c r="U506" i="9" s="1"/>
  <c r="U507" i="9" s="1"/>
  <c r="U508" i="9" s="1"/>
  <c r="U509" i="9" s="1"/>
  <c r="U510" i="9" s="1"/>
  <c r="U511" i="9" s="1"/>
  <c r="U512" i="9" s="1"/>
  <c r="U513" i="9" s="1"/>
  <c r="U514" i="9" s="1"/>
  <c r="U515" i="9" s="1"/>
  <c r="U516" i="9" s="1"/>
  <c r="U517" i="9" s="1"/>
  <c r="U518" i="9" s="1"/>
  <c r="U519" i="9" s="1"/>
  <c r="U520" i="9" s="1"/>
  <c r="U521" i="9" s="1"/>
  <c r="U522" i="9" s="1"/>
  <c r="U523" i="9" s="1"/>
  <c r="U524" i="9" s="1"/>
  <c r="U525" i="9" s="1"/>
  <c r="U526" i="9" s="1"/>
  <c r="U527" i="9" s="1"/>
  <c r="U528" i="9" s="1"/>
  <c r="U529" i="9" s="1"/>
  <c r="U530" i="9" s="1"/>
  <c r="U531" i="9" s="1"/>
  <c r="U532" i="9" s="1"/>
  <c r="U533" i="9" s="1"/>
  <c r="U534" i="9" s="1"/>
  <c r="U535" i="9" s="1"/>
  <c r="U536" i="9" s="1"/>
  <c r="U537" i="9" s="1"/>
  <c r="U538" i="9" s="1"/>
  <c r="U539" i="9" s="1"/>
  <c r="U540" i="9" s="1"/>
  <c r="U541" i="9" s="1"/>
  <c r="U542" i="9" s="1"/>
  <c r="U543" i="9" s="1"/>
  <c r="U544" i="9" s="1"/>
  <c r="U545" i="9" s="1"/>
  <c r="U546" i="9" s="1"/>
  <c r="U547" i="9" s="1"/>
  <c r="U548" i="9" s="1"/>
  <c r="U549" i="9" s="1"/>
  <c r="U550" i="9" s="1"/>
  <c r="U551" i="9" s="1"/>
  <c r="U552" i="9" s="1"/>
  <c r="U553" i="9" s="1"/>
  <c r="U554" i="9" s="1"/>
  <c r="U555" i="9" s="1"/>
  <c r="U556" i="9" s="1"/>
  <c r="U557" i="9" s="1"/>
  <c r="U558" i="9" s="1"/>
  <c r="U559" i="9" s="1"/>
  <c r="U560" i="9" s="1"/>
  <c r="U561" i="9" s="1"/>
  <c r="U562" i="9" s="1"/>
  <c r="U563" i="9" s="1"/>
  <c r="U564" i="9" s="1"/>
  <c r="U565" i="9" s="1"/>
  <c r="U566" i="9" s="1"/>
  <c r="U567" i="9" s="1"/>
  <c r="U568" i="9" s="1"/>
  <c r="U569" i="9" s="1"/>
  <c r="U570" i="9" s="1"/>
  <c r="U571" i="9" s="1"/>
  <c r="U572" i="9" s="1"/>
  <c r="U573" i="9" s="1"/>
  <c r="U574" i="9" s="1"/>
  <c r="U575" i="9" s="1"/>
  <c r="U576" i="9" s="1"/>
  <c r="U577" i="9" s="1"/>
  <c r="U578" i="9" s="1"/>
  <c r="U579" i="9" s="1"/>
  <c r="U580" i="9" s="1"/>
  <c r="U581" i="9" s="1"/>
  <c r="U582" i="9" s="1"/>
  <c r="U583" i="9" s="1"/>
  <c r="U584" i="9" s="1"/>
  <c r="U585" i="9" s="1"/>
  <c r="U586" i="9" s="1"/>
  <c r="U587" i="9" s="1"/>
  <c r="U588" i="9" s="1"/>
  <c r="U589" i="9" s="1"/>
  <c r="U590" i="9" s="1"/>
  <c r="U591" i="9" s="1"/>
  <c r="U592" i="9" s="1"/>
  <c r="U593" i="9" s="1"/>
  <c r="U594" i="9" s="1"/>
  <c r="U595" i="9" s="1"/>
  <c r="U596" i="9" s="1"/>
  <c r="U597" i="9" s="1"/>
  <c r="U598" i="9" s="1"/>
  <c r="U599" i="9" s="1"/>
  <c r="U600" i="9" s="1"/>
  <c r="U601" i="9" s="1"/>
  <c r="U602" i="9" s="1"/>
  <c r="U603" i="9" s="1"/>
  <c r="U604" i="9" s="1"/>
  <c r="U605" i="9" s="1"/>
  <c r="U606" i="9" s="1"/>
  <c r="U607" i="9" s="1"/>
  <c r="U608" i="9" s="1"/>
  <c r="U609" i="9" s="1"/>
  <c r="U610" i="9" s="1"/>
  <c r="U611" i="9" s="1"/>
  <c r="U612" i="9" s="1"/>
  <c r="U613" i="9" s="1"/>
  <c r="U614" i="9" s="1"/>
  <c r="U615" i="9" s="1"/>
  <c r="U616" i="9" s="1"/>
  <c r="U617" i="9" s="1"/>
  <c r="U618" i="9" s="1"/>
  <c r="U619" i="9" s="1"/>
  <c r="U620" i="9" s="1"/>
  <c r="U621" i="9" s="1"/>
  <c r="U622" i="9" s="1"/>
  <c r="U623" i="9" s="1"/>
  <c r="U624" i="9" s="1"/>
  <c r="U625" i="9" s="1"/>
  <c r="U626" i="9" s="1"/>
  <c r="U627" i="9" s="1"/>
  <c r="U628" i="9" s="1"/>
  <c r="U629" i="9" s="1"/>
  <c r="U630" i="9" s="1"/>
  <c r="U631" i="9" s="1"/>
  <c r="U632" i="9" s="1"/>
  <c r="U633" i="9" s="1"/>
  <c r="U634" i="9" s="1"/>
  <c r="U635" i="9" s="1"/>
  <c r="U636" i="9" s="1"/>
  <c r="U637" i="9" s="1"/>
  <c r="U638" i="9" s="1"/>
  <c r="U639" i="9" s="1"/>
  <c r="U640" i="9" s="1"/>
  <c r="U641" i="9" s="1"/>
  <c r="U642" i="9" s="1"/>
  <c r="U643" i="9" s="1"/>
  <c r="U644" i="9" s="1"/>
  <c r="U645" i="9" s="1"/>
  <c r="U646" i="9" s="1"/>
  <c r="U647" i="9" s="1"/>
  <c r="U648" i="9" s="1"/>
  <c r="U649" i="9" s="1"/>
  <c r="U650" i="9" s="1"/>
  <c r="U651" i="9" s="1"/>
  <c r="U652" i="9" s="1"/>
  <c r="U653" i="9" s="1"/>
  <c r="U654" i="9" s="1"/>
  <c r="U655" i="9" s="1"/>
  <c r="U656" i="9" s="1"/>
  <c r="U657" i="9" s="1"/>
  <c r="U658" i="9" s="1"/>
  <c r="U659" i="9" s="1"/>
  <c r="U660" i="9" s="1"/>
  <c r="U661" i="9" s="1"/>
  <c r="U662" i="9" s="1"/>
  <c r="U663" i="9" s="1"/>
  <c r="U664" i="9" s="1"/>
  <c r="U665" i="9" s="1"/>
  <c r="U666" i="9" s="1"/>
  <c r="U667" i="9" s="1"/>
  <c r="U668" i="9" s="1"/>
  <c r="U669" i="9" s="1"/>
  <c r="U670" i="9" s="1"/>
  <c r="U671" i="9" s="1"/>
  <c r="U672" i="9" s="1"/>
  <c r="U673" i="9" s="1"/>
  <c r="U674" i="9" s="1"/>
  <c r="U675" i="9" s="1"/>
  <c r="U676" i="9" s="1"/>
  <c r="U677" i="9" s="1"/>
  <c r="U678" i="9" s="1"/>
  <c r="U679" i="9" s="1"/>
  <c r="U680" i="9" s="1"/>
  <c r="U681" i="9" s="1"/>
  <c r="U682" i="9" s="1"/>
  <c r="U683" i="9" s="1"/>
  <c r="U684" i="9" s="1"/>
  <c r="U685" i="9" s="1"/>
  <c r="U686" i="9" s="1"/>
  <c r="U687" i="9" s="1"/>
  <c r="U688" i="9" s="1"/>
  <c r="U689" i="9" s="1"/>
  <c r="U690" i="9" s="1"/>
  <c r="U691" i="9" s="1"/>
  <c r="U692" i="9" s="1"/>
  <c r="U693" i="9" s="1"/>
  <c r="U694" i="9" s="1"/>
  <c r="U695" i="9" s="1"/>
  <c r="U696" i="9" s="1"/>
  <c r="U697" i="9" s="1"/>
  <c r="U698" i="9" s="1"/>
  <c r="U699" i="9" s="1"/>
  <c r="U700" i="9" s="1"/>
  <c r="U701" i="9" s="1"/>
  <c r="U702" i="9" s="1"/>
  <c r="U703" i="9" s="1"/>
  <c r="U704" i="9" s="1"/>
  <c r="U705" i="9" s="1"/>
  <c r="U706" i="9" s="1"/>
  <c r="U707" i="9" s="1"/>
  <c r="U708" i="9" s="1"/>
  <c r="U709" i="9" s="1"/>
  <c r="U710" i="9" s="1"/>
  <c r="U711" i="9" s="1"/>
  <c r="U712" i="9" s="1"/>
  <c r="U713" i="9" s="1"/>
  <c r="U714" i="9" s="1"/>
  <c r="U715" i="9" s="1"/>
  <c r="U716" i="9" s="1"/>
  <c r="U717" i="9" s="1"/>
  <c r="U718" i="9" s="1"/>
  <c r="U719" i="9" s="1"/>
  <c r="U720" i="9" s="1"/>
  <c r="U721" i="9" s="1"/>
  <c r="U722" i="9" s="1"/>
  <c r="U723" i="9" s="1"/>
  <c r="U724" i="9" s="1"/>
  <c r="U725" i="9" s="1"/>
  <c r="U726" i="9" s="1"/>
  <c r="U727" i="9" s="1"/>
  <c r="U728" i="9" s="1"/>
  <c r="U729" i="9" s="1"/>
  <c r="U730" i="9" s="1"/>
  <c r="U731" i="9" s="1"/>
  <c r="U732" i="9" s="1"/>
  <c r="U733" i="9" s="1"/>
  <c r="U734" i="9" s="1"/>
  <c r="U735" i="9" s="1"/>
  <c r="U736" i="9" s="1"/>
  <c r="U737" i="9" s="1"/>
  <c r="U738" i="9" s="1"/>
  <c r="U739" i="9" s="1"/>
  <c r="U740" i="9" s="1"/>
  <c r="U741" i="9" s="1"/>
  <c r="U742" i="9" s="1"/>
  <c r="U743" i="9" s="1"/>
  <c r="U744" i="9" s="1"/>
  <c r="U745" i="9" s="1"/>
  <c r="U746" i="9" s="1"/>
  <c r="U747" i="9" s="1"/>
  <c r="U748" i="9" s="1"/>
  <c r="U749" i="9" s="1"/>
  <c r="U750" i="9" s="1"/>
  <c r="U751" i="9" s="1"/>
  <c r="U752" i="9" s="1"/>
  <c r="U753" i="9" s="1"/>
  <c r="U754" i="9" s="1"/>
  <c r="U755" i="9" s="1"/>
  <c r="U756" i="9" s="1"/>
  <c r="U757" i="9" s="1"/>
  <c r="U758" i="9" s="1"/>
  <c r="U759" i="9" s="1"/>
  <c r="U760" i="9" s="1"/>
  <c r="U761" i="9" s="1"/>
  <c r="U762" i="9" s="1"/>
  <c r="U763" i="9" s="1"/>
  <c r="U764" i="9" s="1"/>
  <c r="U765" i="9" s="1"/>
  <c r="U766" i="9" s="1"/>
  <c r="U767" i="9" s="1"/>
  <c r="U768" i="9" s="1"/>
  <c r="U769" i="9" s="1"/>
  <c r="U770" i="9" s="1"/>
  <c r="U771" i="9" s="1"/>
  <c r="U772" i="9" s="1"/>
  <c r="U773" i="9" s="1"/>
  <c r="U774" i="9" s="1"/>
  <c r="U775" i="9" s="1"/>
  <c r="U776" i="9" s="1"/>
  <c r="U777" i="9" s="1"/>
  <c r="U778" i="9" s="1"/>
  <c r="U779" i="9" s="1"/>
  <c r="U780" i="9" s="1"/>
  <c r="U781" i="9" s="1"/>
  <c r="U782" i="9" s="1"/>
  <c r="U783" i="9" s="1"/>
  <c r="U784" i="9" s="1"/>
  <c r="U785" i="9" s="1"/>
  <c r="U786" i="9" s="1"/>
  <c r="U787" i="9" s="1"/>
  <c r="U788" i="9" s="1"/>
  <c r="U789" i="9" s="1"/>
  <c r="U790" i="9" s="1"/>
  <c r="U791" i="9" s="1"/>
  <c r="U792" i="9" s="1"/>
  <c r="U793" i="9" s="1"/>
  <c r="U794" i="9" s="1"/>
  <c r="U795" i="9" s="1"/>
  <c r="U796" i="9" s="1"/>
  <c r="U797" i="9" s="1"/>
  <c r="U798" i="9" s="1"/>
  <c r="U799" i="9" s="1"/>
  <c r="U800" i="9" s="1"/>
  <c r="U801" i="9" s="1"/>
  <c r="U802" i="9" s="1"/>
  <c r="U803" i="9" s="1"/>
  <c r="U804" i="9" s="1"/>
  <c r="U805" i="9" s="1"/>
  <c r="U806" i="9" s="1"/>
  <c r="U807" i="9" s="1"/>
  <c r="U808" i="9" s="1"/>
  <c r="U809" i="9" s="1"/>
  <c r="U810" i="9" s="1"/>
  <c r="U811" i="9" s="1"/>
  <c r="U812" i="9" s="1"/>
  <c r="U813" i="9" s="1"/>
  <c r="U814" i="9" s="1"/>
  <c r="U815" i="9" s="1"/>
  <c r="U816" i="9" s="1"/>
  <c r="U817" i="9" s="1"/>
  <c r="U818" i="9" s="1"/>
  <c r="U819" i="9" s="1"/>
  <c r="U820" i="9" s="1"/>
  <c r="U821" i="9" s="1"/>
  <c r="U822" i="9" s="1"/>
  <c r="U823" i="9" s="1"/>
  <c r="U824" i="9" s="1"/>
  <c r="U825" i="9" s="1"/>
  <c r="U826" i="9" s="1"/>
  <c r="U827" i="9" s="1"/>
  <c r="U828" i="9" s="1"/>
  <c r="U829" i="9" s="1"/>
  <c r="U830" i="9" s="1"/>
  <c r="U831" i="9" s="1"/>
  <c r="U832" i="9" s="1"/>
  <c r="U833" i="9" s="1"/>
  <c r="U834" i="9" s="1"/>
  <c r="U835" i="9" s="1"/>
  <c r="P20" i="9" s="1"/>
  <c r="P18" i="9" l="1"/>
  <c r="P19" i="9"/>
  <c r="P21" i="9"/>
  <c r="P13" i="9"/>
  <c r="P14" i="9"/>
  <c r="P15" i="9"/>
  <c r="P16" i="9"/>
  <c r="P17" i="9"/>
  <c r="P4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<sst xmlns="http://schemas.openxmlformats.org/spreadsheetml/2006/main" count="1193" uniqueCount="302">
  <si>
    <t>SLg</t>
  </si>
  <si>
    <t>Qui Cách Tinh Chế</t>
  </si>
  <si>
    <t>Sơn lót</t>
  </si>
  <si>
    <t>Dán cạnh</t>
  </si>
  <si>
    <t>Mã H. thiện</t>
  </si>
  <si>
    <t>Hoàn thiện</t>
  </si>
  <si>
    <t>Số cạnh</t>
  </si>
  <si>
    <t xml:space="preserve">Chiều dài
chỉ cạnh
(m)  </t>
  </si>
  <si>
    <t xml:space="preserve">Diện tích (m2) </t>
  </si>
  <si>
    <t>Vật liệu:</t>
  </si>
  <si>
    <t>STT</t>
  </si>
  <si>
    <t>CĂN CỨ</t>
  </si>
  <si>
    <t>NGÀY CẬP NHẬT</t>
  </si>
  <si>
    <t>NGƯỜI THỰC HIỆN</t>
  </si>
  <si>
    <t>A</t>
  </si>
  <si>
    <t>B</t>
  </si>
  <si>
    <t>Chất liệu</t>
  </si>
  <si>
    <t xml:space="preserve">Mã vật liệu </t>
  </si>
  <si>
    <t>DÀY
(mm)</t>
  </si>
  <si>
    <t>RỘNG
(mm)</t>
  </si>
  <si>
    <t>DÀI
(mm)</t>
  </si>
  <si>
    <t>Mục số :</t>
  </si>
  <si>
    <t>Hoàn thiện :</t>
  </si>
  <si>
    <t>Mã sản phẩm :</t>
  </si>
  <si>
    <t>Đơn hàng :</t>
  </si>
  <si>
    <t>Dự án :</t>
  </si>
  <si>
    <t>Số lượng :</t>
  </si>
  <si>
    <t>Kích thước :</t>
  </si>
  <si>
    <t>Tên Sản phẩm:</t>
  </si>
  <si>
    <t>Số hiệu:</t>
  </si>
  <si>
    <t>Lần ban hành:</t>
  </si>
  <si>
    <t>Ngày hiệu lực:</t>
  </si>
  <si>
    <t>Hình ảnh sản phẩm</t>
  </si>
  <si>
    <t>NỘI DUNG THAY ĐỔI</t>
  </si>
  <si>
    <t>Kết cấu :</t>
  </si>
  <si>
    <t>Số mặt sơn theo mã</t>
  </si>
  <si>
    <t>Số mặt sơn lót</t>
  </si>
  <si>
    <t xml:space="preserve">Sơn
 H. Thiện </t>
  </si>
  <si>
    <t>Tổng cộng:</t>
  </si>
  <si>
    <t>C</t>
  </si>
  <si>
    <t>Tên chi tiết</t>
  </si>
  <si>
    <t>BM02-QT03-NM</t>
  </si>
  <si>
    <r>
      <rPr>
        <b/>
        <i/>
        <u/>
        <sz val="10"/>
        <color theme="1"/>
        <rFont val="Times New Roman"/>
        <family val="1"/>
      </rPr>
      <t>*Ghi chú:</t>
    </r>
    <r>
      <rPr>
        <i/>
        <sz val="10"/>
        <color theme="1"/>
        <rFont val="Times New Roman"/>
        <family val="1"/>
      </rPr>
      <t xml:space="preserve"> 1m1d0n tương ứng với: 1 mặt, 1 cạnh dài, 0 cạnh ngắn</t>
    </r>
  </si>
  <si>
    <t xml:space="preserve"> Đỗ Hồng Thái</t>
  </si>
  <si>
    <t>ĐVT</t>
  </si>
  <si>
    <t>Khối lượng tinh</t>
  </si>
  <si>
    <t>Kiểm duyệt</t>
  </si>
  <si>
    <t>Đinh Văn Chương</t>
  </si>
  <si>
    <t>`</t>
  </si>
  <si>
    <t>NHÓM CHỈ CẠNH</t>
  </si>
  <si>
    <t>VẬT TƯ PHỤ</t>
  </si>
  <si>
    <t>PHỤ KIỆN</t>
  </si>
  <si>
    <t>THẦU PHỤ GIA CÔNG</t>
  </si>
  <si>
    <t>LỌC IN</t>
  </si>
  <si>
    <t>Người Lập</t>
  </si>
  <si>
    <t>NCC</t>
  </si>
  <si>
    <t>VẬT TƯ FOAM SOFA</t>
  </si>
  <si>
    <t>BẢNG CHI TIẾT NGUYÊN LIỆU
PHẦN I - PHIẾU KIỂM SOÁT THÔNG TIN SẢN PHẨM</t>
  </si>
  <si>
    <t>Mã Vật Tư</t>
  </si>
  <si>
    <t>Tên Vật Tư</t>
  </si>
  <si>
    <t>BẢNG CHI TIẾT NGUYÊN LIỆU (BOM)
PHẦN II - BẢNG KÊ CHI TIẾT  - VẬT TƯ TẤM &amp; GỖ &amp; FOAM &amp; VẢI</t>
  </si>
  <si>
    <t>Trần Thị Thanh Xuân</t>
  </si>
  <si>
    <t>Nguyễn Văn Tâm</t>
  </si>
  <si>
    <t>Nguyễn Tân Hồng</t>
  </si>
  <si>
    <t>Đỗ Hồng Thái</t>
  </si>
  <si>
    <t>Nhập lại số lượng SP theo đơn hàng vào ô này</t>
  </si>
  <si>
    <t>Số lượng</t>
  </si>
  <si>
    <t>Ghi chú, hình ảnh</t>
  </si>
  <si>
    <t>Qui cách</t>
  </si>
  <si>
    <t>VẬT TƯ GỖ, VẬT TƯ TẤM</t>
  </si>
  <si>
    <t>VẬT TƯ VẢI, DA, SIMILI</t>
  </si>
  <si>
    <t>MÃ SP</t>
  </si>
  <si>
    <t>Mục số</t>
  </si>
  <si>
    <t>IN</t>
  </si>
  <si>
    <t>Md</t>
  </si>
  <si>
    <t>Sf</t>
  </si>
  <si>
    <t>SLSP</t>
  </si>
  <si>
    <t>Nhà máy</t>
  </si>
  <si>
    <t>Giao thầu phụ</t>
  </si>
  <si>
    <t>Giao công trình</t>
  </si>
  <si>
    <t>BẢNG CHI TIẾT NGUYÊN LIỆU (BOM)
PHẦN III - BẢNG TẬP HỢP HARDWARE + VẬT TƯ PHỤ + CƠ KHÍ + THẦU PHỤ</t>
  </si>
  <si>
    <t>Đặng Vũ Hiệp</t>
  </si>
  <si>
    <t>Ghi chú</t>
  </si>
  <si>
    <t>Hình ảnh</t>
  </si>
  <si>
    <t>Theo bản vẽ</t>
  </si>
  <si>
    <t>GIA CÔNG KIM LOẠI</t>
  </si>
  <si>
    <t>XƯỞNG KIM LOẠI</t>
  </si>
  <si>
    <t>VẬT TƯ KIM LOẠI</t>
  </si>
  <si>
    <t>Phạm Thanh Huy</t>
  </si>
  <si>
    <t>1 BỘ</t>
  </si>
  <si>
    <t>Module</t>
  </si>
  <si>
    <t>Tên Kiện Hàng</t>
  </si>
  <si>
    <t>Tên  
kiện Hàng</t>
  </si>
  <si>
    <t>Qui Cách bao bì</t>
  </si>
  <si>
    <t>Tiêu chuẩn bao bì</t>
  </si>
  <si>
    <t>Khối lượng</t>
  </si>
  <si>
    <t>STT Kiện</t>
  </si>
  <si>
    <t>BAO BÌ</t>
  </si>
  <si>
    <t>TỈ TRỌNG</t>
  </si>
  <si>
    <t>LỌC KIỆN</t>
  </si>
  <si>
    <t xml:space="preserve">DÀI </t>
  </si>
  <si>
    <t>RỘNG</t>
  </si>
  <si>
    <t>CAO</t>
  </si>
  <si>
    <t>V GẤP CẠNH TRÊN + DƯỚI</t>
  </si>
  <si>
    <t>Giấy carton V gấp cạnh - 3x35x25x2400 (mm)</t>
  </si>
  <si>
    <t>THANH</t>
  </si>
  <si>
    <t>V GẤP CẠNH ĐỨNG</t>
  </si>
  <si>
    <t>Màng nhựa PE</t>
  </si>
  <si>
    <t>Màng nhựa PE - 500 (mm)</t>
  </si>
  <si>
    <t>MD</t>
  </si>
  <si>
    <t>PE FOAM</t>
  </si>
  <si>
    <t>Màng EPE foam - 1x1200 (mm)</t>
  </si>
  <si>
    <t>Băng keo</t>
  </si>
  <si>
    <t>Băng keo trong 48 (mm)</t>
  </si>
  <si>
    <t>Xốp tấm nóc</t>
  </si>
  <si>
    <t>Xốp tấm - 2000x1000x20 (mm)</t>
  </si>
  <si>
    <t>Tấm1</t>
  </si>
  <si>
    <t>Xốp tấm hông</t>
  </si>
  <si>
    <t>Xốp tấm mặt trước, mặt sau</t>
  </si>
  <si>
    <t>V góc (Carton 5L) - ngoài</t>
  </si>
  <si>
    <t>Giấy carton 5 lớp - 1800x3100 (mm)</t>
  </si>
  <si>
    <t>Tấm2</t>
  </si>
  <si>
    <t>Xốp góc</t>
  </si>
  <si>
    <t>Xốp ke góc - 20x100x100x100 (mm)</t>
  </si>
  <si>
    <t>cái</t>
  </si>
  <si>
    <t>V góc (Carton 5L) trong</t>
  </si>
  <si>
    <t>V cạnh đứng - ngoài</t>
  </si>
  <si>
    <t xml:space="preserve">V xốp đứng </t>
  </si>
  <si>
    <t>V cạnh đứng - trong</t>
  </si>
  <si>
    <t>V cạnh ngang - ngoài</t>
  </si>
  <si>
    <t>V xốp ngang</t>
  </si>
  <si>
    <t>V cạnh ngang - trong</t>
  </si>
  <si>
    <t>V cạnh hông - ngoài</t>
  </si>
  <si>
    <t>V xốp hông</t>
  </si>
  <si>
    <t>V cạnh hông  - trong</t>
  </si>
  <si>
    <t>Thanh xốp đáy</t>
  </si>
  <si>
    <t>PLYWOOD/ VÁN MDF</t>
  </si>
  <si>
    <t>Plywood LVD E2 - 9x1220x2440 (mm)
MDF Trơn tận dụng</t>
  </si>
  <si>
    <t>TRÊN 30KG THÌ SỬ DỤNG.
DƯỚI 30KG THÌ KHÔNG SỬ DỤNG</t>
  </si>
  <si>
    <t>Tấm</t>
  </si>
  <si>
    <t>THÙNG BAO NGOÀI</t>
  </si>
  <si>
    <t>CÓ THỂ ĐẶT GIA CÔNG BÊN NGOÀI</t>
  </si>
  <si>
    <t>TẤM</t>
  </si>
  <si>
    <t>Gỗ đứng</t>
  </si>
  <si>
    <t>Plywood LVD E2 - 18x1220x2440 (mm) /
MDF Trơn tận dụng</t>
  </si>
  <si>
    <t>Gỗ ngang</t>
  </si>
  <si>
    <t>Gỗ đáy kiện</t>
  </si>
  <si>
    <t>ghép dày 60mm</t>
  </si>
  <si>
    <t>Dây đai</t>
  </si>
  <si>
    <t>Dây đai - 0.8x12 (mm) nhựa PET</t>
  </si>
  <si>
    <t>Gỗ ngang nóc + đáy</t>
  </si>
  <si>
    <t>Gỗ dọc hông</t>
  </si>
  <si>
    <t>Gỗ ngang trước sau</t>
  </si>
  <si>
    <t>KIỆN</t>
  </si>
  <si>
    <t>dày 4/4"</t>
  </si>
  <si>
    <t>dày 8/4"</t>
  </si>
  <si>
    <t>dày 5/4"</t>
  </si>
  <si>
    <t>dày 6/4"</t>
  </si>
  <si>
    <t>dày 35mm</t>
  </si>
  <si>
    <t>dày 40mm</t>
  </si>
  <si>
    <t>dày 45mm</t>
  </si>
  <si>
    <t>dày 55mm</t>
  </si>
  <si>
    <t>dày 19mm</t>
  </si>
  <si>
    <t>dày 30mm</t>
  </si>
  <si>
    <t>dày 22mm</t>
  </si>
  <si>
    <t>ASH</t>
  </si>
  <si>
    <t>OAK</t>
  </si>
  <si>
    <t>Thông</t>
  </si>
  <si>
    <t>Nguyên vật liệu</t>
  </si>
  <si>
    <t>Phân lớp</t>
  </si>
  <si>
    <t>V gấp cạnh trên, dưới</t>
  </si>
  <si>
    <t>V gấp cạnh đứng</t>
  </si>
  <si>
    <t>Cuộn</t>
  </si>
  <si>
    <t>Giấy Carton bao gói</t>
  </si>
  <si>
    <t>Giấy carton 2 lớp 1300mm (2.15md/1kg)</t>
  </si>
  <si>
    <t>Kg</t>
  </si>
  <si>
    <t>Màng Fim</t>
  </si>
  <si>
    <t>Băng keo CHC 50700 - khổ 1250 (mm) trắng trong</t>
  </si>
  <si>
    <t>Foam lót</t>
  </si>
  <si>
    <t>V góc nhựa dài</t>
  </si>
  <si>
    <t>Ke góc vuông - 1x23x100x100 (mm) nhựa màu đen</t>
  </si>
  <si>
    <t>Cái</t>
  </si>
  <si>
    <t>V góc nhựa ngắn</t>
  </si>
  <si>
    <t>Ke góc vuông - 2x40x60x60 (mm) nhựa màu đen</t>
  </si>
  <si>
    <t>PLDG</t>
  </si>
  <si>
    <t>DÀY</t>
  </si>
  <si>
    <t>DÀI</t>
  </si>
  <si>
    <t>SL</t>
  </si>
  <si>
    <t>áàảãạâấầẩẫậăắằẳẵặéèẻẽẹêếềểễệíìỉĩịóòỏõọôốồổỗộơớờởỡợúùủũụưứừửữựýỳỷỹỵđÁÀẢÃẠÂẤẦẨẪẬĂẮẰẲẴẶÉÈẺẼẸÊẾỀỂỄỆÍÌỈĨỊÓÒỎÕỌÔỐỒỔỖỘƠỚỜỞỠỢÚÙỦŨỤƯỨỪỬỮỰÝỲỶỸỊĐ</t>
  </si>
  <si>
    <t>aaaaaaaaaaaaaaaaaeeeeeeeeeeeiiiiiooooooooooooooooouuuuuuuuuuuyyyyydAAAAAAAAAAAAAAAAAEEEEEEEEEEEIIIIIOOOOOOOOOOOOOOOOOUUUUUUUUUUUYYYYYD</t>
  </si>
  <si>
    <t>2511_SYCAMORE_CT01_REV01</t>
  </si>
  <si>
    <t>SYCAMORE</t>
  </si>
  <si>
    <t>Cửa chính căn hộ , 1 cánh mở</t>
  </si>
  <si>
    <t>MDF LAMINATE</t>
  </si>
  <si>
    <t>KHUNG BAO ĐỨNG (KT TINH)</t>
  </si>
  <si>
    <t>Chỉ nhựa LK 4588A - 0.8x55 (mm)</t>
  </si>
  <si>
    <t>KHUNG BAO NGANG (KT TINH)</t>
  </si>
  <si>
    <t>3.1</t>
  </si>
  <si>
    <t>PANEL MẶT</t>
  </si>
  <si>
    <t>Chỉ nhựa LK 4588A - 0.8x23 (mm)</t>
  </si>
  <si>
    <t>3.2</t>
  </si>
  <si>
    <t>CHỐNG CHÁY</t>
  </si>
  <si>
    <t>Tấm chống cháy Eron/MgO (Magie Oxit) - 10x1220x2440 (mm)</t>
  </si>
  <si>
    <t>4.1</t>
  </si>
  <si>
    <t xml:space="preserve">MDF HMR E1 1M LAM LK 4588A - 15x1220x2440 (mm) </t>
  </si>
  <si>
    <t>4.2</t>
  </si>
  <si>
    <t>Chỉ nhựa LK 4588A - 0.8x28 (mm)</t>
  </si>
  <si>
    <t>5.1</t>
  </si>
  <si>
    <t>TỔ HỢP</t>
  </si>
  <si>
    <t>MDF HMR E1 1M LAM LK 4588A - 3x1220x2440 (mm) + Tấm chống cháy Eron/MgO (Magie Oxit) - 10x1220x2440 (mm)</t>
  </si>
  <si>
    <t>5.2</t>
  </si>
  <si>
    <t>CHỈ KÈ</t>
  </si>
  <si>
    <t xml:space="preserve">MDF HMR E1 - 9x1220x2440 (mm) </t>
  </si>
  <si>
    <t>6.1</t>
  </si>
  <si>
    <t>6.2</t>
  </si>
  <si>
    <t>7.1</t>
  </si>
  <si>
    <t>7.2</t>
  </si>
  <si>
    <t>8.1</t>
  </si>
  <si>
    <t>8.2</t>
  </si>
  <si>
    <t>Chỉ nhựa LK 4588A - 0.8x56 (mm)</t>
  </si>
  <si>
    <t>9.1</t>
  </si>
  <si>
    <t xml:space="preserve">MDF HMR E1 1M LAM LK 4588A - 3x1220x2440 (mm) </t>
  </si>
  <si>
    <t>10.2</t>
  </si>
  <si>
    <t>10.3</t>
  </si>
  <si>
    <t>XƯƠNG ĐỨNG</t>
  </si>
  <si>
    <t>Ván gỗ ghép tràm CC - 25x1220x2440 (mm)</t>
  </si>
  <si>
    <t>10.4</t>
  </si>
  <si>
    <t>XƯƠNG NGANG</t>
  </si>
  <si>
    <t>10.5</t>
  </si>
  <si>
    <t xml:space="preserve">MDF HMR E1 - 25x1220x2440 (mm) </t>
  </si>
  <si>
    <t>10.6</t>
  </si>
  <si>
    <t>10.7</t>
  </si>
  <si>
    <t>ROCKWOOL</t>
  </si>
  <si>
    <t>Rockwool 120 kg/m3 - 25x600x1200 (mm)</t>
  </si>
  <si>
    <t>10.8</t>
  </si>
  <si>
    <t>2d0r</t>
  </si>
  <si>
    <t>1m0d2r</t>
  </si>
  <si>
    <t>Cắt ra từ tổ hợp dày 48mm ghép từ tấm MDF 1M LAM 4mm + TẤM MGO 10mm + TRÀM GHÉP 23mm + TẤM MGO 5mm + TẤM MDF 6mm - 48x1220x2440 (mm)</t>
  </si>
  <si>
    <t>Cắt ra từ tổ hợp dày 14mm ghép từ tấm MDF 1M LAM 4mm + TẤM MGO 10mm - 14x1220x2440 (mm)</t>
  </si>
  <si>
    <t>1m0d0r</t>
  </si>
  <si>
    <t>2d2r</t>
  </si>
  <si>
    <t>BẮN VÀO DÁN CẠNH</t>
  </si>
  <si>
    <t>TIÊU CHUẨN DỰ ÁN</t>
  </si>
  <si>
    <t>HOÀN THIỆN ĐI MODULE</t>
  </si>
  <si>
    <t>NVL22-000032</t>
  </si>
  <si>
    <t>Keo Techbond L560S</t>
  </si>
  <si>
    <t xml:space="preserve"> Thay thế Keo Kony Bond CH42 
Thay thế Keo Kony Bond CU3 
Tỷ lệ xúc tác = 15% Keo
Techbond ( Keo: 6)</t>
  </si>
  <si>
    <t>Chỉ dùng để ép cửa chống cháy</t>
  </si>
  <si>
    <t>NVL22-000033</t>
  </si>
  <si>
    <t>Xúc tác Techbond LAP</t>
  </si>
  <si>
    <t xml:space="preserve"> Thay thế Keo Kony Bond CU-H 
Tỷ lệ xúc tác = 15% Keo
Techbond ( Xúc tác: 1)</t>
  </si>
  <si>
    <t>Đinh U1013J - 5000 cây/hộp</t>
  </si>
  <si>
    <t>Hộp</t>
  </si>
  <si>
    <t>5000 Cây/Hộp</t>
  </si>
  <si>
    <t>Đinh F30 - 5000 cây/hộp</t>
  </si>
  <si>
    <t>Chốt gỗ - Ø10x40 (mm)</t>
  </si>
  <si>
    <t>Con</t>
  </si>
  <si>
    <t>Ø10x40</t>
  </si>
  <si>
    <t>Gỗ tự nhiên</t>
  </si>
  <si>
    <t>Keo Appolo foam chống cháy theo mẫu</t>
  </si>
  <si>
    <t>Chai</t>
  </si>
  <si>
    <t>NVL7-000405</t>
  </si>
  <si>
    <t>Vis gỗ đầu chìm - M4x30 (mm) thép xi trắng</t>
  </si>
  <si>
    <t>M4x30x8</t>
  </si>
  <si>
    <t>Thép xi trắng</t>
  </si>
  <si>
    <t>Vis gỗ LGC đầu dẹt - M6x70 (mm) thép xi trắng</t>
  </si>
  <si>
    <t>M6x70x13</t>
  </si>
  <si>
    <t>Tắc kê nhựa + Vis 10x100 (mm)</t>
  </si>
  <si>
    <t>Bộ</t>
  </si>
  <si>
    <t>M10x100</t>
  </si>
  <si>
    <t>Keo Silicon chống cháy Hilti CP606 - 580ml/chai màu xám</t>
  </si>
  <si>
    <t>580ml/chai</t>
  </si>
  <si>
    <t>màu xám</t>
  </si>
  <si>
    <t>Hilti</t>
  </si>
  <si>
    <t>Đinh F20 - 5000 cây/hộp</t>
  </si>
  <si>
    <t>NVL10-000062</t>
  </si>
  <si>
    <t>NVL10-000048</t>
  </si>
  <si>
    <t>NVL7-000279</t>
  </si>
  <si>
    <t>NVL7-000475</t>
  </si>
  <si>
    <t>NVL7-000307</t>
  </si>
  <si>
    <t>Nhựa xám + 7 màu</t>
  </si>
  <si>
    <t>NVL22-000168</t>
  </si>
  <si>
    <t>NVL10-000046</t>
  </si>
  <si>
    <t>Keo dán Adino PUR 5890.0 - ( 220Kg/phuy)</t>
  </si>
  <si>
    <t>NVL22-000280</t>
  </si>
  <si>
    <t>100-120g/m2</t>
  </si>
  <si>
    <t>Adino</t>
  </si>
  <si>
    <t>Đổi Keo Cosmo 125.130 sang Keo dán Adino PUR 5890.0 - ( 220Kg/phuy) đơn hàng 2533_LUMI_CT05 theo yc P.KH</t>
  </si>
  <si>
    <t>Bộ phụ kiện cửa (theo thực tế)</t>
  </si>
  <si>
    <t>Trọn bộ phụ kiện cửa, theo danh sách thực tế công trình gửi về</t>
  </si>
  <si>
    <t>GIOĂNG CHỐNG ỒN : ASW32TR/BRN</t>
  </si>
  <si>
    <t>CÔNG TRÌNH CẤP</t>
  </si>
  <si>
    <t>GIOĂNG CHỐNG CHÁY : RP20040Q0015141</t>
  </si>
  <si>
    <t>REBATE-DUNG-KT-TINH</t>
  </si>
  <si>
    <t>REBATE-NGANG-KT-TINH</t>
  </si>
  <si>
    <t>CCHUP-DUNG1-KT-TINH</t>
  </si>
  <si>
    <t>CCHUP-DUNG2-KT-TINH</t>
  </si>
  <si>
    <t>CCHUPNGANG1-KT-TINH</t>
  </si>
  <si>
    <t>CCHUPNGANG2-KT-TINH</t>
  </si>
  <si>
    <t>CANH</t>
  </si>
  <si>
    <t>DC113B(EI60)</t>
  </si>
  <si>
    <t xml:space="preserve">MDF HMR E1 1M LAM LK 4588A - 3x1220x2440 (mm) + Tấm chống cháy Eron/MgO (Magie Oxit) - 10x1220x2440 (mm) + Ván gỗ ghép tràm CC - 23x1220x2440 (mm) + Tấm chống cháy Eron/MgO (Magie Oxit) - 5x1220x2440 (mm) + MDF HMR E1 - 6x1220x2440 (mm)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</si>
</sst>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m/d/yy;@"/>
    <numFmt numFmtId="166" formatCode="0.0000"/>
    <numFmt numFmtId="167" formatCode="0.000"/>
    <numFmt numFmtId="168" formatCode="0.0"/>
  </numFmts>
  <fonts count="60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3"/>
      <name val="Times New Roman"/>
      <family val="1"/>
    </font>
    <font>
      <sz val="12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sz val="22"/>
      <color theme="1"/>
      <name val="Times New Roman"/>
      <family val="1"/>
    </font>
    <font>
      <b/>
      <sz val="10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.5"/>
      <color theme="1"/>
      <name val="Times New Roman"/>
      <family val="1"/>
    </font>
    <font>
      <sz val="11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i/>
      <sz val="8"/>
      <color theme="1"/>
      <name val="Times New Roman"/>
      <family val="1"/>
    </font>
    <font>
      <b/>
      <sz val="16"/>
      <color theme="1"/>
      <name val="Times New Roman"/>
      <family val="1"/>
    </font>
    <font>
      <b/>
      <sz val="9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u/>
      <sz val="10"/>
      <color theme="1"/>
      <name val="Times New Roman"/>
      <family val="1"/>
    </font>
    <font>
      <sz val="8"/>
      <name val="Calibri"/>
      <family val="2"/>
      <scheme val="minor"/>
    </font>
    <font>
      <sz val="11"/>
      <name val="VNI-Helve-Condense"/>
    </font>
    <font>
      <b/>
      <i/>
      <sz val="9"/>
      <color indexed="8"/>
      <name val="Times New Roman"/>
      <family val="1"/>
    </font>
    <font>
      <b/>
      <i/>
      <sz val="8"/>
      <color indexed="8"/>
      <name val="Times New Roman"/>
      <family val="1"/>
    </font>
    <font>
      <b/>
      <i/>
      <sz val="9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9"/>
      <color theme="0"/>
      <name val="Times New Roman"/>
      <family val="1"/>
    </font>
    <font>
      <sz val="9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i/>
      <sz val="14"/>
      <color theme="1"/>
      <name val="Times New Roman"/>
      <family val="1"/>
    </font>
    <font>
      <b/>
      <i/>
      <sz val="14"/>
      <color rgb="FF0000CC"/>
      <name val="Times New Roman"/>
      <family val="1"/>
    </font>
    <font>
      <i/>
      <sz val="9"/>
      <color rgb="FF0000CC"/>
      <name val="Times New Roman"/>
      <family val="1"/>
    </font>
    <font>
      <b/>
      <i/>
      <sz val="22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9"/>
      <name val="Times New Roman"/>
      <family val="1"/>
    </font>
    <font>
      <b/>
      <sz val="14"/>
      <color rgb="FFFF0000"/>
      <name val="Times New Roman"/>
      <family val="1"/>
    </font>
    <font>
      <i/>
      <sz val="13"/>
      <color theme="1"/>
      <name val="Times New Roman"/>
      <family val="1"/>
    </font>
    <font>
      <b/>
      <sz val="13"/>
      <name val="Times New Roman"/>
      <family val="1"/>
    </font>
    <font>
      <sz val="13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</font>
    <font>
      <b/>
      <sz val="20"/>
      <color rgb="FFFF0000"/>
      <name val="Times New Roman"/>
      <family val="1"/>
      <charset val="163"/>
    </font>
    <font>
      <b/>
      <i/>
      <sz val="20"/>
      <color rgb="FFFF0000"/>
      <name val="Times New Roman"/>
      <family val="1"/>
    </font>
    <font>
      <b/>
      <sz val="11"/>
      <color rgb="FFFF0000"/>
      <name val="Calibri"/>
      <family val="2"/>
      <scheme val="minor"/>
    </font>
    <font>
      <sz val="13"/>
      <color rgb="FFFF0000"/>
      <name val="Times New Roman"/>
      <family val="1"/>
    </font>
    <font>
      <b/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7"/>
      <color theme="1"/>
      <name val="Times New Roman"/>
      <family val="1"/>
    </font>
    <font>
      <sz val="14"/>
      <color theme="1"/>
      <name val="Times New Roman"/>
      <family val="1"/>
    </font>
    <font>
      <i/>
      <sz val="8"/>
      <color theme="0"/>
      <name val="Times New Roman"/>
      <family val="1"/>
    </font>
    <font>
      <sz val="11"/>
      <color rgb="FF0070C0"/>
      <name val="Times New Roman"/>
      <family val="1"/>
    </font>
    <font>
      <sz val="20"/>
      <color rgb="FFFF0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2">
    <xf numFmtId="0" fontId="0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3" fillId="0" borderId="0"/>
    <xf numFmtId="0" fontId="3" fillId="0" borderId="0"/>
    <xf numFmtId="0" fontId="25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428">
    <xf numFmtId="0" fontId="0" fillId="0" borderId="0" xfId="0"/>
    <xf numFmtId="0" fontId="11" fillId="0" borderId="1" xfId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8" fillId="0" borderId="0" xfId="3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22" fillId="0" borderId="0" xfId="0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/>
      <protection locked="0"/>
    </xf>
    <xf numFmtId="1" fontId="18" fillId="0" borderId="0" xfId="2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32" fillId="0" borderId="0" xfId="11" applyAlignment="1" applyProtection="1">
      <alignment vertic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8" fillId="0" borderId="4" xfId="0" applyFont="1" applyBorder="1" applyAlignment="1" applyProtection="1">
      <alignment vertical="center"/>
      <protection locked="0"/>
    </xf>
    <xf numFmtId="14" fontId="8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4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top" wrapText="1"/>
      <protection locked="0"/>
    </xf>
    <xf numFmtId="0" fontId="16" fillId="0" borderId="0" xfId="4" applyFont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top" wrapText="1"/>
      <protection locked="0"/>
    </xf>
    <xf numFmtId="0" fontId="10" fillId="0" borderId="18" xfId="0" applyFont="1" applyBorder="1" applyAlignment="1">
      <alignment horizontal="left" vertical="center"/>
    </xf>
    <xf numFmtId="0" fontId="1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/>
    </xf>
    <xf numFmtId="14" fontId="17" fillId="0" borderId="0" xfId="0" applyNumberFormat="1" applyFont="1" applyAlignment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/>
    </xf>
    <xf numFmtId="165" fontId="16" fillId="0" borderId="0" xfId="4" applyNumberFormat="1" applyFont="1" applyBorder="1" applyAlignment="1" applyProtection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 wrapText="1"/>
    </xf>
    <xf numFmtId="0" fontId="21" fillId="0" borderId="1" xfId="0" applyFont="1" applyBorder="1" applyAlignment="1" applyProtection="1">
      <alignment vertical="center"/>
      <protection locked="0"/>
    </xf>
    <xf numFmtId="0" fontId="12" fillId="0" borderId="0" xfId="0" applyFont="1" applyAlignment="1">
      <alignment horizontal="center"/>
    </xf>
    <xf numFmtId="1" fontId="16" fillId="0" borderId="0" xfId="2" applyNumberFormat="1" applyFont="1" applyFill="1" applyBorder="1" applyAlignment="1" applyProtection="1">
      <alignment horizontal="center" vertical="center"/>
    </xf>
    <xf numFmtId="1" fontId="18" fillId="0" borderId="0" xfId="2" applyNumberFormat="1" applyFont="1" applyFill="1" applyBorder="1" applyAlignment="1" applyProtection="1">
      <alignment horizontal="center" vertical="center"/>
      <protection locked="0"/>
    </xf>
    <xf numFmtId="1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1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0" borderId="0" xfId="4" applyFont="1" applyFill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Fill="1" applyBorder="1" applyAlignment="1" applyProtection="1">
      <alignment vertical="center"/>
      <protection locked="0"/>
    </xf>
    <xf numFmtId="0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8" fillId="0" borderId="0" xfId="2" applyNumberFormat="1" applyFont="1" applyFill="1" applyBorder="1" applyAlignment="1" applyProtection="1">
      <alignment horizontal="center" vertical="center"/>
      <protection locked="0"/>
    </xf>
    <xf numFmtId="0" fontId="9" fillId="0" borderId="12" xfId="0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left"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  <protection locked="0"/>
    </xf>
    <xf numFmtId="0" fontId="29" fillId="0" borderId="8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6" fillId="4" borderId="30" xfId="0" applyFont="1" applyFill="1" applyBorder="1" applyAlignment="1" applyProtection="1">
      <alignment horizontal="center" vertical="center"/>
      <protection locked="0"/>
    </xf>
    <xf numFmtId="0" fontId="37" fillId="2" borderId="1" xfId="0" applyFont="1" applyFill="1" applyBorder="1" applyAlignment="1" applyProtection="1">
      <alignment horizontal="center" vertical="center" wrapText="1"/>
      <protection locked="0"/>
    </xf>
    <xf numFmtId="0" fontId="29" fillId="0" borderId="19" xfId="0" applyFont="1" applyBorder="1" applyAlignment="1" applyProtection="1">
      <alignment horizontal="left" vertical="center"/>
      <protection locked="0"/>
    </xf>
    <xf numFmtId="0" fontId="38" fillId="0" borderId="8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horizontal="left" vertical="center"/>
      <protection locked="0"/>
    </xf>
    <xf numFmtId="0" fontId="39" fillId="0" borderId="8" xfId="0" applyFont="1" applyBorder="1" applyAlignment="1">
      <alignment horizontal="left" vertical="center" wrapText="1"/>
    </xf>
    <xf numFmtId="0" fontId="39" fillId="0" borderId="8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5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1" fontId="18" fillId="0" borderId="0" xfId="2" applyNumberFormat="1" applyFont="1" applyFill="1" applyBorder="1" applyAlignment="1" applyProtection="1">
      <alignment horizontal="center" vertical="center"/>
    </xf>
    <xf numFmtId="165" fontId="16" fillId="0" borderId="0" xfId="4" applyNumberFormat="1" applyFont="1" applyFill="1" applyBorder="1" applyAlignment="1" applyProtection="1">
      <alignment vertical="center"/>
    </xf>
    <xf numFmtId="0" fontId="18" fillId="0" borderId="0" xfId="2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19" fillId="0" borderId="19" xfId="0" applyFont="1" applyBorder="1" applyAlignment="1" applyProtection="1">
      <alignment vertical="center"/>
      <protection locked="0"/>
    </xf>
    <xf numFmtId="0" fontId="19" fillId="0" borderId="19" xfId="0" applyFont="1" applyBorder="1" applyAlignment="1" applyProtection="1">
      <alignment horizontal="center" vertical="center"/>
      <protection locked="0"/>
    </xf>
    <xf numFmtId="0" fontId="19" fillId="0" borderId="8" xfId="0" applyFont="1" applyBorder="1" applyAlignment="1" applyProtection="1">
      <alignment vertical="center"/>
      <protection locked="0"/>
    </xf>
    <xf numFmtId="0" fontId="19" fillId="0" borderId="8" xfId="0" applyFont="1" applyBorder="1" applyAlignment="1" applyProtection="1">
      <alignment horizontal="center" vertical="center"/>
      <protection locked="0"/>
    </xf>
    <xf numFmtId="0" fontId="19" fillId="0" borderId="22" xfId="0" applyFont="1" applyBorder="1" applyAlignment="1" applyProtection="1">
      <alignment vertic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4" fillId="2" borderId="40" xfId="0" applyFont="1" applyFill="1" applyBorder="1" applyAlignment="1" applyProtection="1">
      <alignment horizontal="center" vertical="center"/>
      <protection locked="0"/>
    </xf>
    <xf numFmtId="0" fontId="8" fillId="0" borderId="37" xfId="0" applyFont="1" applyBorder="1" applyAlignment="1" applyProtection="1">
      <alignment vertical="center"/>
      <protection locked="0"/>
    </xf>
    <xf numFmtId="0" fontId="19" fillId="0" borderId="63" xfId="0" applyFont="1" applyBorder="1" applyAlignment="1" applyProtection="1">
      <alignment horizontal="center" vertical="center"/>
      <protection locked="0"/>
    </xf>
    <xf numFmtId="0" fontId="19" fillId="0" borderId="65" xfId="0" applyFont="1" applyBorder="1" applyAlignment="1" applyProtection="1">
      <alignment horizontal="center" vertical="center"/>
      <protection locked="0"/>
    </xf>
    <xf numFmtId="0" fontId="19" fillId="0" borderId="67" xfId="0" applyFont="1" applyBorder="1" applyAlignment="1" applyProtection="1">
      <alignment horizontal="center" vertical="center"/>
      <protection locked="0"/>
    </xf>
    <xf numFmtId="0" fontId="37" fillId="5" borderId="1" xfId="0" applyFont="1" applyFill="1" applyBorder="1" applyAlignment="1" applyProtection="1">
      <alignment horizontal="center" vertical="center" wrapText="1"/>
      <protection locked="0"/>
    </xf>
    <xf numFmtId="0" fontId="37" fillId="6" borderId="1" xfId="0" applyFont="1" applyFill="1" applyBorder="1" applyAlignment="1" applyProtection="1">
      <alignment horizontal="center" vertical="center" wrapText="1"/>
      <protection locked="0"/>
    </xf>
    <xf numFmtId="0" fontId="37" fillId="7" borderId="1" xfId="0" applyFont="1" applyFill="1" applyBorder="1" applyAlignment="1" applyProtection="1">
      <alignment horizontal="center" vertical="center" wrapText="1"/>
      <protection locked="0"/>
    </xf>
    <xf numFmtId="0" fontId="21" fillId="0" borderId="37" xfId="0" applyFont="1" applyBorder="1" applyAlignment="1" applyProtection="1">
      <alignment vertical="center"/>
      <protection locked="0"/>
    </xf>
    <xf numFmtId="0" fontId="9" fillId="0" borderId="63" xfId="0" applyFont="1" applyBorder="1" applyAlignment="1" applyProtection="1">
      <alignment vertical="center"/>
      <protection locked="0"/>
    </xf>
    <xf numFmtId="0" fontId="9" fillId="0" borderId="65" xfId="0" applyFont="1" applyBorder="1" applyAlignment="1" applyProtection="1">
      <alignment vertical="center"/>
      <protection locked="0"/>
    </xf>
    <xf numFmtId="0" fontId="9" fillId="0" borderId="67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0" fontId="8" fillId="0" borderId="73" xfId="0" applyFont="1" applyBorder="1" applyAlignment="1" applyProtection="1">
      <alignment horizontal="left" vertical="center"/>
      <protection locked="0"/>
    </xf>
    <xf numFmtId="0" fontId="8" fillId="0" borderId="74" xfId="0" applyFont="1" applyBorder="1" applyAlignment="1" applyProtection="1">
      <alignment horizontal="left" vertical="center"/>
      <protection locked="0"/>
    </xf>
    <xf numFmtId="0" fontId="8" fillId="0" borderId="75" xfId="0" applyFont="1" applyBorder="1" applyAlignment="1" applyProtection="1">
      <alignment horizontal="left" vertical="center"/>
      <protection locked="0"/>
    </xf>
    <xf numFmtId="0" fontId="43" fillId="0" borderId="0" xfId="0" applyFont="1" applyAlignment="1">
      <alignment vertical="center"/>
    </xf>
    <xf numFmtId="0" fontId="44" fillId="3" borderId="39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horizontal="left" vertical="center"/>
    </xf>
    <xf numFmtId="0" fontId="45" fillId="3" borderId="1" xfId="0" applyFont="1" applyFill="1" applyBorder="1" applyAlignment="1">
      <alignment horizontal="center" vertical="center" wrapText="1"/>
    </xf>
    <xf numFmtId="0" fontId="46" fillId="3" borderId="1" xfId="0" applyFont="1" applyFill="1" applyBorder="1" applyAlignment="1">
      <alignment horizontal="left" vertical="center" wrapText="1"/>
    </xf>
    <xf numFmtId="0" fontId="45" fillId="3" borderId="7" xfId="0" applyFont="1" applyFill="1" applyBorder="1" applyAlignment="1">
      <alignment horizontal="center" vertical="center" wrapText="1"/>
    </xf>
    <xf numFmtId="0" fontId="45" fillId="3" borderId="42" xfId="0" applyFont="1" applyFill="1" applyBorder="1" applyAlignment="1">
      <alignment horizontal="left" vertical="center" wrapText="1"/>
    </xf>
    <xf numFmtId="0" fontId="46" fillId="3" borderId="41" xfId="0" applyFont="1" applyFill="1" applyBorder="1" applyAlignment="1">
      <alignment horizontal="left" vertical="center" wrapText="1"/>
    </xf>
    <xf numFmtId="0" fontId="46" fillId="3" borderId="1" xfId="0" applyFont="1" applyFill="1" applyBorder="1" applyAlignment="1">
      <alignment horizontal="center" vertical="center" wrapText="1"/>
    </xf>
    <xf numFmtId="166" fontId="45" fillId="3" borderId="5" xfId="0" applyNumberFormat="1" applyFont="1" applyFill="1" applyBorder="1" applyAlignment="1">
      <alignment horizontal="center" vertical="center" wrapText="1"/>
    </xf>
    <xf numFmtId="167" fontId="45" fillId="3" borderId="5" xfId="0" applyNumberFormat="1" applyFont="1" applyFill="1" applyBorder="1" applyAlignment="1">
      <alignment horizontal="center" vertical="center" wrapText="1"/>
    </xf>
    <xf numFmtId="167" fontId="45" fillId="3" borderId="42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center"/>
    </xf>
    <xf numFmtId="0" fontId="4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vertical="center"/>
      <protection locked="0"/>
    </xf>
    <xf numFmtId="0" fontId="46" fillId="0" borderId="41" xfId="0" quotePrefix="1" applyFont="1" applyBorder="1" applyAlignment="1" applyProtection="1">
      <alignment horizontal="center" vertical="center" wrapText="1"/>
      <protection locked="0"/>
    </xf>
    <xf numFmtId="0" fontId="46" fillId="0" borderId="1" xfId="0" applyFont="1" applyBorder="1" applyAlignment="1" applyProtection="1">
      <alignment horizontal="left" vertical="center" wrapText="1"/>
      <protection locked="0"/>
    </xf>
    <xf numFmtId="0" fontId="46" fillId="0" borderId="1" xfId="0" applyFont="1" applyBorder="1" applyAlignment="1" applyProtection="1">
      <alignment horizontal="center" vertical="center" wrapText="1"/>
      <protection locked="0"/>
    </xf>
    <xf numFmtId="0" fontId="46" fillId="0" borderId="7" xfId="0" applyFont="1" applyBorder="1" applyAlignment="1" applyProtection="1">
      <alignment horizontal="center" vertical="center" wrapText="1"/>
      <protection locked="0"/>
    </xf>
    <xf numFmtId="0" fontId="46" fillId="0" borderId="42" xfId="0" applyFont="1" applyBorder="1" applyAlignment="1" applyProtection="1">
      <alignment horizontal="left" vertical="center" wrapText="1"/>
      <protection locked="0"/>
    </xf>
    <xf numFmtId="0" fontId="46" fillId="0" borderId="41" xfId="0" applyFont="1" applyBorder="1" applyAlignment="1">
      <alignment horizontal="left" vertical="center" wrapText="1"/>
    </xf>
    <xf numFmtId="0" fontId="46" fillId="0" borderId="1" xfId="0" applyFont="1" applyBorder="1" applyAlignment="1">
      <alignment horizontal="center" vertical="center" wrapText="1"/>
    </xf>
    <xf numFmtId="166" fontId="45" fillId="0" borderId="5" xfId="0" applyNumberFormat="1" applyFont="1" applyBorder="1" applyAlignment="1">
      <alignment horizontal="center" vertical="center" wrapText="1"/>
    </xf>
    <xf numFmtId="167" fontId="46" fillId="0" borderId="5" xfId="0" applyNumberFormat="1" applyFont="1" applyBorder="1" applyAlignment="1">
      <alignment horizontal="center" vertical="center" wrapText="1"/>
    </xf>
    <xf numFmtId="167" fontId="46" fillId="0" borderId="42" xfId="0" applyNumberFormat="1" applyFont="1" applyBorder="1" applyAlignment="1">
      <alignment horizontal="center" vertical="center" wrapText="1"/>
    </xf>
    <xf numFmtId="0" fontId="44" fillId="3" borderId="4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horizontal="left" vertical="center" wrapText="1"/>
    </xf>
    <xf numFmtId="0" fontId="45" fillId="8" borderId="41" xfId="0" quotePrefix="1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left" vertical="center"/>
    </xf>
    <xf numFmtId="0" fontId="45" fillId="8" borderId="1" xfId="0" applyFont="1" applyFill="1" applyBorder="1" applyAlignment="1">
      <alignment horizontal="center" vertical="center" wrapText="1"/>
    </xf>
    <xf numFmtId="0" fontId="45" fillId="8" borderId="1" xfId="0" applyFont="1" applyFill="1" applyBorder="1" applyAlignment="1">
      <alignment horizontal="left" vertical="center" wrapText="1"/>
    </xf>
    <xf numFmtId="0" fontId="45" fillId="8" borderId="7" xfId="0" applyFont="1" applyFill="1" applyBorder="1" applyAlignment="1">
      <alignment horizontal="center" vertical="center" wrapText="1"/>
    </xf>
    <xf numFmtId="0" fontId="45" fillId="8" borderId="42" xfId="0" applyFont="1" applyFill="1" applyBorder="1" applyAlignment="1">
      <alignment horizontal="left" vertical="center" wrapText="1"/>
    </xf>
    <xf numFmtId="0" fontId="46" fillId="8" borderId="41" xfId="0" applyFont="1" applyFill="1" applyBorder="1" applyAlignment="1">
      <alignment horizontal="left" vertical="center" wrapText="1"/>
    </xf>
    <xf numFmtId="0" fontId="46" fillId="8" borderId="1" xfId="0" applyFont="1" applyFill="1" applyBorder="1" applyAlignment="1">
      <alignment horizontal="center" vertical="center" wrapText="1"/>
    </xf>
    <xf numFmtId="0" fontId="45" fillId="8" borderId="41" xfId="0" applyFont="1" applyFill="1" applyBorder="1" applyAlignment="1">
      <alignment horizontal="center" vertical="center"/>
    </xf>
    <xf numFmtId="0" fontId="46" fillId="0" borderId="41" xfId="0" applyFont="1" applyBorder="1" applyAlignment="1" applyProtection="1">
      <alignment horizontal="center" vertical="center" wrapText="1"/>
      <protection locked="0"/>
    </xf>
    <xf numFmtId="166" fontId="45" fillId="9" borderId="5" xfId="0" applyNumberFormat="1" applyFont="1" applyFill="1" applyBorder="1" applyAlignment="1">
      <alignment horizontal="center" vertical="center" wrapText="1"/>
    </xf>
    <xf numFmtId="0" fontId="47" fillId="0" borderId="41" xfId="0" applyFont="1" applyBorder="1" applyAlignment="1" applyProtection="1">
      <alignment horizontal="center" vertical="center" wrapText="1"/>
      <protection locked="0"/>
    </xf>
    <xf numFmtId="0" fontId="47" fillId="0" borderId="1" xfId="0" applyFont="1" applyBorder="1" applyAlignment="1" applyProtection="1">
      <alignment horizontal="left" vertical="center" wrapText="1"/>
      <protection locked="0"/>
    </xf>
    <xf numFmtId="0" fontId="47" fillId="0" borderId="1" xfId="0" applyFont="1" applyBorder="1" applyAlignment="1" applyProtection="1">
      <alignment horizontal="center" vertical="center" wrapText="1"/>
      <protection locked="0"/>
    </xf>
    <xf numFmtId="0" fontId="47" fillId="2" borderId="43" xfId="0" applyFont="1" applyFill="1" applyBorder="1" applyAlignment="1" applyProtection="1">
      <alignment vertical="center" wrapText="1"/>
      <protection locked="0"/>
    </xf>
    <xf numFmtId="0" fontId="47" fillId="2" borderId="48" xfId="0" applyFont="1" applyFill="1" applyBorder="1" applyAlignment="1">
      <alignment horizontal="left" vertical="center" wrapText="1"/>
    </xf>
    <xf numFmtId="0" fontId="47" fillId="2" borderId="50" xfId="0" applyFont="1" applyFill="1" applyBorder="1" applyAlignment="1" applyProtection="1">
      <alignment vertical="center" wrapText="1"/>
      <protection locked="0"/>
    </xf>
    <xf numFmtId="0" fontId="47" fillId="2" borderId="44" xfId="0" applyFont="1" applyFill="1" applyBorder="1" applyAlignment="1" applyProtection="1">
      <alignment vertical="center" wrapText="1"/>
      <protection locked="0"/>
    </xf>
    <xf numFmtId="0" fontId="47" fillId="2" borderId="44" xfId="0" applyFont="1" applyFill="1" applyBorder="1" applyAlignment="1" applyProtection="1">
      <alignment horizontal="center" vertical="center" wrapText="1"/>
      <protection locked="0"/>
    </xf>
    <xf numFmtId="0" fontId="47" fillId="2" borderId="45" xfId="0" applyFont="1" applyFill="1" applyBorder="1" applyAlignment="1" applyProtection="1">
      <alignment horizontal="left" vertical="center" wrapText="1"/>
      <protection locked="0"/>
    </xf>
    <xf numFmtId="167" fontId="48" fillId="2" borderId="44" xfId="0" applyNumberFormat="1" applyFont="1" applyFill="1" applyBorder="1" applyAlignment="1">
      <alignment horizontal="center" vertical="center" wrapText="1"/>
    </xf>
    <xf numFmtId="167" fontId="48" fillId="2" borderId="45" xfId="0" applyNumberFormat="1" applyFont="1" applyFill="1" applyBorder="1" applyAlignment="1">
      <alignment horizontal="center" vertical="center" wrapText="1"/>
    </xf>
    <xf numFmtId="0" fontId="46" fillId="0" borderId="0" xfId="0" applyFont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6" fillId="0" borderId="1" xfId="0" applyFont="1" applyBorder="1" applyAlignment="1">
      <alignment vertical="center" wrapText="1"/>
    </xf>
    <xf numFmtId="0" fontId="43" fillId="3" borderId="0" xfId="0" applyFont="1" applyFill="1" applyAlignment="1">
      <alignment vertical="center"/>
    </xf>
    <xf numFmtId="0" fontId="47" fillId="3" borderId="76" xfId="0" applyFont="1" applyFill="1" applyBorder="1" applyAlignment="1">
      <alignment horizontal="center" vertical="center"/>
    </xf>
    <xf numFmtId="0" fontId="47" fillId="3" borderId="44" xfId="0" applyFont="1" applyFill="1" applyBorder="1" applyAlignment="1">
      <alignment horizontal="center" vertical="center"/>
    </xf>
    <xf numFmtId="0" fontId="47" fillId="3" borderId="44" xfId="0" applyFont="1" applyFill="1" applyBorder="1" applyAlignment="1" applyProtection="1">
      <alignment horizontal="left" vertical="center" wrapText="1"/>
      <protection locked="0"/>
    </xf>
    <xf numFmtId="0" fontId="47" fillId="3" borderId="44" xfId="0" applyFont="1" applyFill="1" applyBorder="1" applyAlignment="1" applyProtection="1">
      <alignment horizontal="center" vertical="center" wrapText="1"/>
      <protection locked="0"/>
    </xf>
    <xf numFmtId="0" fontId="47" fillId="3" borderId="44" xfId="0" applyFont="1" applyFill="1" applyBorder="1" applyAlignment="1" applyProtection="1">
      <alignment vertical="center" wrapText="1"/>
      <protection locked="0"/>
    </xf>
    <xf numFmtId="0" fontId="47" fillId="3" borderId="48" xfId="0" applyFont="1" applyFill="1" applyBorder="1" applyAlignment="1" applyProtection="1">
      <alignment horizontal="left" vertical="center" wrapText="1"/>
      <protection locked="0"/>
    </xf>
    <xf numFmtId="0" fontId="46" fillId="3" borderId="45" xfId="0" applyFont="1" applyFill="1" applyBorder="1" applyAlignment="1" applyProtection="1">
      <alignment horizontal="left" vertical="center" wrapText="1"/>
      <protection locked="0"/>
    </xf>
    <xf numFmtId="0" fontId="46" fillId="3" borderId="0" xfId="0" applyFont="1" applyFill="1" applyAlignment="1">
      <alignment horizontal="center"/>
    </xf>
    <xf numFmtId="0" fontId="43" fillId="3" borderId="0" xfId="0" applyFont="1" applyFill="1" applyAlignment="1" applyProtection="1">
      <alignment vertical="center"/>
      <protection locked="0"/>
    </xf>
    <xf numFmtId="0" fontId="46" fillId="0" borderId="39" xfId="0" applyFont="1" applyBorder="1" applyAlignment="1">
      <alignment horizontal="center" vertical="center" wrapText="1"/>
    </xf>
    <xf numFmtId="0" fontId="46" fillId="0" borderId="5" xfId="0" applyFont="1" applyBorder="1" applyAlignment="1">
      <alignment horizontal="center" vertical="center" wrapText="1"/>
    </xf>
    <xf numFmtId="0" fontId="46" fillId="0" borderId="5" xfId="0" applyFont="1" applyBorder="1" applyAlignment="1">
      <alignment horizontal="left" vertical="center" wrapText="1"/>
    </xf>
    <xf numFmtId="0" fontId="46" fillId="0" borderId="0" xfId="0" applyFont="1"/>
    <xf numFmtId="0" fontId="47" fillId="2" borderId="49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left" vertical="center"/>
      <protection locked="0"/>
    </xf>
    <xf numFmtId="0" fontId="11" fillId="0" borderId="8" xfId="0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horizontal="left" vertical="center"/>
      <protection locked="0"/>
    </xf>
    <xf numFmtId="0" fontId="10" fillId="0" borderId="1" xfId="0" applyFont="1" applyBorder="1" applyAlignment="1">
      <alignment vertical="center"/>
    </xf>
    <xf numFmtId="0" fontId="11" fillId="0" borderId="14" xfId="0" applyFont="1" applyBorder="1" applyAlignment="1">
      <alignment horizontal="left" vertical="center"/>
    </xf>
    <xf numFmtId="0" fontId="29" fillId="0" borderId="14" xfId="0" applyFont="1" applyBorder="1" applyAlignment="1" applyProtection="1">
      <alignment horizontal="left" vertical="center"/>
      <protection locked="0"/>
    </xf>
    <xf numFmtId="0" fontId="10" fillId="0" borderId="14" xfId="0" applyFont="1" applyBorder="1" applyAlignment="1" applyProtection="1">
      <alignment horizontal="left" vertical="center"/>
      <protection locked="0"/>
    </xf>
    <xf numFmtId="0" fontId="10" fillId="0" borderId="14" xfId="0" applyFont="1" applyBorder="1" applyAlignment="1" applyProtection="1">
      <alignment vertical="center"/>
      <protection locked="0"/>
    </xf>
    <xf numFmtId="0" fontId="19" fillId="0" borderId="14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left" vertical="center"/>
    </xf>
    <xf numFmtId="0" fontId="19" fillId="0" borderId="3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9" fillId="0" borderId="3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>
      <alignment horizontal="left" vertical="center"/>
    </xf>
    <xf numFmtId="0" fontId="29" fillId="0" borderId="2" xfId="0" applyFont="1" applyBorder="1" applyAlignment="1" applyProtection="1">
      <alignment horizontal="left" vertical="center"/>
      <protection locked="0"/>
    </xf>
    <xf numFmtId="0" fontId="10" fillId="0" borderId="3" xfId="0" applyFont="1" applyBorder="1" applyAlignment="1" applyProtection="1">
      <alignment horizontal="left" vertical="center"/>
      <protection locked="0"/>
    </xf>
    <xf numFmtId="1" fontId="29" fillId="0" borderId="3" xfId="0" applyNumberFormat="1" applyFont="1" applyBorder="1" applyAlignment="1" applyProtection="1">
      <alignment horizontal="center" vertical="center"/>
      <protection locked="0"/>
    </xf>
    <xf numFmtId="1" fontId="29" fillId="0" borderId="1" xfId="0" applyNumberFormat="1" applyFont="1" applyBorder="1" applyAlignment="1" applyProtection="1">
      <alignment horizontal="center" vertical="center"/>
      <protection locked="0"/>
    </xf>
    <xf numFmtId="1" fontId="46" fillId="0" borderId="1" xfId="0" applyNumberFormat="1" applyFont="1" applyBorder="1" applyAlignment="1" applyProtection="1">
      <alignment horizontal="center" vertical="center" wrapText="1"/>
      <protection locked="0"/>
    </xf>
    <xf numFmtId="168" fontId="45" fillId="0" borderId="5" xfId="0" applyNumberFormat="1" applyFont="1" applyBorder="1" applyAlignment="1">
      <alignment horizontal="center" vertical="center" wrapText="1"/>
    </xf>
    <xf numFmtId="1" fontId="9" fillId="0" borderId="0" xfId="0" applyNumberFormat="1" applyFont="1" applyAlignment="1" applyProtection="1">
      <alignment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51" fillId="10" borderId="0" xfId="0" applyFont="1" applyFill="1" applyAlignment="1">
      <alignment horizontal="left"/>
    </xf>
    <xf numFmtId="0" fontId="51" fillId="0" borderId="0" xfId="0" applyFont="1" applyAlignment="1">
      <alignment horizontal="left"/>
    </xf>
    <xf numFmtId="0" fontId="47" fillId="3" borderId="49" xfId="0" applyFont="1" applyFill="1" applyBorder="1" applyAlignment="1" applyProtection="1">
      <alignment horizontal="left" vertical="center" wrapText="1"/>
      <protection locked="0"/>
    </xf>
    <xf numFmtId="0" fontId="52" fillId="0" borderId="42" xfId="0" applyFont="1" applyBorder="1" applyAlignment="1" applyProtection="1">
      <alignment horizontal="left" vertical="center" wrapText="1"/>
      <protection locked="0"/>
    </xf>
    <xf numFmtId="2" fontId="45" fillId="0" borderId="5" xfId="0" applyNumberFormat="1" applyFont="1" applyBorder="1" applyAlignment="1">
      <alignment horizontal="center" vertical="center" wrapText="1"/>
    </xf>
    <xf numFmtId="0" fontId="9" fillId="0" borderId="1" xfId="0" applyFont="1" applyBorder="1" applyAlignment="1" applyProtection="1">
      <alignment vertical="center"/>
      <protection locked="0"/>
    </xf>
    <xf numFmtId="0" fontId="53" fillId="0" borderId="1" xfId="0" applyFont="1" applyBorder="1" applyAlignment="1" applyProtection="1">
      <alignment vertical="center"/>
      <protection locked="0"/>
    </xf>
    <xf numFmtId="0" fontId="53" fillId="3" borderId="1" xfId="0" applyFont="1" applyFill="1" applyBorder="1" applyAlignment="1" applyProtection="1">
      <alignment horizontal="left" vertical="center"/>
      <protection locked="0"/>
    </xf>
    <xf numFmtId="0" fontId="54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55" fillId="11" borderId="0" xfId="0" applyFont="1" applyFill="1" applyAlignment="1" applyProtection="1">
      <alignment horizontal="left" vertical="center"/>
      <protection locked="0"/>
    </xf>
    <xf numFmtId="0" fontId="56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57" fillId="0" borderId="14" xfId="0" applyFont="1" applyBorder="1" applyAlignment="1" applyProtection="1">
      <alignment horizontal="center" vertical="center"/>
      <protection locked="0"/>
    </xf>
    <xf numFmtId="0" fontId="47" fillId="3" borderId="4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horizontal="left" vertical="center"/>
    </xf>
    <xf numFmtId="0" fontId="47" fillId="3" borderId="1" xfId="0" applyFont="1" applyFill="1" applyBorder="1" applyAlignment="1" applyProtection="1">
      <alignment horizontal="center" vertical="center" wrapText="1"/>
      <protection locked="0"/>
    </xf>
    <xf numFmtId="0" fontId="47" fillId="3" borderId="1" xfId="0" applyFont="1" applyFill="1" applyBorder="1" applyAlignment="1" applyProtection="1">
      <alignment vertical="center" wrapText="1"/>
      <protection locked="0"/>
    </xf>
    <xf numFmtId="0" fontId="47" fillId="3" borderId="2" xfId="0" applyFont="1" applyFill="1" applyBorder="1" applyAlignment="1" applyProtection="1">
      <alignment horizontal="left" vertical="center" wrapText="1"/>
      <protection locked="0"/>
    </xf>
    <xf numFmtId="0" fontId="46" fillId="3" borderId="40" xfId="0" applyFont="1" applyFill="1" applyBorder="1" applyAlignment="1" applyProtection="1">
      <alignment horizontal="left" vertical="center" wrapText="1"/>
      <protection locked="0"/>
    </xf>
    <xf numFmtId="0" fontId="46" fillId="0" borderId="4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left" vertical="center" wrapText="1"/>
    </xf>
    <xf numFmtId="2" fontId="46" fillId="0" borderId="1" xfId="0" applyNumberFormat="1" applyFont="1" applyBorder="1" applyAlignment="1" applyProtection="1">
      <alignment horizontal="center" vertical="center" wrapText="1"/>
      <protection locked="0"/>
    </xf>
    <xf numFmtId="2" fontId="46" fillId="0" borderId="2" xfId="0" applyNumberFormat="1" applyFont="1" applyBorder="1" applyAlignment="1" applyProtection="1">
      <alignment horizontal="left" vertical="center" wrapText="1"/>
      <protection locked="0"/>
    </xf>
    <xf numFmtId="0" fontId="47" fillId="3" borderId="1" xfId="0" applyFont="1" applyFill="1" applyBorder="1" applyAlignment="1" applyProtection="1">
      <alignment horizontal="left" vertical="center" wrapText="1"/>
      <protection locked="0"/>
    </xf>
    <xf numFmtId="168" fontId="47" fillId="3" borderId="1" xfId="0" applyNumberFormat="1" applyFont="1" applyFill="1" applyBorder="1" applyAlignment="1" applyProtection="1">
      <alignment horizontal="center" vertical="center" wrapText="1"/>
      <protection locked="0"/>
    </xf>
    <xf numFmtId="168" fontId="47" fillId="3" borderId="2" xfId="0" applyNumberFormat="1" applyFont="1" applyFill="1" applyBorder="1" applyAlignment="1" applyProtection="1">
      <alignment horizontal="left" vertical="center" wrapText="1"/>
      <protection locked="0"/>
    </xf>
    <xf numFmtId="0" fontId="47" fillId="12" borderId="1" xfId="0" applyFont="1" applyFill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vertical="center" wrapText="1"/>
      <protection locked="0"/>
    </xf>
    <xf numFmtId="0" fontId="43" fillId="0" borderId="1" xfId="0" applyFont="1" applyBorder="1" applyAlignment="1" applyProtection="1">
      <alignment vertical="center"/>
      <protection locked="0"/>
    </xf>
    <xf numFmtId="0" fontId="46" fillId="0" borderId="40" xfId="0" applyFont="1" applyBorder="1" applyAlignment="1" applyProtection="1">
      <alignment horizontal="left" vertical="center" wrapText="1"/>
      <protection locked="0"/>
    </xf>
    <xf numFmtId="0" fontId="43" fillId="3" borderId="1" xfId="0" applyFont="1" applyFill="1" applyBorder="1" applyAlignment="1" applyProtection="1">
      <alignment vertical="center"/>
      <protection locked="0"/>
    </xf>
    <xf numFmtId="0" fontId="45" fillId="0" borderId="1" xfId="0" applyFont="1" applyBorder="1" applyAlignment="1" applyProtection="1">
      <alignment horizontal="left" vertical="center" wrapText="1"/>
      <protection locked="0"/>
    </xf>
    <xf numFmtId="0" fontId="47" fillId="0" borderId="1" xfId="0" applyFont="1" applyBorder="1" applyAlignment="1">
      <alignment horizontal="left" vertical="center" wrapText="1"/>
    </xf>
    <xf numFmtId="168" fontId="46" fillId="3" borderId="1" xfId="0" applyNumberFormat="1" applyFont="1" applyFill="1" applyBorder="1" applyAlignment="1" applyProtection="1">
      <alignment horizontal="center" vertical="center" wrapText="1"/>
      <protection locked="0"/>
    </xf>
    <xf numFmtId="168" fontId="46" fillId="3" borderId="2" xfId="0" applyNumberFormat="1" applyFont="1" applyFill="1" applyBorder="1" applyAlignment="1" applyProtection="1">
      <alignment horizontal="left" vertical="center" wrapText="1"/>
      <protection locked="0"/>
    </xf>
    <xf numFmtId="0" fontId="46" fillId="0" borderId="1" xfId="0" applyFont="1" applyBorder="1" applyAlignment="1">
      <alignment wrapText="1"/>
    </xf>
    <xf numFmtId="0" fontId="46" fillId="3" borderId="1" xfId="0" applyFont="1" applyFill="1" applyBorder="1" applyAlignment="1" applyProtection="1">
      <alignment horizontal="center" vertical="center" wrapText="1"/>
      <protection locked="0"/>
    </xf>
    <xf numFmtId="0" fontId="46" fillId="3" borderId="1" xfId="0" applyFont="1" applyFill="1" applyBorder="1" applyAlignment="1" applyProtection="1">
      <alignment vertical="center" wrapText="1"/>
      <protection locked="0"/>
    </xf>
    <xf numFmtId="0" fontId="46" fillId="3" borderId="45" xfId="0" applyFont="1" applyFill="1" applyBorder="1" applyAlignment="1" applyProtection="1">
      <alignment horizontal="center" vertical="center" wrapText="1"/>
      <protection locked="0"/>
    </xf>
    <xf numFmtId="0" fontId="47" fillId="2" borderId="44" xfId="0" applyFont="1" applyFill="1" applyBorder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6" fillId="0" borderId="0" xfId="3" applyFont="1" applyAlignment="1" applyProtection="1">
      <alignment horizontal="left" vertical="center"/>
      <protection locked="0"/>
    </xf>
    <xf numFmtId="0" fontId="16" fillId="0" borderId="0" xfId="2" applyNumberFormat="1" applyFont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58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59" fillId="0" borderId="0" xfId="0" applyFont="1" applyAlignment="1" applyProtection="1">
      <alignment horizontal="center" vertical="center"/>
      <protection locked="0"/>
    </xf>
    <xf numFmtId="0" fontId="11" fillId="0" borderId="64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7" fillId="2" borderId="47" xfId="0" applyFont="1" applyFill="1" applyBorder="1" applyAlignment="1" applyProtection="1">
      <alignment horizontal="center" vertical="center"/>
      <protection locked="0"/>
    </xf>
    <xf numFmtId="0" fontId="37" fillId="2" borderId="42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/>
      <protection locked="0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34" fillId="0" borderId="24" xfId="0" applyFont="1" applyBorder="1" applyAlignment="1" applyProtection="1">
      <alignment horizontal="center" vertical="center" wrapText="1"/>
      <protection locked="0"/>
    </xf>
    <xf numFmtId="0" fontId="34" fillId="0" borderId="25" xfId="0" applyFont="1" applyBorder="1" applyAlignment="1" applyProtection="1">
      <alignment horizontal="center" vertical="center" wrapText="1"/>
      <protection locked="0"/>
    </xf>
    <xf numFmtId="0" fontId="34" fillId="0" borderId="26" xfId="0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 applyProtection="1">
      <alignment horizontal="center" vertical="center" wrapText="1"/>
      <protection locked="0"/>
    </xf>
    <xf numFmtId="0" fontId="34" fillId="0" borderId="28" xfId="0" applyFont="1" applyBorder="1" applyAlignment="1" applyProtection="1">
      <alignment horizontal="center" vertical="center" wrapText="1"/>
      <protection locked="0"/>
    </xf>
    <xf numFmtId="0" fontId="34" fillId="0" borderId="29" xfId="0" applyFont="1" applyBorder="1" applyAlignment="1" applyProtection="1">
      <alignment horizontal="center" vertical="center" wrapText="1"/>
      <protection locked="0"/>
    </xf>
    <xf numFmtId="0" fontId="11" fillId="0" borderId="66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4" fillId="2" borderId="36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37" fillId="2" borderId="46" xfId="0" applyFont="1" applyFill="1" applyBorder="1" applyAlignment="1" applyProtection="1">
      <alignment horizontal="center" vertical="center"/>
      <protection locked="0"/>
    </xf>
    <xf numFmtId="0" fontId="37" fillId="2" borderId="5" xfId="0" applyFont="1" applyFill="1" applyBorder="1" applyAlignment="1" applyProtection="1">
      <alignment horizontal="center" vertical="center"/>
      <protection locked="0"/>
    </xf>
    <xf numFmtId="0" fontId="37" fillId="2" borderId="37" xfId="0" applyFont="1" applyFill="1" applyBorder="1" applyAlignment="1" applyProtection="1">
      <alignment horizontal="center" vertical="center" wrapText="1"/>
      <protection locked="0"/>
    </xf>
    <xf numFmtId="0" fontId="37" fillId="2" borderId="37" xfId="0" applyFont="1" applyFill="1" applyBorder="1" applyAlignment="1" applyProtection="1">
      <alignment horizontal="center" vertical="center"/>
      <protection locked="0"/>
    </xf>
    <xf numFmtId="0" fontId="37" fillId="2" borderId="1" xfId="0" applyFont="1" applyFill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68" xfId="0" applyFont="1" applyBorder="1" applyAlignment="1" applyProtection="1">
      <alignment horizontal="center" vertical="center"/>
      <protection locked="0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37" fillId="2" borderId="36" xfId="0" applyFont="1" applyFill="1" applyBorder="1" applyAlignment="1" applyProtection="1">
      <alignment horizontal="center" vertical="center"/>
      <protection locked="0"/>
    </xf>
    <xf numFmtId="0" fontId="37" fillId="2" borderId="39" xfId="0" applyFont="1" applyFill="1" applyBorder="1" applyAlignment="1" applyProtection="1">
      <alignment horizontal="center" vertical="center"/>
      <protection locked="0"/>
    </xf>
    <xf numFmtId="164" fontId="37" fillId="2" borderId="3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62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5" fillId="0" borderId="56" xfId="0" applyFont="1" applyBorder="1" applyAlignment="1" applyProtection="1">
      <alignment horizontal="center"/>
      <protection locked="0"/>
    </xf>
    <xf numFmtId="0" fontId="5" fillId="0" borderId="57" xfId="0" applyFont="1" applyBorder="1" applyAlignment="1" applyProtection="1">
      <alignment horizontal="center"/>
      <protection locked="0"/>
    </xf>
    <xf numFmtId="0" fontId="5" fillId="0" borderId="58" xfId="0" applyFont="1" applyBorder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60" xfId="0" applyFont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16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13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quotePrefix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8" fillId="0" borderId="66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6" fillId="0" borderId="24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6" fillId="0" borderId="6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8" fillId="0" borderId="6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64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6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1" fillId="2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5" fillId="0" borderId="6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1" xfId="0" applyFont="1" applyBorder="1" applyAlignment="1" applyProtection="1">
      <alignment horizontal="center"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4" fillId="2" borderId="72" xfId="0" applyFont="1" applyFill="1" applyBorder="1" applyAlignment="1" applyProtection="1">
      <alignment horizontal="center" vertical="center" wrapText="1"/>
      <protection locked="0"/>
    </xf>
    <xf numFmtId="0" fontId="4" fillId="2" borderId="41" xfId="0" applyFont="1" applyFill="1" applyBorder="1" applyAlignment="1" applyProtection="1">
      <alignment horizontal="center" vertical="center" wrapText="1"/>
      <protection locked="0"/>
    </xf>
    <xf numFmtId="0" fontId="37" fillId="2" borderId="1" xfId="0" applyFont="1" applyFill="1" applyBorder="1" applyAlignment="1" applyProtection="1">
      <alignment horizontal="center" vertical="center" wrapText="1"/>
      <protection locked="0"/>
    </xf>
    <xf numFmtId="0" fontId="37" fillId="2" borderId="46" xfId="0" applyFont="1" applyFill="1" applyBorder="1" applyAlignment="1" applyProtection="1">
      <alignment horizontal="center" vertical="center" wrapText="1"/>
      <protection locked="0"/>
    </xf>
    <xf numFmtId="0" fontId="37" fillId="2" borderId="5" xfId="0" applyFont="1" applyFill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0" fontId="21" fillId="0" borderId="60" xfId="0" applyFont="1" applyBorder="1" applyAlignment="1" applyProtection="1">
      <alignment horizontal="center" vertical="center"/>
      <protection locked="0"/>
    </xf>
    <xf numFmtId="0" fontId="20" fillId="0" borderId="54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55" xfId="0" applyFont="1" applyBorder="1" applyAlignment="1" applyProtection="1">
      <alignment horizontal="center" vertical="center" wrapText="1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20" fillId="0" borderId="16" xfId="0" applyFont="1" applyBorder="1" applyAlignment="1" applyProtection="1">
      <alignment horizontal="center" vertical="center" wrapText="1"/>
      <protection locked="0"/>
    </xf>
    <xf numFmtId="0" fontId="20" fillId="0" borderId="11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42" fillId="2" borderId="37" xfId="0" applyFont="1" applyFill="1" applyBorder="1" applyAlignment="1" applyProtection="1">
      <alignment horizontal="center" vertical="center" wrapText="1"/>
      <protection locked="0"/>
    </xf>
    <xf numFmtId="0" fontId="37" fillId="2" borderId="38" xfId="0" applyFont="1" applyFill="1" applyBorder="1" applyAlignment="1" applyProtection="1">
      <alignment horizontal="center" vertical="center" wrapText="1"/>
      <protection locked="0"/>
    </xf>
    <xf numFmtId="0" fontId="37" fillId="2" borderId="40" xfId="0" applyFont="1" applyFill="1" applyBorder="1" applyAlignment="1" applyProtection="1">
      <alignment horizontal="center" vertical="center" wrapText="1"/>
      <protection locked="0"/>
    </xf>
    <xf numFmtId="0" fontId="49" fillId="0" borderId="77" xfId="0" applyFont="1" applyBorder="1" applyAlignment="1" applyProtection="1">
      <alignment horizontal="center" vertical="center"/>
      <protection locked="0"/>
    </xf>
    <xf numFmtId="0" fontId="49" fillId="0" borderId="78" xfId="0" applyFont="1" applyBorder="1" applyAlignment="1" applyProtection="1">
      <alignment horizontal="center" vertical="center"/>
      <protection locked="0"/>
    </xf>
    <xf numFmtId="0" fontId="37" fillId="2" borderId="34" xfId="0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4" fillId="2" borderId="42" xfId="0" applyFont="1" applyFill="1" applyBorder="1" applyAlignment="1" applyProtection="1">
      <alignment horizontal="center" vertical="center"/>
      <protection locked="0"/>
    </xf>
    <xf numFmtId="0" fontId="37" fillId="2" borderId="34" xfId="0" applyFont="1" applyFill="1" applyBorder="1" applyAlignment="1" applyProtection="1">
      <alignment horizontal="center" vertical="center"/>
      <protection locked="0"/>
    </xf>
    <xf numFmtId="0" fontId="37" fillId="2" borderId="80" xfId="0" applyFont="1" applyFill="1" applyBorder="1" applyAlignment="1" applyProtection="1">
      <alignment horizontal="center" vertical="center"/>
      <protection locked="0"/>
    </xf>
    <xf numFmtId="0" fontId="4" fillId="2" borderId="79" xfId="0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37" fillId="2" borderId="79" xfId="0" applyFont="1" applyFill="1" applyBorder="1" applyAlignment="1" applyProtection="1">
      <alignment horizontal="center" vertical="center"/>
      <protection locked="0"/>
    </xf>
  </cellXfs>
  <cellStyles count="12">
    <cellStyle name="Hyperlink" xfId="11" builtinId="8"/>
    <cellStyle name="Normal" xfId="0" builtinId="0"/>
    <cellStyle name="Normal 11 10" xfId="8" xr:uid="{00000000-0005-0000-0000-000001000000}"/>
    <cellStyle name="Normal 16" xfId="1" xr:uid="{00000000-0005-0000-0000-000002000000}"/>
    <cellStyle name="Normal 185" xfId="10" xr:uid="{84032C8B-2001-4D34-B700-7F759AAC4488}"/>
    <cellStyle name="Normal 2" xfId="4" xr:uid="{00000000-0005-0000-0000-000003000000}"/>
    <cellStyle name="Normal 2 17" xfId="7" xr:uid="{00000000-0005-0000-0000-000004000000}"/>
    <cellStyle name="Normal 3 2" xfId="2" xr:uid="{00000000-0005-0000-0000-000005000000}"/>
    <cellStyle name="Normal 4" xfId="3" xr:uid="{00000000-0005-0000-0000-000006000000}"/>
    <cellStyle name="Normal 4 2" xfId="9" xr:uid="{00000000-0005-0000-0000-000007000000}"/>
    <cellStyle name="Normal 4 3 4" xfId="5" xr:uid="{00000000-0005-0000-0000-000008000000}"/>
    <cellStyle name="Normal 4 6" xfId="6" xr:uid="{00000000-0005-0000-0000-000009000000}"/>
  </cellStyles>
  <dxfs count="129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ill>
        <patternFill>
          <bgColor rgb="FFFF0000"/>
        </patternFill>
      </fill>
    </dxf>
    <dxf>
      <numFmt numFmtId="169" formatCode="_(* #,##0.00_);_(* \(#,##0.00\);_(* &quot;-&quot;??_);_(@_)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auto="1"/>
      </font>
    </dxf>
    <dxf>
      <numFmt numFmtId="169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TP_C&#416;_KH&#205;"/><Relationship Id="rId7" Type="http://schemas.openxmlformats.org/officeDocument/2006/relationships/image" Target="../media/image1.png"/><Relationship Id="rId2" Type="http://schemas.openxmlformats.org/officeDocument/2006/relationships/hyperlink" Target="#V&#7852;T_T&#431;_C&#416;_KH&#205;"/><Relationship Id="rId1" Type="http://schemas.openxmlformats.org/officeDocument/2006/relationships/hyperlink" Target="#NH&#211;M_CH&#7880;_C&#7840;NH"/><Relationship Id="rId6" Type="http://schemas.openxmlformats.org/officeDocument/2006/relationships/hyperlink" Target="#TH&#7846;U_PH&#7908;_GIA_C&#212;NG"/><Relationship Id="rId5" Type="http://schemas.openxmlformats.org/officeDocument/2006/relationships/hyperlink" Target="#PH&#7908;_KI&#7878;N"/><Relationship Id="rId4" Type="http://schemas.openxmlformats.org/officeDocument/2006/relationships/hyperlink" Target="#V&#7852;T_T&#431;_PH&#7908;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FOAM_SOFA"/><Relationship Id="rId2" Type="http://schemas.openxmlformats.org/officeDocument/2006/relationships/hyperlink" Target="#V&#7852;T_T&#431;_G&#7894;__V&#7852;T_T&#431;_T&#7844;M"/><Relationship Id="rId1" Type="http://schemas.openxmlformats.org/officeDocument/2006/relationships/image" Target="../media/image4.png"/><Relationship Id="rId4" Type="http://schemas.openxmlformats.org/officeDocument/2006/relationships/hyperlink" Target="#V&#7852;T_T&#431;_V&#7842;I__DA__SIMILI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81642</xdr:colOff>
      <xdr:row>0</xdr:row>
      <xdr:rowOff>66675</xdr:rowOff>
    </xdr:from>
    <xdr:to>
      <xdr:col>2</xdr:col>
      <xdr:colOff>1721694</xdr:colOff>
      <xdr:row>2</xdr:row>
      <xdr:rowOff>216353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FB8430-13F5-43B8-9B0A-5390D3637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785" y="66675"/>
          <a:ext cx="1640052" cy="639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207279</xdr:colOff>
      <xdr:row>5</xdr:row>
      <xdr:rowOff>183245</xdr:rowOff>
    </xdr:from>
    <xdr:to>
      <xdr:col>28</xdr:col>
      <xdr:colOff>273048</xdr:colOff>
      <xdr:row>6</xdr:row>
      <xdr:rowOff>258536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583850" y="1870531"/>
          <a:ext cx="3195412" cy="3882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213631</xdr:colOff>
      <xdr:row>7</xdr:row>
      <xdr:rowOff>23134</xdr:rowOff>
    </xdr:from>
    <xdr:to>
      <xdr:col>28</xdr:col>
      <xdr:colOff>279400</xdr:colOff>
      <xdr:row>8</xdr:row>
      <xdr:rowOff>105681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590202" y="2336348"/>
          <a:ext cx="3195412" cy="39551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214536</xdr:colOff>
      <xdr:row>8</xdr:row>
      <xdr:rowOff>185059</xdr:rowOff>
    </xdr:from>
    <xdr:to>
      <xdr:col>28</xdr:col>
      <xdr:colOff>293005</xdr:colOff>
      <xdr:row>9</xdr:row>
      <xdr:rowOff>316139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591107" y="2811238"/>
          <a:ext cx="3208112" cy="43043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258536</xdr:colOff>
      <xdr:row>4</xdr:row>
      <xdr:rowOff>54429</xdr:rowOff>
    </xdr:from>
    <xdr:to>
      <xdr:col>24</xdr:col>
      <xdr:colOff>163286</xdr:colOff>
      <xdr:row>5</xdr:row>
      <xdr:rowOff>95250</xdr:rowOff>
    </xdr:to>
    <xdr:sp macro="[0]!TatTatCa" textlink="">
      <xdr:nvSpPr>
        <xdr:cNvPr id="3" name="Rectangle 2">
          <a:extLst>
            <a:ext uri="{FF2B5EF4-FFF2-40B4-BE49-F238E27FC236}">
              <a16:creationId xmlns:a16="http://schemas.microsoft.com/office/drawing/2014/main" id="{ED0CB771-798C-480B-8A80-F44C2C7F3EB1}"/>
            </a:ext>
          </a:extLst>
        </xdr:cNvPr>
        <xdr:cNvSpPr/>
      </xdr:nvSpPr>
      <xdr:spPr>
        <a:xfrm>
          <a:off x="22451786" y="1428750"/>
          <a:ext cx="48985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22</xdr:col>
      <xdr:colOff>244928</xdr:colOff>
      <xdr:row>4</xdr:row>
      <xdr:rowOff>54430</xdr:rowOff>
    </xdr:from>
    <xdr:to>
      <xdr:col>23</xdr:col>
      <xdr:colOff>149678</xdr:colOff>
      <xdr:row>5</xdr:row>
      <xdr:rowOff>95251</xdr:rowOff>
    </xdr:to>
    <xdr:sp macro="[0]!ON_II" textlink="">
      <xdr:nvSpPr>
        <xdr:cNvPr id="4" name="Rectangle 3">
          <a:extLst>
            <a:ext uri="{FF2B5EF4-FFF2-40B4-BE49-F238E27FC236}">
              <a16:creationId xmlns:a16="http://schemas.microsoft.com/office/drawing/2014/main" id="{5BD4E211-F0C6-424E-86A3-D75094ABB0A3}"/>
            </a:ext>
          </a:extLst>
        </xdr:cNvPr>
        <xdr:cNvSpPr/>
      </xdr:nvSpPr>
      <xdr:spPr>
        <a:xfrm>
          <a:off x="21853071" y="1428751"/>
          <a:ext cx="48985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  <xdr:twoCellAnchor editAs="oneCell">
    <xdr:from>
      <xdr:col>3</xdr:col>
      <xdr:colOff>312964</xdr:colOff>
      <xdr:row>0</xdr:row>
      <xdr:rowOff>54428</xdr:rowOff>
    </xdr:from>
    <xdr:to>
      <xdr:col>3</xdr:col>
      <xdr:colOff>1949206</xdr:colOff>
      <xdr:row>2</xdr:row>
      <xdr:rowOff>200296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C9E5CC-A171-432E-A24E-D3CBC880E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19250" y="54428"/>
          <a:ext cx="1640052" cy="6395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193452</xdr:colOff>
      <xdr:row>3</xdr:row>
      <xdr:rowOff>105227</xdr:rowOff>
    </xdr:from>
    <xdr:to>
      <xdr:col>19</xdr:col>
      <xdr:colOff>322715</xdr:colOff>
      <xdr:row>4</xdr:row>
      <xdr:rowOff>237063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6617273" y="1044120"/>
          <a:ext cx="2442478" cy="376764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</a:t>
          </a:r>
          <a:r>
            <a:rPr lang="en-US" sz="1800" baseline="0">
              <a:solidFill>
                <a:sysClr val="windowText" lastClr="000000"/>
              </a:solidFill>
            </a:rPr>
            <a:t>NHÓM CHỈ CẠNH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188009</xdr:colOff>
      <xdr:row>5</xdr:row>
      <xdr:rowOff>64633</xdr:rowOff>
    </xdr:from>
    <xdr:to>
      <xdr:col>19</xdr:col>
      <xdr:colOff>318634</xdr:colOff>
      <xdr:row>6</xdr:row>
      <xdr:rowOff>200010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611830" y="1493383"/>
          <a:ext cx="2443840" cy="38030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CƠ KHÍ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188010</xdr:colOff>
      <xdr:row>7</xdr:row>
      <xdr:rowOff>27892</xdr:rowOff>
    </xdr:from>
    <xdr:to>
      <xdr:col>19</xdr:col>
      <xdr:colOff>294141</xdr:colOff>
      <xdr:row>8</xdr:row>
      <xdr:rowOff>182320</xdr:rowOff>
    </xdr:to>
    <xdr:sp macro="" textlink="">
      <xdr:nvSpPr>
        <xdr:cNvPr id="8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6611831" y="1946499"/>
          <a:ext cx="2419346" cy="39935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BTP CƠ KHÍ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88222</xdr:colOff>
      <xdr:row>3</xdr:row>
      <xdr:rowOff>105227</xdr:rowOff>
    </xdr:from>
    <xdr:to>
      <xdr:col>27</xdr:col>
      <xdr:colOff>117247</xdr:colOff>
      <xdr:row>4</xdr:row>
      <xdr:rowOff>237063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165436" y="1044120"/>
          <a:ext cx="2410275" cy="376764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</a:t>
          </a:r>
          <a:r>
            <a:rPr lang="en-US" sz="1800" baseline="0">
              <a:solidFill>
                <a:sysClr val="windowText" lastClr="000000"/>
              </a:solidFill>
            </a:rPr>
            <a:t>VẬT TƯ PHỤ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79604</xdr:colOff>
      <xdr:row>5</xdr:row>
      <xdr:rowOff>64633</xdr:rowOff>
    </xdr:from>
    <xdr:to>
      <xdr:col>27</xdr:col>
      <xdr:colOff>130854</xdr:colOff>
      <xdr:row>6</xdr:row>
      <xdr:rowOff>197717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9156818" y="1493383"/>
          <a:ext cx="2432500" cy="37801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</a:t>
          </a:r>
          <a:r>
            <a:rPr lang="en-US" sz="1800" baseline="0">
              <a:solidFill>
                <a:sysClr val="windowText" lastClr="000000"/>
              </a:solidFill>
            </a:rPr>
            <a:t>PHỤ KIỆN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79603</xdr:colOff>
      <xdr:row>7</xdr:row>
      <xdr:rowOff>31068</xdr:rowOff>
    </xdr:from>
    <xdr:to>
      <xdr:col>27</xdr:col>
      <xdr:colOff>130853</xdr:colOff>
      <xdr:row>8</xdr:row>
      <xdr:rowOff>180026</xdr:rowOff>
    </xdr:to>
    <xdr:sp macro="" textlink="">
      <xdr:nvSpPr>
        <xdr:cNvPr id="11" name="Rectangle: Rounded Corner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9156817" y="1949675"/>
          <a:ext cx="2432500" cy="39388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</a:t>
          </a:r>
          <a:r>
            <a:rPr lang="en-US" sz="1800" baseline="0">
              <a:solidFill>
                <a:sysClr val="windowText" lastClr="000000"/>
              </a:solidFill>
            </a:rPr>
            <a:t>THẦU PHỤ GC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200025</xdr:colOff>
          <xdr:row>1</xdr:row>
          <xdr:rowOff>219075</xdr:rowOff>
        </xdr:from>
        <xdr:to>
          <xdr:col>24</xdr:col>
          <xdr:colOff>104775</xdr:colOff>
          <xdr:row>3</xdr:row>
          <xdr:rowOff>76200</xdr:rowOff>
        </xdr:to>
        <xdr:sp macro="" textlink="">
          <xdr:nvSpPr>
            <xdr:cNvPr id="3073" name="lblUpdateStatu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122465</xdr:colOff>
      <xdr:row>9</xdr:row>
      <xdr:rowOff>54429</xdr:rowOff>
    </xdr:from>
    <xdr:to>
      <xdr:col>17</xdr:col>
      <xdr:colOff>13608</xdr:colOff>
      <xdr:row>10</xdr:row>
      <xdr:rowOff>68036</xdr:rowOff>
    </xdr:to>
    <xdr:sp macro="[0]!OFF_III" textlink="">
      <xdr:nvSpPr>
        <xdr:cNvPr id="2" name="Rectangle 1">
          <a:extLst>
            <a:ext uri="{FF2B5EF4-FFF2-40B4-BE49-F238E27FC236}">
              <a16:creationId xmlns:a16="http://schemas.microsoft.com/office/drawing/2014/main" id="{47AB9929-733D-468F-9C34-55151B0E6956}"/>
            </a:ext>
          </a:extLst>
        </xdr:cNvPr>
        <xdr:cNvSpPr/>
      </xdr:nvSpPr>
      <xdr:spPr>
        <a:xfrm>
          <a:off x="20805322" y="2462893"/>
          <a:ext cx="48985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15</xdr:col>
      <xdr:colOff>217714</xdr:colOff>
      <xdr:row>9</xdr:row>
      <xdr:rowOff>54430</xdr:rowOff>
    </xdr:from>
    <xdr:to>
      <xdr:col>16</xdr:col>
      <xdr:colOff>13607</xdr:colOff>
      <xdr:row>10</xdr:row>
      <xdr:rowOff>68037</xdr:rowOff>
    </xdr:to>
    <xdr:sp macro="[0]!ON_III" textlink="">
      <xdr:nvSpPr>
        <xdr:cNvPr id="3" name="Rectangle 2">
          <a:extLst>
            <a:ext uri="{FF2B5EF4-FFF2-40B4-BE49-F238E27FC236}">
              <a16:creationId xmlns:a16="http://schemas.microsoft.com/office/drawing/2014/main" id="{8C14777C-47A9-4A6A-B2CD-975908BAD830}"/>
            </a:ext>
          </a:extLst>
        </xdr:cNvPr>
        <xdr:cNvSpPr/>
      </xdr:nvSpPr>
      <xdr:spPr>
        <a:xfrm>
          <a:off x="20206607" y="2462894"/>
          <a:ext cx="48985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  <xdr:twoCellAnchor editAs="oneCell">
    <xdr:from>
      <xdr:col>2</xdr:col>
      <xdr:colOff>476250</xdr:colOff>
      <xdr:row>0</xdr:row>
      <xdr:rowOff>40822</xdr:rowOff>
    </xdr:from>
    <xdr:to>
      <xdr:col>3</xdr:col>
      <xdr:colOff>1435945</xdr:colOff>
      <xdr:row>2</xdr:row>
      <xdr:rowOff>190500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38398A-F33B-4FEC-912F-06878B052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65464" y="40822"/>
          <a:ext cx="1640052" cy="6395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1</xdr:row>
          <xdr:rowOff>219075</xdr:rowOff>
        </xdr:from>
        <xdr:to>
          <xdr:col>23</xdr:col>
          <xdr:colOff>981075</xdr:colOff>
          <xdr:row>2</xdr:row>
          <xdr:rowOff>266700</xdr:rowOff>
        </xdr:to>
        <xdr:sp macro="" textlink="">
          <xdr:nvSpPr>
            <xdr:cNvPr id="4097" name="lblUpdateStatu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585108</xdr:colOff>
      <xdr:row>7</xdr:row>
      <xdr:rowOff>163286</xdr:rowOff>
    </xdr:from>
    <xdr:to>
      <xdr:col>19</xdr:col>
      <xdr:colOff>27215</xdr:colOff>
      <xdr:row>9</xdr:row>
      <xdr:rowOff>27215</xdr:rowOff>
    </xdr:to>
    <xdr:sp macro="[0]!OFF_IV" textlink="">
      <xdr:nvSpPr>
        <xdr:cNvPr id="9" name="Rectangle 8">
          <a:extLst>
            <a:ext uri="{FF2B5EF4-FFF2-40B4-BE49-F238E27FC236}">
              <a16:creationId xmlns:a16="http://schemas.microsoft.com/office/drawing/2014/main" id="{D0C999FB-D06F-6214-04CE-DA33F8BD75DE}"/>
            </a:ext>
          </a:extLst>
        </xdr:cNvPr>
        <xdr:cNvSpPr/>
      </xdr:nvSpPr>
      <xdr:spPr>
        <a:xfrm>
          <a:off x="20764501" y="2081893"/>
          <a:ext cx="48985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285750</xdr:colOff>
      <xdr:row>7</xdr:row>
      <xdr:rowOff>163287</xdr:rowOff>
    </xdr:from>
    <xdr:to>
      <xdr:col>18</xdr:col>
      <xdr:colOff>476250</xdr:colOff>
      <xdr:row>9</xdr:row>
      <xdr:rowOff>27216</xdr:rowOff>
    </xdr:to>
    <xdr:sp macro="[0]!ON_IV" textlink="">
      <xdr:nvSpPr>
        <xdr:cNvPr id="10" name="Rectangle 9">
          <a:extLst>
            <a:ext uri="{FF2B5EF4-FFF2-40B4-BE49-F238E27FC236}">
              <a16:creationId xmlns:a16="http://schemas.microsoft.com/office/drawing/2014/main" id="{56CB3E50-98C2-4593-9F6D-A582FDF06A92}"/>
            </a:ext>
          </a:extLst>
        </xdr:cNvPr>
        <xdr:cNvSpPr/>
      </xdr:nvSpPr>
      <xdr:spPr>
        <a:xfrm>
          <a:off x="20165786" y="2081894"/>
          <a:ext cx="48985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  <xdr:twoCellAnchor editAs="oneCell">
    <xdr:from>
      <xdr:col>2</xdr:col>
      <xdr:colOff>95250</xdr:colOff>
      <xdr:row>0</xdr:row>
      <xdr:rowOff>108858</xdr:rowOff>
    </xdr:from>
    <xdr:to>
      <xdr:col>3</xdr:col>
      <xdr:colOff>680841</xdr:colOff>
      <xdr:row>2</xdr:row>
      <xdr:rowOff>262347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728831-6F30-4830-B96C-6C1CBD4B0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464" y="108858"/>
          <a:ext cx="1849423" cy="721179"/>
        </a:xfrm>
        <a:prstGeom prst="rect">
          <a:avLst/>
        </a:prstGeom>
      </xdr:spPr>
    </xdr:pic>
    <xdr:clientData/>
  </xdr:twoCellAnchor>
  <xdr:twoCellAnchor>
    <xdr:from>
      <xdr:col>19</xdr:col>
      <xdr:colOff>138794</xdr:colOff>
      <xdr:row>7</xdr:row>
      <xdr:rowOff>166008</xdr:rowOff>
    </xdr:from>
    <xdr:to>
      <xdr:col>20</xdr:col>
      <xdr:colOff>585107</xdr:colOff>
      <xdr:row>9</xdr:row>
      <xdr:rowOff>29937</xdr:rowOff>
    </xdr:to>
    <xdr:sp macro="[0]!ToiUu_GiaoRoi_CotB" textlink="">
      <xdr:nvSpPr>
        <xdr:cNvPr id="3" name="Rectangle 2">
          <a:extLst>
            <a:ext uri="{FF2B5EF4-FFF2-40B4-BE49-F238E27FC236}">
              <a16:creationId xmlns:a16="http://schemas.microsoft.com/office/drawing/2014/main" id="{6C7C9AFC-DCB6-4913-AC12-21A7338CAD0B}"/>
            </a:ext>
          </a:extLst>
        </xdr:cNvPr>
        <xdr:cNvSpPr/>
      </xdr:nvSpPr>
      <xdr:spPr>
        <a:xfrm>
          <a:off x="21365937" y="2084615"/>
          <a:ext cx="1045027" cy="35378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ĐÓNG</a:t>
          </a:r>
          <a:r>
            <a:rPr lang="en-US" sz="1100" baseline="0">
              <a:ln>
                <a:solidFill>
                  <a:schemeClr val="tx1"/>
                </a:solidFill>
              </a:ln>
            </a:rPr>
            <a:t> GÓI</a:t>
          </a:r>
          <a:endParaRPr lang="en-US" sz="1100">
            <a:ln>
              <a:solidFill>
                <a:schemeClr val="tx1"/>
              </a:solidFill>
            </a:ln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2B9772-4BA1-4A69-9160-782611C2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48D67D-39CC-45D7-A131-55F144E11537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80AAD6-2C19-4EFE-9798-050BC4593735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D70CD57-A53A-489F-BFD4-D61B731E5150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1FD93030-9AC5-416A-AB1D-74E7F2F0C943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FD2F0B17-16BA-4C6A-8AEF-5DAF85BC7444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D39A912-D32D-4432-8D07-1FC0E3A8D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BCDDDA-E131-4B16-80D2-9FDE477C2DB5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099679-BD4A-4D4B-912C-DB6E6D476124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2CC39B-295B-45CC-85C8-97B576C9D943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3C951150-77C2-4679-A2A8-02E7F2763A39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D3418C63-6D84-4B8B-996C-CD3FB770FFAF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FD0327-13A0-4D45-872F-6C7079C98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4DC275-3635-435E-8A17-B559D81C11B3}"/>
            </a:ext>
          </a:extLst>
        </xdr:cNvPr>
        <xdr:cNvSpPr/>
      </xdr:nvSpPr>
      <xdr:spPr>
        <a:xfrm>
          <a:off x="21790929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74DB8C-6201-4751-9EDB-3C6DF548430B}"/>
            </a:ext>
          </a:extLst>
        </xdr:cNvPr>
        <xdr:cNvSpPr/>
      </xdr:nvSpPr>
      <xdr:spPr>
        <a:xfrm>
          <a:off x="21797281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F38D9B-432C-4D3C-AC04-DEEBDF35BAEF}"/>
            </a:ext>
          </a:extLst>
        </xdr:cNvPr>
        <xdr:cNvSpPr/>
      </xdr:nvSpPr>
      <xdr:spPr>
        <a:xfrm>
          <a:off x="21798186" y="2813959"/>
          <a:ext cx="364081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190A22B2-1516-454D-A9D4-686E6684A57A}"/>
            </a:ext>
          </a:extLst>
        </xdr:cNvPr>
        <xdr:cNvSpPr/>
      </xdr:nvSpPr>
      <xdr:spPr>
        <a:xfrm>
          <a:off x="22432736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82F6DB7A-EDFA-4548-9AB6-3945C213F64B}"/>
            </a:ext>
          </a:extLst>
        </xdr:cNvPr>
        <xdr:cNvSpPr/>
      </xdr:nvSpPr>
      <xdr:spPr>
        <a:xfrm>
          <a:off x="21828578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EB5E1F-F92F-4252-8187-A7190FB4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A22B6C-9997-454D-8D4E-FD41418ECF1A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2A3F40-106A-4A74-8833-E520BCEDFEE9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6D0498-E954-40BA-823A-FAADFEC85A7E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2915AAB1-E1A1-4BEB-92F8-DF65D2491A82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3780FD84-E185-4304-B72B-6E597D020F08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8AF211-EE7A-48C3-8A82-942553635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4ADFD0-C451-4437-A790-3A0C44E38038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A18529-2126-4EE7-B4C3-99088B7E06B6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77226D-1B5D-4FE4-A892-5EECD1BC7DB8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5E094082-75BF-40A4-8DA5-AC6E16521E96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0C7DFB66-47A3-4B81-B6A1-B026F5A0081D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11B2EE-3AC0-4FA9-B104-7239956C3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2E1C45-355A-49AA-ACA2-B545CF822D67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20D38F-992C-4447-9848-5FB48A29BB5B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450E86-B87C-4FDC-8F93-0C528A0F144E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02B8D521-6B50-483C-8008-E690B8BC8E86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7EBE4B38-4E49-4F44-B8F4-4247AF97DB4D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CAE4C7-EFE2-4C55-ACA2-7B790F7D5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685BE0A-C025-4CCD-A531-BB64F6B1A6BF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067803A-795D-4597-8DBE-3031500FF2FA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0A611D-8A37-4ECC-8AD8-E2C9493AB01D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85E964EC-30C6-49FD-89D5-BB49474BD66C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AE7F1622-D1CD-41C4-82B8-748AC0409529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B9AA66-5C9B-449C-A4BA-D82F90288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C43653-0485-4DD7-83AE-DFC4D08164E7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9EFE137-7915-4002-B957-434613011DF2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C5586E-F2BB-4AB2-8283-51EB3C31ABA3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D09C7B26-6B42-4C73-9852-CBD94570861F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049DBF73-A7EF-4A6A-A799-37A6658142AA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679532</xdr:colOff>
      <xdr:row>0</xdr:row>
      <xdr:rowOff>112859</xdr:rowOff>
    </xdr:from>
    <xdr:to>
      <xdr:col>3</xdr:col>
      <xdr:colOff>1510393</xdr:colOff>
      <xdr:row>2</xdr:row>
      <xdr:rowOff>227994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37987F-035C-4656-8E5B-D23093DC5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932" y="112859"/>
          <a:ext cx="830861" cy="819985"/>
        </a:xfrm>
        <a:prstGeom prst="rect">
          <a:avLst/>
        </a:prstGeom>
      </xdr:spPr>
    </xdr:pic>
    <xdr:clientData/>
  </xdr:twoCellAnchor>
  <xdr:twoCellAnchor>
    <xdr:from>
      <xdr:col>17</xdr:col>
      <xdr:colOff>207279</xdr:colOff>
      <xdr:row>5</xdr:row>
      <xdr:rowOff>183245</xdr:rowOff>
    </xdr:from>
    <xdr:to>
      <xdr:col>23</xdr:col>
      <xdr:colOff>273048</xdr:colOff>
      <xdr:row>6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072B-0599-4BC5-8E8D-74FDB9D87355}"/>
            </a:ext>
          </a:extLst>
        </xdr:cNvPr>
        <xdr:cNvSpPr/>
      </xdr:nvSpPr>
      <xdr:spPr>
        <a:xfrm>
          <a:off x="21819504" y="1869170"/>
          <a:ext cx="362811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213631</xdr:colOff>
      <xdr:row>7</xdr:row>
      <xdr:rowOff>23134</xdr:rowOff>
    </xdr:from>
    <xdr:to>
      <xdr:col>23</xdr:col>
      <xdr:colOff>279400</xdr:colOff>
      <xdr:row>8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31EB54-6799-4B5D-BFB2-A4BD20FF80D0}"/>
            </a:ext>
          </a:extLst>
        </xdr:cNvPr>
        <xdr:cNvSpPr/>
      </xdr:nvSpPr>
      <xdr:spPr>
        <a:xfrm>
          <a:off x="21825856" y="2337709"/>
          <a:ext cx="362811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214536</xdr:colOff>
      <xdr:row>8</xdr:row>
      <xdr:rowOff>185059</xdr:rowOff>
    </xdr:from>
    <xdr:to>
      <xdr:col>23</xdr:col>
      <xdr:colOff>293005</xdr:colOff>
      <xdr:row>9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BDFA440-9212-4E81-8FCC-D8A777F8A013}"/>
            </a:ext>
          </a:extLst>
        </xdr:cNvPr>
        <xdr:cNvSpPr/>
      </xdr:nvSpPr>
      <xdr:spPr>
        <a:xfrm>
          <a:off x="21826761" y="2813959"/>
          <a:ext cx="3640819" cy="44540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258536</xdr:colOff>
      <xdr:row>4</xdr:row>
      <xdr:rowOff>54429</xdr:rowOff>
    </xdr:from>
    <xdr:to>
      <xdr:col>19</xdr:col>
      <xdr:colOff>163286</xdr:colOff>
      <xdr:row>5</xdr:row>
      <xdr:rowOff>95250</xdr:rowOff>
    </xdr:to>
    <xdr:sp macro="[0]!OFF_BAOBI" textlink="">
      <xdr:nvSpPr>
        <xdr:cNvPr id="6" name="Rectangle 5">
          <a:extLst>
            <a:ext uri="{FF2B5EF4-FFF2-40B4-BE49-F238E27FC236}">
              <a16:creationId xmlns:a16="http://schemas.microsoft.com/office/drawing/2014/main" id="{CFFD578E-B929-49F6-9CDF-BCDCC729E1B8}"/>
            </a:ext>
          </a:extLst>
        </xdr:cNvPr>
        <xdr:cNvSpPr/>
      </xdr:nvSpPr>
      <xdr:spPr>
        <a:xfrm>
          <a:off x="22461311" y="1426029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OFF</a:t>
          </a:r>
        </a:p>
      </xdr:txBody>
    </xdr:sp>
    <xdr:clientData/>
  </xdr:twoCellAnchor>
  <xdr:twoCellAnchor>
    <xdr:from>
      <xdr:col>17</xdr:col>
      <xdr:colOff>244928</xdr:colOff>
      <xdr:row>4</xdr:row>
      <xdr:rowOff>54430</xdr:rowOff>
    </xdr:from>
    <xdr:to>
      <xdr:col>18</xdr:col>
      <xdr:colOff>149678</xdr:colOff>
      <xdr:row>5</xdr:row>
      <xdr:rowOff>95251</xdr:rowOff>
    </xdr:to>
    <xdr:sp macro="[0]!ON_BAOBI" textlink="">
      <xdr:nvSpPr>
        <xdr:cNvPr id="7" name="Rectangle 6">
          <a:extLst>
            <a:ext uri="{FF2B5EF4-FFF2-40B4-BE49-F238E27FC236}">
              <a16:creationId xmlns:a16="http://schemas.microsoft.com/office/drawing/2014/main" id="{57709343-FA4F-4ACE-87F2-584849EA5834}"/>
            </a:ext>
          </a:extLst>
        </xdr:cNvPr>
        <xdr:cNvSpPr/>
      </xdr:nvSpPr>
      <xdr:spPr>
        <a:xfrm>
          <a:off x="21857153" y="1426030"/>
          <a:ext cx="495300" cy="355146"/>
        </a:xfrm>
        <a:prstGeom prst="rect">
          <a:avLst/>
        </a:prstGeom>
        <a:solidFill>
          <a:schemeClr val="accent3"/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ohodecor-my.sharepoint.com/RnD/R&amp;D/THIEN%20THANH/BOHO/BOM%20AND%20FILE%20TONG%20HOP/Modified%20by%20ThienThanh/File%20TH%20du%20lieu%20vat%20tu%20P.KT_New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000.%20New%20folder/zalo/BOM%20MAU%20(1).xlsm" TargetMode="External"/><Relationship Id="rId2" Type="http://schemas.openxmlformats.org/officeDocument/2006/relationships/externalLinkPath" Target="file:///D:\000.%20New%20folder\zalo\BOM%20MAU%20(1).xlsm" TargetMode="External"/><Relationship Id="rId1" Type="http://schemas.openxmlformats.org/officeDocument/2006/relationships/externalLinkPath" Target="/000.%20New%20folder/zalo/BOM%20MAU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O"/>
      <sheetName val="VT Tam"/>
      <sheetName val="Nep canh"/>
      <sheetName val="Foam"/>
      <sheetName val="Vai,da,simili"/>
      <sheetName val="VT co khi"/>
      <sheetName val="VT Sofa+Dinh+Keo"/>
      <sheetName val="VT Phu"/>
      <sheetName val="Phu kien"/>
      <sheetName val="Foam+Vai,da,simil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OM_Phan I"/>
      <sheetName val="BOM_Phan II"/>
      <sheetName val="BOM_Phan III"/>
      <sheetName val="BOM_Phan IV"/>
      <sheetName val="TC_CUA"/>
      <sheetName val="TC_KH"/>
      <sheetName val="LOẠI 1"/>
      <sheetName val="LOẠI 2"/>
      <sheetName val="LOẠI 3"/>
      <sheetName val="LOẠI 4"/>
      <sheetName val="LOẠI 5 AIR"/>
      <sheetName val="LOẠI 5 PALEET"/>
      <sheetName val="LOẠI 6"/>
      <sheetName val="BOM MAU (1)"/>
    </sheetNames>
    <sheetDataSet>
      <sheetData sheetId="0"/>
      <sheetData sheetId="1">
        <row r="12">
          <cell r="X12"/>
        </row>
        <row r="13">
          <cell r="X13"/>
        </row>
        <row r="14">
          <cell r="X14"/>
        </row>
        <row r="15">
          <cell r="X15"/>
        </row>
        <row r="16">
          <cell r="X16"/>
        </row>
        <row r="17">
          <cell r="X17"/>
        </row>
        <row r="18">
          <cell r="X18"/>
        </row>
        <row r="19">
          <cell r="X19"/>
        </row>
        <row r="20">
          <cell r="X20"/>
        </row>
        <row r="21">
          <cell r="X21"/>
        </row>
        <row r="22">
          <cell r="X22"/>
        </row>
        <row r="23">
          <cell r="X23"/>
        </row>
        <row r="24">
          <cell r="X24"/>
        </row>
        <row r="25">
          <cell r="X25"/>
        </row>
        <row r="26">
          <cell r="X26"/>
        </row>
        <row r="27">
          <cell r="X27"/>
        </row>
        <row r="28">
          <cell r="X28"/>
        </row>
        <row r="29">
          <cell r="X29"/>
        </row>
        <row r="30">
          <cell r="X30"/>
        </row>
        <row r="31">
          <cell r="X31"/>
        </row>
        <row r="32">
          <cell r="X32"/>
        </row>
        <row r="33">
          <cell r="X33"/>
        </row>
        <row r="34">
          <cell r="X34"/>
        </row>
        <row r="35">
          <cell r="X35"/>
        </row>
        <row r="36">
          <cell r="X36"/>
        </row>
        <row r="37">
          <cell r="X37"/>
        </row>
        <row r="38">
          <cell r="X38"/>
        </row>
        <row r="39">
          <cell r="X39"/>
        </row>
        <row r="40">
          <cell r="X40"/>
        </row>
        <row r="41">
          <cell r="X41"/>
        </row>
        <row r="42">
          <cell r="X42"/>
        </row>
        <row r="43">
          <cell r="X43"/>
        </row>
        <row r="44">
          <cell r="X44"/>
        </row>
        <row r="45">
          <cell r="X45"/>
        </row>
        <row r="46">
          <cell r="X46"/>
        </row>
        <row r="47">
          <cell r="X47"/>
        </row>
        <row r="48">
          <cell r="X48"/>
        </row>
        <row r="49">
          <cell r="X49"/>
        </row>
        <row r="50">
          <cell r="X50"/>
        </row>
        <row r="51">
          <cell r="X51"/>
        </row>
        <row r="52">
          <cell r="X52"/>
        </row>
        <row r="53">
          <cell r="X53"/>
        </row>
        <row r="54">
          <cell r="X54"/>
        </row>
        <row r="55">
          <cell r="X55"/>
        </row>
        <row r="56">
          <cell r="X56"/>
        </row>
        <row r="57">
          <cell r="X57"/>
        </row>
        <row r="58">
          <cell r="X58"/>
        </row>
        <row r="59">
          <cell r="X59"/>
        </row>
        <row r="60">
          <cell r="X60"/>
        </row>
        <row r="61">
          <cell r="X61"/>
        </row>
        <row r="62">
          <cell r="X62"/>
        </row>
        <row r="63">
          <cell r="X63"/>
        </row>
        <row r="64">
          <cell r="X64"/>
        </row>
        <row r="65">
          <cell r="X65"/>
        </row>
        <row r="66">
          <cell r="X66"/>
        </row>
        <row r="67">
          <cell r="X67"/>
        </row>
        <row r="68">
          <cell r="X68"/>
        </row>
        <row r="69">
          <cell r="X69"/>
        </row>
        <row r="70">
          <cell r="X70"/>
        </row>
        <row r="71">
          <cell r="X71"/>
        </row>
        <row r="72">
          <cell r="X72"/>
        </row>
        <row r="73">
          <cell r="X73"/>
        </row>
        <row r="74">
          <cell r="X74"/>
        </row>
        <row r="75">
          <cell r="X75"/>
        </row>
        <row r="76">
          <cell r="X76"/>
        </row>
        <row r="77">
          <cell r="X77"/>
        </row>
        <row r="78">
          <cell r="X78"/>
        </row>
        <row r="79">
          <cell r="X79"/>
        </row>
        <row r="80">
          <cell r="X80"/>
        </row>
        <row r="81">
          <cell r="X81"/>
        </row>
        <row r="82">
          <cell r="X82"/>
        </row>
        <row r="83">
          <cell r="X83"/>
        </row>
        <row r="84">
          <cell r="X84"/>
        </row>
        <row r="85">
          <cell r="X85"/>
        </row>
        <row r="86">
          <cell r="X86"/>
        </row>
        <row r="87">
          <cell r="X87"/>
        </row>
        <row r="88">
          <cell r="X88"/>
        </row>
        <row r="89">
          <cell r="X89"/>
        </row>
        <row r="90">
          <cell r="X90"/>
        </row>
        <row r="91">
          <cell r="X91"/>
        </row>
        <row r="92">
          <cell r="X92"/>
        </row>
        <row r="93">
          <cell r="X93"/>
        </row>
        <row r="94">
          <cell r="X94"/>
        </row>
        <row r="95">
          <cell r="X95"/>
        </row>
        <row r="96">
          <cell r="X96"/>
        </row>
        <row r="97">
          <cell r="X97"/>
        </row>
        <row r="98">
          <cell r="X98"/>
        </row>
        <row r="99">
          <cell r="X99"/>
        </row>
        <row r="100">
          <cell r="X100"/>
        </row>
        <row r="101">
          <cell r="X101"/>
        </row>
        <row r="102">
          <cell r="X102"/>
        </row>
        <row r="103">
          <cell r="X103"/>
        </row>
        <row r="104">
          <cell r="X104"/>
        </row>
        <row r="105">
          <cell r="X105"/>
        </row>
        <row r="106">
          <cell r="X106"/>
        </row>
        <row r="107">
          <cell r="X107"/>
        </row>
        <row r="108">
          <cell r="X108"/>
        </row>
        <row r="109">
          <cell r="X109"/>
        </row>
        <row r="110">
          <cell r="X110"/>
        </row>
        <row r="111">
          <cell r="X111"/>
        </row>
        <row r="112">
          <cell r="X112"/>
        </row>
        <row r="113">
          <cell r="X113"/>
        </row>
        <row r="114">
          <cell r="X114"/>
        </row>
        <row r="115">
          <cell r="X115"/>
        </row>
        <row r="116">
          <cell r="X116"/>
        </row>
        <row r="117">
          <cell r="X117"/>
        </row>
        <row r="118">
          <cell r="X118"/>
        </row>
        <row r="119">
          <cell r="X119"/>
        </row>
        <row r="120">
          <cell r="X120"/>
        </row>
        <row r="121">
          <cell r="X121"/>
        </row>
        <row r="122">
          <cell r="X122"/>
        </row>
        <row r="123">
          <cell r="X123"/>
        </row>
        <row r="124">
          <cell r="X124"/>
        </row>
        <row r="125">
          <cell r="X125"/>
        </row>
        <row r="126">
          <cell r="X126"/>
        </row>
        <row r="127">
          <cell r="X127"/>
        </row>
        <row r="128">
          <cell r="X128"/>
        </row>
        <row r="129">
          <cell r="X129"/>
        </row>
        <row r="130">
          <cell r="X130"/>
        </row>
        <row r="131">
          <cell r="X131"/>
        </row>
        <row r="132">
          <cell r="X132"/>
        </row>
        <row r="133">
          <cell r="X133"/>
        </row>
        <row r="134">
          <cell r="X134"/>
        </row>
        <row r="135">
          <cell r="X135"/>
        </row>
        <row r="136">
          <cell r="X136"/>
        </row>
        <row r="137">
          <cell r="X137"/>
        </row>
        <row r="138">
          <cell r="X138"/>
        </row>
        <row r="139">
          <cell r="X139"/>
        </row>
        <row r="140">
          <cell r="X140"/>
        </row>
        <row r="141">
          <cell r="X141"/>
        </row>
        <row r="142">
          <cell r="X142"/>
        </row>
        <row r="143">
          <cell r="X143"/>
        </row>
        <row r="144">
          <cell r="X144"/>
        </row>
        <row r="145">
          <cell r="X145"/>
        </row>
        <row r="146">
          <cell r="X146"/>
        </row>
        <row r="147">
          <cell r="X147"/>
        </row>
        <row r="148">
          <cell r="X148"/>
        </row>
        <row r="149">
          <cell r="X149"/>
        </row>
        <row r="150">
          <cell r="X150"/>
        </row>
        <row r="151">
          <cell r="X151"/>
        </row>
        <row r="152">
          <cell r="X152"/>
        </row>
        <row r="153">
          <cell r="X153"/>
        </row>
        <row r="154">
          <cell r="X154"/>
        </row>
        <row r="155">
          <cell r="X155"/>
        </row>
        <row r="156">
          <cell r="X156"/>
        </row>
        <row r="157">
          <cell r="X157"/>
        </row>
        <row r="158">
          <cell r="X158"/>
        </row>
        <row r="159">
          <cell r="X159"/>
        </row>
        <row r="160">
          <cell r="X160"/>
        </row>
        <row r="161">
          <cell r="X161"/>
        </row>
        <row r="162">
          <cell r="X162"/>
        </row>
        <row r="163">
          <cell r="X163"/>
        </row>
        <row r="164">
          <cell r="X164"/>
        </row>
        <row r="165">
          <cell r="X165"/>
        </row>
        <row r="166">
          <cell r="X166"/>
        </row>
        <row r="167">
          <cell r="X167"/>
        </row>
        <row r="168">
          <cell r="X168"/>
        </row>
        <row r="169">
          <cell r="X169"/>
        </row>
        <row r="170">
          <cell r="X170"/>
        </row>
        <row r="171">
          <cell r="X171"/>
        </row>
        <row r="172">
          <cell r="X172"/>
        </row>
        <row r="173">
          <cell r="X173"/>
        </row>
        <row r="174">
          <cell r="X174"/>
        </row>
        <row r="175">
          <cell r="X175"/>
        </row>
        <row r="176">
          <cell r="X176"/>
        </row>
        <row r="177">
          <cell r="X177"/>
        </row>
        <row r="178">
          <cell r="X178"/>
        </row>
        <row r="179">
          <cell r="X179"/>
        </row>
        <row r="180">
          <cell r="X180"/>
        </row>
        <row r="181">
          <cell r="X181"/>
        </row>
        <row r="182">
          <cell r="X182"/>
        </row>
        <row r="183">
          <cell r="X183"/>
        </row>
        <row r="184">
          <cell r="X184"/>
        </row>
        <row r="185">
          <cell r="X185"/>
        </row>
        <row r="186">
          <cell r="X186"/>
        </row>
        <row r="187">
          <cell r="X187"/>
        </row>
        <row r="188">
          <cell r="X188"/>
        </row>
        <row r="189">
          <cell r="X189"/>
        </row>
        <row r="190">
          <cell r="X190"/>
        </row>
        <row r="191">
          <cell r="X191"/>
        </row>
        <row r="192">
          <cell r="X192"/>
        </row>
        <row r="193">
          <cell r="X193"/>
        </row>
        <row r="194">
          <cell r="X194"/>
        </row>
        <row r="195">
          <cell r="X195"/>
        </row>
        <row r="196">
          <cell r="X196"/>
        </row>
        <row r="197">
          <cell r="X197"/>
        </row>
        <row r="198">
          <cell r="X198"/>
        </row>
        <row r="199">
          <cell r="X199"/>
        </row>
        <row r="200">
          <cell r="X200"/>
        </row>
        <row r="201">
          <cell r="X201"/>
        </row>
        <row r="202">
          <cell r="X202"/>
        </row>
        <row r="203">
          <cell r="X203"/>
        </row>
        <row r="204">
          <cell r="X204"/>
        </row>
        <row r="205">
          <cell r="X205"/>
        </row>
        <row r="206">
          <cell r="X206"/>
        </row>
        <row r="207">
          <cell r="X207"/>
        </row>
        <row r="208">
          <cell r="X208"/>
        </row>
        <row r="209">
          <cell r="X209"/>
        </row>
        <row r="210">
          <cell r="X210"/>
        </row>
        <row r="211">
          <cell r="X211"/>
        </row>
        <row r="212">
          <cell r="X212"/>
        </row>
        <row r="213">
          <cell r="X213"/>
        </row>
        <row r="214">
          <cell r="X214"/>
        </row>
        <row r="215">
          <cell r="X215"/>
        </row>
        <row r="216">
          <cell r="X216"/>
        </row>
        <row r="217">
          <cell r="X217"/>
        </row>
        <row r="218">
          <cell r="X218"/>
        </row>
        <row r="219">
          <cell r="X219"/>
        </row>
        <row r="220">
          <cell r="X220"/>
        </row>
        <row r="221">
          <cell r="X221"/>
        </row>
        <row r="222">
          <cell r="X222"/>
        </row>
        <row r="223">
          <cell r="X223"/>
        </row>
        <row r="224">
          <cell r="X224"/>
        </row>
        <row r="225">
          <cell r="X225"/>
        </row>
        <row r="226">
          <cell r="X226"/>
        </row>
        <row r="227">
          <cell r="X227"/>
        </row>
        <row r="228">
          <cell r="X228"/>
        </row>
        <row r="229">
          <cell r="X229"/>
        </row>
        <row r="230">
          <cell r="X230"/>
        </row>
        <row r="231">
          <cell r="X231"/>
        </row>
        <row r="232">
          <cell r="X232"/>
        </row>
        <row r="233">
          <cell r="X233"/>
        </row>
        <row r="234">
          <cell r="X234"/>
        </row>
        <row r="235">
          <cell r="X235"/>
        </row>
        <row r="236">
          <cell r="X236"/>
        </row>
        <row r="237">
          <cell r="X237"/>
        </row>
        <row r="238">
          <cell r="X238"/>
        </row>
        <row r="239">
          <cell r="X239"/>
        </row>
        <row r="240">
          <cell r="X240"/>
        </row>
        <row r="241">
          <cell r="X241"/>
        </row>
        <row r="242">
          <cell r="X242"/>
        </row>
        <row r="243">
          <cell r="X243"/>
        </row>
        <row r="244">
          <cell r="X244"/>
        </row>
        <row r="245">
          <cell r="X245"/>
        </row>
        <row r="246">
          <cell r="X246"/>
        </row>
        <row r="247">
          <cell r="X247"/>
        </row>
        <row r="248">
          <cell r="X248"/>
        </row>
        <row r="249">
          <cell r="X249"/>
        </row>
        <row r="250">
          <cell r="X250"/>
        </row>
        <row r="251">
          <cell r="X251"/>
        </row>
        <row r="252">
          <cell r="X252"/>
        </row>
        <row r="253">
          <cell r="X253"/>
        </row>
        <row r="254">
          <cell r="X254"/>
        </row>
        <row r="255">
          <cell r="X255"/>
        </row>
        <row r="256">
          <cell r="X256"/>
        </row>
        <row r="257">
          <cell r="X257"/>
        </row>
        <row r="258">
          <cell r="X258"/>
        </row>
        <row r="259">
          <cell r="X259"/>
        </row>
        <row r="260">
          <cell r="X260"/>
        </row>
        <row r="261">
          <cell r="X261"/>
        </row>
        <row r="262">
          <cell r="X262"/>
        </row>
        <row r="263">
          <cell r="X263"/>
        </row>
        <row r="264">
          <cell r="X264"/>
        </row>
        <row r="265">
          <cell r="X265"/>
        </row>
        <row r="266">
          <cell r="X266"/>
        </row>
        <row r="267">
          <cell r="X267"/>
        </row>
        <row r="268">
          <cell r="X268"/>
        </row>
        <row r="269">
          <cell r="X269"/>
        </row>
        <row r="270">
          <cell r="X270"/>
        </row>
        <row r="271">
          <cell r="X271"/>
        </row>
        <row r="272">
          <cell r="X272"/>
        </row>
        <row r="273">
          <cell r="X273"/>
        </row>
        <row r="274">
          <cell r="X274"/>
        </row>
        <row r="275">
          <cell r="X275"/>
        </row>
        <row r="276">
          <cell r="X276"/>
        </row>
        <row r="277">
          <cell r="X277"/>
        </row>
        <row r="278">
          <cell r="X278"/>
        </row>
        <row r="279">
          <cell r="X279"/>
        </row>
        <row r="280">
          <cell r="X280"/>
        </row>
        <row r="281">
          <cell r="X281"/>
        </row>
        <row r="282">
          <cell r="X282"/>
        </row>
        <row r="283">
          <cell r="X283"/>
        </row>
        <row r="284">
          <cell r="X284"/>
        </row>
        <row r="285">
          <cell r="X285"/>
        </row>
        <row r="286">
          <cell r="X286"/>
        </row>
        <row r="287">
          <cell r="X287"/>
        </row>
        <row r="288">
          <cell r="X288"/>
        </row>
        <row r="289">
          <cell r="X289"/>
        </row>
        <row r="290">
          <cell r="X290"/>
        </row>
        <row r="291">
          <cell r="X291"/>
        </row>
        <row r="292">
          <cell r="X292"/>
        </row>
        <row r="293">
          <cell r="X293"/>
        </row>
        <row r="294">
          <cell r="X294"/>
        </row>
        <row r="295">
          <cell r="X295"/>
        </row>
        <row r="296">
          <cell r="X296"/>
        </row>
        <row r="297">
          <cell r="X297"/>
        </row>
        <row r="298">
          <cell r="X298"/>
        </row>
        <row r="299">
          <cell r="X299"/>
        </row>
        <row r="300">
          <cell r="X300"/>
        </row>
        <row r="301">
          <cell r="X301"/>
        </row>
        <row r="302">
          <cell r="X302"/>
        </row>
        <row r="303">
          <cell r="X303"/>
        </row>
        <row r="304">
          <cell r="X304"/>
        </row>
        <row r="305">
          <cell r="X305"/>
        </row>
        <row r="306">
          <cell r="X306"/>
        </row>
        <row r="307">
          <cell r="X307"/>
        </row>
        <row r="308">
          <cell r="X308"/>
        </row>
        <row r="309">
          <cell r="X309"/>
        </row>
        <row r="310">
          <cell r="X310"/>
        </row>
        <row r="311">
          <cell r="X311"/>
        </row>
        <row r="312">
          <cell r="X312"/>
        </row>
        <row r="313">
          <cell r="X313"/>
        </row>
        <row r="314">
          <cell r="X314"/>
        </row>
        <row r="315">
          <cell r="X315"/>
        </row>
        <row r="316">
          <cell r="X316"/>
        </row>
        <row r="317">
          <cell r="X317"/>
        </row>
        <row r="318">
          <cell r="X318"/>
        </row>
        <row r="319">
          <cell r="X319"/>
        </row>
        <row r="320">
          <cell r="X320"/>
        </row>
        <row r="321">
          <cell r="X321"/>
        </row>
        <row r="322">
          <cell r="X322"/>
        </row>
        <row r="323">
          <cell r="X323"/>
        </row>
        <row r="324">
          <cell r="X324"/>
        </row>
        <row r="325">
          <cell r="X325"/>
        </row>
        <row r="326">
          <cell r="X326"/>
        </row>
        <row r="327">
          <cell r="X327"/>
        </row>
        <row r="328">
          <cell r="X328"/>
        </row>
        <row r="329">
          <cell r="X329"/>
        </row>
        <row r="330">
          <cell r="X330"/>
        </row>
        <row r="331">
          <cell r="X331"/>
        </row>
        <row r="332">
          <cell r="X332"/>
        </row>
        <row r="333">
          <cell r="X333"/>
        </row>
        <row r="334">
          <cell r="X334"/>
        </row>
        <row r="335">
          <cell r="X335"/>
        </row>
        <row r="336">
          <cell r="X336"/>
        </row>
        <row r="337">
          <cell r="X337"/>
        </row>
        <row r="338">
          <cell r="X338"/>
        </row>
        <row r="339">
          <cell r="X339"/>
        </row>
        <row r="340">
          <cell r="X340"/>
        </row>
        <row r="341">
          <cell r="X341"/>
        </row>
        <row r="342">
          <cell r="X342"/>
        </row>
        <row r="343">
          <cell r="X343"/>
        </row>
        <row r="344">
          <cell r="X344"/>
        </row>
        <row r="345">
          <cell r="X345"/>
        </row>
        <row r="346">
          <cell r="X346"/>
        </row>
        <row r="347">
          <cell r="X347"/>
        </row>
        <row r="348">
          <cell r="X348"/>
        </row>
        <row r="349">
          <cell r="X349"/>
        </row>
        <row r="350">
          <cell r="X350"/>
        </row>
        <row r="351">
          <cell r="X351"/>
        </row>
        <row r="352">
          <cell r="X352"/>
        </row>
        <row r="353">
          <cell r="X353"/>
        </row>
        <row r="354">
          <cell r="X354"/>
        </row>
        <row r="355">
          <cell r="X355"/>
        </row>
        <row r="356">
          <cell r="X356"/>
        </row>
        <row r="357">
          <cell r="X357"/>
        </row>
        <row r="358">
          <cell r="X358"/>
        </row>
        <row r="359">
          <cell r="X359"/>
        </row>
        <row r="360">
          <cell r="X360"/>
        </row>
        <row r="361">
          <cell r="X361"/>
        </row>
        <row r="362">
          <cell r="X362"/>
        </row>
        <row r="363">
          <cell r="X363"/>
        </row>
        <row r="364">
          <cell r="X364"/>
        </row>
        <row r="365">
          <cell r="X365"/>
        </row>
        <row r="366">
          <cell r="X366"/>
        </row>
        <row r="367">
          <cell r="X367"/>
        </row>
        <row r="368">
          <cell r="X368"/>
        </row>
        <row r="369">
          <cell r="X369"/>
        </row>
        <row r="370">
          <cell r="X370"/>
        </row>
        <row r="371">
          <cell r="X371"/>
        </row>
        <row r="372">
          <cell r="X372"/>
        </row>
        <row r="373">
          <cell r="X373"/>
        </row>
        <row r="374">
          <cell r="X374"/>
        </row>
        <row r="375">
          <cell r="X375"/>
        </row>
        <row r="376">
          <cell r="X376"/>
        </row>
        <row r="377">
          <cell r="X377"/>
        </row>
        <row r="378">
          <cell r="X378"/>
        </row>
        <row r="379">
          <cell r="X379"/>
        </row>
        <row r="380">
          <cell r="X380"/>
        </row>
        <row r="381">
          <cell r="X381"/>
        </row>
        <row r="382">
          <cell r="X382"/>
        </row>
        <row r="383">
          <cell r="X383"/>
        </row>
        <row r="384">
          <cell r="X384"/>
        </row>
        <row r="385">
          <cell r="X385"/>
        </row>
        <row r="386">
          <cell r="X386"/>
        </row>
        <row r="387">
          <cell r="X387"/>
        </row>
        <row r="388">
          <cell r="X388"/>
        </row>
        <row r="389">
          <cell r="X389"/>
        </row>
        <row r="390">
          <cell r="X390"/>
        </row>
        <row r="391">
          <cell r="X391"/>
        </row>
        <row r="392">
          <cell r="X392"/>
        </row>
        <row r="393">
          <cell r="X393"/>
        </row>
        <row r="394">
          <cell r="X394"/>
        </row>
        <row r="395">
          <cell r="X395"/>
        </row>
        <row r="396">
          <cell r="X396"/>
        </row>
        <row r="397">
          <cell r="X397"/>
        </row>
        <row r="398">
          <cell r="X398"/>
        </row>
        <row r="399">
          <cell r="X399"/>
        </row>
        <row r="400">
          <cell r="X400"/>
        </row>
        <row r="401">
          <cell r="X401"/>
        </row>
        <row r="402">
          <cell r="X402"/>
        </row>
        <row r="403">
          <cell r="X403"/>
        </row>
        <row r="404">
          <cell r="X404"/>
        </row>
        <row r="405">
          <cell r="X405"/>
        </row>
        <row r="406">
          <cell r="X406"/>
        </row>
        <row r="407">
          <cell r="X407"/>
        </row>
        <row r="408">
          <cell r="X408"/>
        </row>
        <row r="409">
          <cell r="X409"/>
        </row>
        <row r="410">
          <cell r="X410"/>
        </row>
        <row r="411">
          <cell r="X411"/>
        </row>
        <row r="412">
          <cell r="X412"/>
        </row>
        <row r="413">
          <cell r="X413"/>
        </row>
        <row r="414">
          <cell r="X414"/>
        </row>
        <row r="415">
          <cell r="X415"/>
        </row>
        <row r="416">
          <cell r="X416"/>
        </row>
        <row r="417">
          <cell r="X417"/>
        </row>
        <row r="418">
          <cell r="X418"/>
        </row>
        <row r="419">
          <cell r="X419"/>
        </row>
        <row r="420">
          <cell r="X420"/>
        </row>
        <row r="421">
          <cell r="X421"/>
        </row>
        <row r="422">
          <cell r="X422"/>
        </row>
        <row r="423">
          <cell r="X423"/>
        </row>
        <row r="424">
          <cell r="X424"/>
        </row>
        <row r="425">
          <cell r="X425"/>
        </row>
        <row r="426">
          <cell r="X426"/>
        </row>
        <row r="427">
          <cell r="X427"/>
        </row>
        <row r="428">
          <cell r="X428"/>
        </row>
        <row r="429">
          <cell r="X429"/>
        </row>
        <row r="430">
          <cell r="X430"/>
        </row>
        <row r="431">
          <cell r="X431"/>
        </row>
        <row r="432">
          <cell r="X432"/>
        </row>
        <row r="433">
          <cell r="X433"/>
        </row>
        <row r="434">
          <cell r="X434"/>
        </row>
        <row r="435">
          <cell r="X435"/>
        </row>
        <row r="436">
          <cell r="X436"/>
        </row>
        <row r="437">
          <cell r="X437"/>
        </row>
        <row r="438">
          <cell r="X438"/>
        </row>
        <row r="439">
          <cell r="X439"/>
        </row>
        <row r="440">
          <cell r="X440"/>
        </row>
        <row r="441">
          <cell r="X441"/>
        </row>
        <row r="442">
          <cell r="X442"/>
        </row>
        <row r="443">
          <cell r="X443"/>
        </row>
        <row r="444">
          <cell r="X444"/>
        </row>
        <row r="445">
          <cell r="X445"/>
        </row>
        <row r="446">
          <cell r="X446"/>
        </row>
        <row r="447">
          <cell r="X447"/>
        </row>
        <row r="448">
          <cell r="X448"/>
        </row>
        <row r="449">
          <cell r="X449"/>
        </row>
        <row r="450">
          <cell r="X450"/>
        </row>
        <row r="451">
          <cell r="X451"/>
        </row>
        <row r="452">
          <cell r="X452"/>
        </row>
        <row r="453">
          <cell r="X453"/>
        </row>
        <row r="454">
          <cell r="X454"/>
        </row>
        <row r="455">
          <cell r="X455"/>
        </row>
        <row r="456">
          <cell r="X456"/>
        </row>
        <row r="457">
          <cell r="X457"/>
        </row>
        <row r="458">
          <cell r="X458"/>
        </row>
        <row r="459">
          <cell r="X459"/>
        </row>
        <row r="460">
          <cell r="X460"/>
        </row>
        <row r="461">
          <cell r="X461"/>
        </row>
        <row r="462">
          <cell r="X462"/>
        </row>
        <row r="463">
          <cell r="X463"/>
        </row>
        <row r="464">
          <cell r="X464"/>
        </row>
        <row r="465">
          <cell r="X465"/>
        </row>
        <row r="466">
          <cell r="X466"/>
        </row>
        <row r="467">
          <cell r="X467"/>
        </row>
        <row r="468">
          <cell r="X468"/>
        </row>
        <row r="469">
          <cell r="X469"/>
        </row>
        <row r="470">
          <cell r="X470"/>
        </row>
        <row r="471">
          <cell r="X471"/>
        </row>
        <row r="472">
          <cell r="X472"/>
        </row>
        <row r="473">
          <cell r="X473"/>
        </row>
        <row r="474">
          <cell r="X474"/>
        </row>
        <row r="475">
          <cell r="X475"/>
        </row>
        <row r="476">
          <cell r="X476"/>
        </row>
        <row r="477">
          <cell r="X477"/>
        </row>
        <row r="478">
          <cell r="X478"/>
        </row>
        <row r="479">
          <cell r="X479"/>
        </row>
        <row r="480">
          <cell r="X480"/>
        </row>
        <row r="481">
          <cell r="X481"/>
        </row>
        <row r="482">
          <cell r="X482"/>
        </row>
        <row r="483">
          <cell r="X483"/>
        </row>
        <row r="484">
          <cell r="X484"/>
        </row>
        <row r="485">
          <cell r="X485"/>
        </row>
        <row r="486">
          <cell r="X486"/>
        </row>
        <row r="487">
          <cell r="X487"/>
        </row>
        <row r="488">
          <cell r="X488"/>
        </row>
        <row r="489">
          <cell r="X489"/>
        </row>
        <row r="490">
          <cell r="X490"/>
        </row>
        <row r="491">
          <cell r="X491"/>
        </row>
        <row r="492">
          <cell r="X492"/>
        </row>
        <row r="493">
          <cell r="X493"/>
        </row>
        <row r="494">
          <cell r="X494"/>
        </row>
        <row r="495">
          <cell r="X495"/>
        </row>
        <row r="496">
          <cell r="X496"/>
        </row>
        <row r="497">
          <cell r="X497"/>
        </row>
        <row r="498">
          <cell r="X498"/>
        </row>
        <row r="499">
          <cell r="X499"/>
        </row>
        <row r="500">
          <cell r="X500"/>
        </row>
        <row r="501">
          <cell r="X501"/>
        </row>
        <row r="502">
          <cell r="X502"/>
        </row>
        <row r="503">
          <cell r="X503"/>
        </row>
        <row r="504">
          <cell r="X504"/>
        </row>
        <row r="505">
          <cell r="X505"/>
        </row>
        <row r="506">
          <cell r="X506"/>
        </row>
        <row r="507">
          <cell r="X507"/>
        </row>
        <row r="508">
          <cell r="X508"/>
        </row>
        <row r="509">
          <cell r="X509"/>
        </row>
        <row r="510">
          <cell r="X510"/>
        </row>
        <row r="511">
          <cell r="X511"/>
        </row>
        <row r="512">
          <cell r="X512"/>
        </row>
        <row r="513">
          <cell r="X513"/>
        </row>
        <row r="514">
          <cell r="X514"/>
        </row>
        <row r="515">
          <cell r="X515"/>
        </row>
        <row r="516">
          <cell r="X516"/>
        </row>
        <row r="517">
          <cell r="X517"/>
        </row>
        <row r="518">
          <cell r="X518"/>
        </row>
        <row r="519">
          <cell r="X519"/>
        </row>
        <row r="520">
          <cell r="X520"/>
        </row>
        <row r="521">
          <cell r="X521"/>
        </row>
        <row r="522">
          <cell r="X522"/>
        </row>
        <row r="523">
          <cell r="X523"/>
        </row>
        <row r="524">
          <cell r="X524"/>
        </row>
        <row r="525">
          <cell r="X525"/>
        </row>
        <row r="526">
          <cell r="X526"/>
        </row>
        <row r="527">
          <cell r="X527"/>
        </row>
        <row r="528">
          <cell r="X528"/>
        </row>
        <row r="529">
          <cell r="X529"/>
        </row>
        <row r="530">
          <cell r="X530"/>
        </row>
        <row r="531">
          <cell r="X531"/>
        </row>
        <row r="532">
          <cell r="X532"/>
        </row>
        <row r="533">
          <cell r="X533"/>
        </row>
        <row r="534">
          <cell r="X534"/>
        </row>
        <row r="535">
          <cell r="X535"/>
        </row>
        <row r="536">
          <cell r="X536"/>
        </row>
        <row r="537">
          <cell r="X537"/>
        </row>
        <row r="538">
          <cell r="X538"/>
        </row>
        <row r="539">
          <cell r="X539"/>
        </row>
        <row r="540">
          <cell r="X540"/>
        </row>
        <row r="541">
          <cell r="X541"/>
        </row>
        <row r="542">
          <cell r="X542"/>
        </row>
        <row r="543">
          <cell r="X543"/>
        </row>
        <row r="544">
          <cell r="X544"/>
        </row>
        <row r="545">
          <cell r="X545"/>
        </row>
        <row r="546">
          <cell r="X546"/>
        </row>
        <row r="547">
          <cell r="X547"/>
        </row>
        <row r="548">
          <cell r="X548"/>
        </row>
        <row r="549">
          <cell r="X549"/>
        </row>
        <row r="550">
          <cell r="X550"/>
        </row>
        <row r="551">
          <cell r="X551"/>
        </row>
        <row r="552">
          <cell r="X552"/>
        </row>
        <row r="553">
          <cell r="X553"/>
        </row>
        <row r="554">
          <cell r="X554"/>
        </row>
        <row r="555">
          <cell r="X555"/>
        </row>
        <row r="556">
          <cell r="X556"/>
        </row>
        <row r="557">
          <cell r="X557"/>
        </row>
        <row r="558">
          <cell r="X558"/>
        </row>
        <row r="559">
          <cell r="X559"/>
        </row>
        <row r="560">
          <cell r="X560"/>
        </row>
        <row r="561">
          <cell r="X561"/>
        </row>
        <row r="562">
          <cell r="X562"/>
        </row>
        <row r="563">
          <cell r="X563"/>
        </row>
        <row r="564">
          <cell r="X564"/>
        </row>
        <row r="565">
          <cell r="X565"/>
        </row>
        <row r="566">
          <cell r="X566"/>
        </row>
        <row r="567">
          <cell r="X567"/>
        </row>
        <row r="568">
          <cell r="X568"/>
        </row>
        <row r="569">
          <cell r="X569"/>
        </row>
        <row r="570">
          <cell r="X570"/>
        </row>
        <row r="571">
          <cell r="X571"/>
        </row>
        <row r="572">
          <cell r="X572"/>
        </row>
        <row r="573">
          <cell r="X573"/>
        </row>
        <row r="574">
          <cell r="X574"/>
        </row>
        <row r="575">
          <cell r="X575"/>
        </row>
        <row r="576">
          <cell r="X576"/>
        </row>
        <row r="577">
          <cell r="X577"/>
        </row>
        <row r="578">
          <cell r="X578"/>
        </row>
        <row r="579">
          <cell r="X579"/>
        </row>
        <row r="580">
          <cell r="X580"/>
        </row>
        <row r="581">
          <cell r="X581"/>
        </row>
        <row r="582">
          <cell r="X582"/>
        </row>
        <row r="583">
          <cell r="X583"/>
        </row>
        <row r="584">
          <cell r="X584"/>
        </row>
        <row r="585">
          <cell r="X585"/>
        </row>
        <row r="586">
          <cell r="X586"/>
        </row>
        <row r="587">
          <cell r="X587"/>
        </row>
        <row r="588">
          <cell r="X588"/>
        </row>
        <row r="589">
          <cell r="X589"/>
        </row>
        <row r="590">
          <cell r="X590"/>
        </row>
        <row r="591">
          <cell r="X591"/>
        </row>
        <row r="592">
          <cell r="X592"/>
        </row>
        <row r="593">
          <cell r="X593"/>
        </row>
        <row r="594">
          <cell r="X594"/>
        </row>
        <row r="595">
          <cell r="X595"/>
        </row>
        <row r="596">
          <cell r="X596"/>
        </row>
        <row r="597">
          <cell r="X597"/>
        </row>
        <row r="598">
          <cell r="X598"/>
        </row>
        <row r="599">
          <cell r="X599"/>
        </row>
        <row r="600">
          <cell r="X600"/>
        </row>
        <row r="601">
          <cell r="X601"/>
        </row>
        <row r="602">
          <cell r="X602"/>
        </row>
        <row r="603">
          <cell r="X603"/>
        </row>
        <row r="604">
          <cell r="X604"/>
        </row>
        <row r="605">
          <cell r="X605"/>
        </row>
        <row r="606">
          <cell r="X606"/>
        </row>
        <row r="607">
          <cell r="X607"/>
        </row>
        <row r="608">
          <cell r="X608"/>
        </row>
        <row r="609">
          <cell r="X609"/>
        </row>
        <row r="610">
          <cell r="X610"/>
        </row>
        <row r="611">
          <cell r="X611"/>
        </row>
        <row r="612">
          <cell r="X612"/>
        </row>
        <row r="613">
          <cell r="X613"/>
        </row>
        <row r="614">
          <cell r="X614"/>
        </row>
        <row r="615">
          <cell r="X615"/>
        </row>
        <row r="616">
          <cell r="X616"/>
        </row>
        <row r="617">
          <cell r="X617"/>
        </row>
        <row r="618">
          <cell r="X618"/>
        </row>
        <row r="619">
          <cell r="X619"/>
        </row>
        <row r="620">
          <cell r="X620"/>
        </row>
        <row r="621">
          <cell r="X621"/>
        </row>
        <row r="622">
          <cell r="X622"/>
        </row>
        <row r="623">
          <cell r="X623"/>
        </row>
        <row r="624">
          <cell r="X624"/>
        </row>
        <row r="625">
          <cell r="X625"/>
        </row>
        <row r="626">
          <cell r="X626"/>
        </row>
        <row r="627">
          <cell r="X627"/>
        </row>
        <row r="628">
          <cell r="X628"/>
        </row>
        <row r="629">
          <cell r="X629"/>
        </row>
        <row r="630">
          <cell r="X630"/>
        </row>
        <row r="631">
          <cell r="X631"/>
        </row>
        <row r="632">
          <cell r="X632"/>
        </row>
        <row r="633">
          <cell r="X633"/>
        </row>
        <row r="634">
          <cell r="X634"/>
        </row>
        <row r="635">
          <cell r="X635"/>
        </row>
        <row r="636">
          <cell r="X636"/>
        </row>
        <row r="637">
          <cell r="X637"/>
        </row>
        <row r="638">
          <cell r="X638"/>
        </row>
        <row r="639">
          <cell r="X639"/>
        </row>
        <row r="640">
          <cell r="X640"/>
        </row>
        <row r="641">
          <cell r="X641"/>
        </row>
        <row r="642">
          <cell r="X642"/>
        </row>
        <row r="643">
          <cell r="X643"/>
        </row>
        <row r="644">
          <cell r="X644"/>
        </row>
        <row r="645">
          <cell r="X645"/>
        </row>
        <row r="646">
          <cell r="X646"/>
        </row>
        <row r="647">
          <cell r="X647"/>
        </row>
        <row r="648">
          <cell r="X648"/>
        </row>
        <row r="649">
          <cell r="X649"/>
        </row>
        <row r="650">
          <cell r="X650"/>
        </row>
        <row r="651">
          <cell r="X651"/>
        </row>
        <row r="652">
          <cell r="X652"/>
        </row>
        <row r="653">
          <cell r="X653"/>
        </row>
        <row r="654">
          <cell r="X654"/>
        </row>
        <row r="655">
          <cell r="X655"/>
        </row>
        <row r="656">
          <cell r="X656"/>
        </row>
        <row r="657">
          <cell r="X657"/>
        </row>
        <row r="658">
          <cell r="X658"/>
        </row>
        <row r="659">
          <cell r="X659"/>
        </row>
        <row r="660">
          <cell r="X660"/>
        </row>
        <row r="661">
          <cell r="X661"/>
        </row>
        <row r="662">
          <cell r="X662"/>
        </row>
        <row r="663">
          <cell r="X663"/>
        </row>
        <row r="664">
          <cell r="X664"/>
        </row>
        <row r="665">
          <cell r="X665"/>
        </row>
        <row r="666">
          <cell r="X666"/>
        </row>
        <row r="667">
          <cell r="X667"/>
        </row>
        <row r="668">
          <cell r="X668"/>
        </row>
        <row r="669">
          <cell r="X669"/>
        </row>
        <row r="670">
          <cell r="X670"/>
        </row>
        <row r="671">
          <cell r="X671"/>
        </row>
        <row r="672">
          <cell r="X672"/>
        </row>
        <row r="673">
          <cell r="X673"/>
        </row>
        <row r="674">
          <cell r="X674"/>
        </row>
        <row r="675">
          <cell r="X675"/>
        </row>
        <row r="676">
          <cell r="X676"/>
        </row>
        <row r="677">
          <cell r="X677"/>
        </row>
        <row r="678">
          <cell r="X678"/>
        </row>
        <row r="679">
          <cell r="X679"/>
        </row>
        <row r="680">
          <cell r="X680"/>
        </row>
        <row r="681">
          <cell r="X681"/>
        </row>
        <row r="682">
          <cell r="X682"/>
        </row>
        <row r="683">
          <cell r="X683"/>
        </row>
        <row r="684">
          <cell r="X684"/>
        </row>
        <row r="685">
          <cell r="X685"/>
        </row>
        <row r="686">
          <cell r="X686"/>
        </row>
        <row r="687">
          <cell r="X687"/>
        </row>
        <row r="688">
          <cell r="X688"/>
        </row>
        <row r="689">
          <cell r="X689"/>
        </row>
        <row r="690">
          <cell r="X690"/>
        </row>
        <row r="691">
          <cell r="X691"/>
        </row>
        <row r="692">
          <cell r="X692"/>
        </row>
        <row r="693">
          <cell r="X693"/>
        </row>
        <row r="694">
          <cell r="X694"/>
        </row>
        <row r="695">
          <cell r="X695"/>
        </row>
        <row r="696">
          <cell r="X696"/>
        </row>
        <row r="697">
          <cell r="X697"/>
        </row>
        <row r="698">
          <cell r="X698"/>
        </row>
        <row r="699">
          <cell r="X699"/>
        </row>
        <row r="700">
          <cell r="X700"/>
        </row>
        <row r="701">
          <cell r="X701"/>
        </row>
        <row r="702">
          <cell r="X702"/>
        </row>
        <row r="703">
          <cell r="X703"/>
        </row>
        <row r="704">
          <cell r="X704"/>
        </row>
        <row r="705">
          <cell r="X705"/>
        </row>
        <row r="706">
          <cell r="X706"/>
        </row>
        <row r="707">
          <cell r="X707"/>
        </row>
        <row r="708">
          <cell r="X708"/>
        </row>
        <row r="709">
          <cell r="X709"/>
        </row>
        <row r="710">
          <cell r="X710"/>
        </row>
        <row r="711">
          <cell r="X711"/>
        </row>
        <row r="712">
          <cell r="X712"/>
        </row>
        <row r="713">
          <cell r="X713"/>
        </row>
        <row r="714">
          <cell r="X714"/>
        </row>
        <row r="715">
          <cell r="X715"/>
        </row>
        <row r="716">
          <cell r="X716"/>
        </row>
        <row r="717">
          <cell r="X717"/>
        </row>
        <row r="718">
          <cell r="X718"/>
        </row>
        <row r="719">
          <cell r="X719"/>
        </row>
        <row r="720">
          <cell r="X720"/>
        </row>
        <row r="721">
          <cell r="X721"/>
        </row>
        <row r="722">
          <cell r="X722"/>
        </row>
        <row r="723">
          <cell r="X723"/>
        </row>
        <row r="724">
          <cell r="X724"/>
        </row>
        <row r="725">
          <cell r="X725"/>
        </row>
        <row r="726">
          <cell r="X726"/>
        </row>
        <row r="727">
          <cell r="X727"/>
        </row>
        <row r="728">
          <cell r="X728"/>
        </row>
        <row r="729">
          <cell r="X729"/>
        </row>
        <row r="730">
          <cell r="X730"/>
        </row>
        <row r="731">
          <cell r="X731"/>
        </row>
        <row r="732">
          <cell r="X732"/>
        </row>
        <row r="733">
          <cell r="X733"/>
        </row>
        <row r="734">
          <cell r="X734"/>
        </row>
        <row r="735">
          <cell r="X735"/>
        </row>
        <row r="736">
          <cell r="X736"/>
        </row>
        <row r="737">
          <cell r="X737"/>
        </row>
        <row r="738">
          <cell r="X738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C1:M38"/>
  <sheetViews>
    <sheetView view="pageBreakPreview" zoomScale="70" zoomScaleNormal="85" zoomScaleSheetLayoutView="70" workbookViewId="0">
      <selection activeCell="E14" sqref="E14:F14"/>
    </sheetView>
  </sheetViews>
  <sheetFormatPr defaultColWidth="4.85546875" defaultRowHeight="25.35" customHeight="1"/>
  <cols>
    <col min="1" max="2" width="4.85546875" style="3" customWidth="1"/>
    <col min="3" max="3" width="26.42578125" style="16" customWidth="1"/>
    <col min="4" max="4" width="39.140625" style="3" customWidth="1"/>
    <col min="5" max="5" width="25.85546875" style="17" customWidth="1"/>
    <col min="6" max="6" width="83.28515625" style="17" customWidth="1"/>
    <col min="7" max="7" width="22.42578125" style="17" customWidth="1"/>
    <col min="8" max="8" width="43.5703125" style="18" customWidth="1"/>
    <col min="9" max="9" width="4.85546875" style="3"/>
    <col min="10" max="10" width="4.85546875" style="3" customWidth="1"/>
    <col min="11" max="16384" width="4.85546875" style="3"/>
  </cols>
  <sheetData>
    <row r="1" spans="3:12" ht="20.100000000000001" customHeight="1">
      <c r="C1" s="347"/>
      <c r="D1" s="350" t="s">
        <v>57</v>
      </c>
      <c r="E1" s="351"/>
      <c r="F1" s="352"/>
      <c r="G1" s="28" t="str">
        <f>'BOM_Phan II'!$P$1</f>
        <v>Số hiệu:</v>
      </c>
      <c r="H1" s="29" t="s">
        <v>41</v>
      </c>
    </row>
    <row r="2" spans="3:12" ht="20.100000000000001" customHeight="1">
      <c r="C2" s="348"/>
      <c r="D2" s="353"/>
      <c r="E2" s="353"/>
      <c r="F2" s="354"/>
      <c r="G2" s="28" t="str">
        <f>'BOM_Phan II'!$P$2</f>
        <v>Lần ban hành:</v>
      </c>
      <c r="H2" s="30"/>
    </row>
    <row r="3" spans="3:12" ht="20.100000000000001" customHeight="1">
      <c r="C3" s="349"/>
      <c r="D3" s="355"/>
      <c r="E3" s="355"/>
      <c r="F3" s="356"/>
      <c r="G3" s="50" t="str">
        <f>'BOM_Phan II'!$P$3</f>
        <v>Ngày hiệu lực:</v>
      </c>
      <c r="H3" s="51"/>
    </row>
    <row r="4" spans="3:12" ht="25.35" customHeight="1">
      <c r="C4" s="57" t="str">
        <f>'BOM_Phan II'!$C$4:$E$4</f>
        <v>Dự án :</v>
      </c>
      <c r="D4" s="61" t="str">
        <f>'BOM_Phan II'!E4</f>
        <v>SYCAMORE</v>
      </c>
      <c r="E4" s="61" t="str">
        <f>'BOM_Phan II'!$O$4</f>
        <v>Đơn hàng :</v>
      </c>
      <c r="F4" s="61" t="str">
        <f>'BOM_Phan II'!P4</f>
        <v>2511_SYCAMORE_CT01_REV01</v>
      </c>
      <c r="G4" s="358" t="s">
        <v>32</v>
      </c>
      <c r="H4" s="359"/>
    </row>
    <row r="5" spans="3:12" ht="35.1" customHeight="1">
      <c r="C5" s="58" t="str">
        <f>'BOM_Phan II'!$C$5:$E$5</f>
        <v>Tên Sản phẩm:</v>
      </c>
      <c r="D5" s="98" t="str">
        <f>'BOM_Phan II'!E5</f>
        <v>Cửa chính căn hộ , 1 cánh mở</v>
      </c>
      <c r="E5" s="62" t="str">
        <f>'BOM_Phan II'!$O$5</f>
        <v>Kích thước :</v>
      </c>
      <c r="F5" s="62" t="str">
        <f>'BOM_Phan II'!P5</f>
        <v>Theo bản vẽ</v>
      </c>
      <c r="G5" s="360"/>
      <c r="H5" s="361"/>
    </row>
    <row r="6" spans="3:12" ht="35.1" customHeight="1">
      <c r="C6" s="59" t="str">
        <f>'BOM_Phan II'!$C$6:$E$6</f>
        <v>Mã sản phẩm :</v>
      </c>
      <c r="D6" s="99" t="str">
        <f>'BOM_Phan II'!E6</f>
        <v>DC113B(EI60)</v>
      </c>
      <c r="E6" s="62" t="str">
        <f>'BOM_Phan II'!$O$6</f>
        <v>Số lượng :</v>
      </c>
      <c r="F6" s="62" t="str">
        <f>'BOM_Phan II'!P6</f>
        <v>1 BỘ</v>
      </c>
      <c r="G6" s="360"/>
      <c r="H6" s="361"/>
    </row>
    <row r="7" spans="3:12" ht="35.1" customHeight="1">
      <c r="C7" s="59" t="str">
        <f>'BOM_Phan II'!$C$7:$E$7</f>
        <v>Mục số :</v>
      </c>
      <c r="D7" s="99">
        <f>'BOM_Phan II'!E7</f>
        <v>9.1</v>
      </c>
      <c r="E7" s="62" t="str">
        <f>'BOM_Phan II'!$O$7</f>
        <v>Kết cấu :</v>
      </c>
      <c r="F7" s="62" t="str">
        <f>'BOM_Phan II'!P7</f>
        <v>Module</v>
      </c>
      <c r="G7" s="360"/>
      <c r="H7" s="361"/>
    </row>
    <row r="8" spans="3:12" ht="35.1" customHeight="1">
      <c r="C8" s="60" t="str">
        <f>'BOM_Phan II'!$C$8:$E$8</f>
        <v>Vật liệu:</v>
      </c>
      <c r="D8" s="63" t="str">
        <f>'BOM_Phan II'!E8</f>
        <v>MDF LAMINATE</v>
      </c>
      <c r="E8" s="64" t="str">
        <f>'BOM_Phan II'!$O$8</f>
        <v>Hoàn thiện :</v>
      </c>
      <c r="F8" s="64" t="str">
        <f>'BOM_Phan II'!P8</f>
        <v>Theo bản vẽ</v>
      </c>
      <c r="G8" s="362"/>
      <c r="H8" s="363"/>
    </row>
    <row r="9" spans="3:12" ht="23.25" customHeight="1">
      <c r="C9" s="367"/>
      <c r="D9" s="368"/>
      <c r="E9" s="368"/>
      <c r="F9" s="368"/>
      <c r="G9" s="368"/>
      <c r="H9" s="369"/>
      <c r="K9" s="346"/>
      <c r="L9" s="346"/>
    </row>
    <row r="10" spans="3:12" ht="42" customHeight="1">
      <c r="C10" s="1" t="s">
        <v>10</v>
      </c>
      <c r="D10" s="1" t="s">
        <v>11</v>
      </c>
      <c r="E10" s="364" t="s">
        <v>33</v>
      </c>
      <c r="F10" s="364"/>
      <c r="G10" s="2" t="s">
        <v>12</v>
      </c>
      <c r="H10" s="2" t="s">
        <v>13</v>
      </c>
    </row>
    <row r="11" spans="3:12" ht="39" customHeight="1">
      <c r="C11" s="20"/>
      <c r="D11" s="20"/>
      <c r="E11" s="365"/>
      <c r="F11" s="366"/>
      <c r="G11" s="21"/>
      <c r="H11" s="22"/>
    </row>
    <row r="12" spans="3:12" ht="39" customHeight="1">
      <c r="C12" s="6"/>
      <c r="D12" s="7"/>
      <c r="E12" s="357"/>
      <c r="F12" s="357"/>
      <c r="G12" s="4"/>
      <c r="H12" s="5"/>
    </row>
    <row r="13" spans="3:12" ht="39" customHeight="1">
      <c r="C13" s="6"/>
      <c r="D13" s="7"/>
      <c r="E13" s="357"/>
      <c r="F13" s="357"/>
      <c r="G13" s="7"/>
      <c r="H13" s="8"/>
    </row>
    <row r="14" spans="3:12" ht="39" customHeight="1">
      <c r="C14" s="6"/>
      <c r="D14" s="7"/>
      <c r="E14" s="357"/>
      <c r="F14" s="357"/>
      <c r="G14" s="7"/>
      <c r="H14" s="8"/>
    </row>
    <row r="15" spans="3:12" ht="39" customHeight="1">
      <c r="C15" s="6"/>
      <c r="D15" s="7"/>
      <c r="E15" s="357"/>
      <c r="F15" s="357"/>
      <c r="G15" s="7"/>
      <c r="H15" s="8"/>
    </row>
    <row r="16" spans="3:12" ht="39" customHeight="1">
      <c r="C16" s="6"/>
      <c r="D16" s="7"/>
      <c r="E16" s="357"/>
      <c r="F16" s="357"/>
      <c r="G16" s="7"/>
      <c r="H16" s="8"/>
    </row>
    <row r="17" spans="3:13" ht="39" customHeight="1">
      <c r="C17" s="6"/>
      <c r="D17" s="7" t="s">
        <v>48</v>
      </c>
      <c r="E17" s="344"/>
      <c r="F17" s="345"/>
      <c r="G17" s="7"/>
      <c r="H17" s="8"/>
    </row>
    <row r="18" spans="3:13" ht="25.35" customHeight="1">
      <c r="C18" s="9"/>
      <c r="D18" s="9"/>
      <c r="E18" s="9"/>
      <c r="F18" s="10"/>
      <c r="H18" s="10"/>
      <c r="I18" s="10"/>
      <c r="J18" s="10"/>
      <c r="K18" s="9"/>
      <c r="L18" s="9"/>
      <c r="M18" s="9"/>
    </row>
    <row r="19" spans="3:13" ht="25.35" customHeight="1">
      <c r="C19" s="11"/>
      <c r="D19" s="16"/>
      <c r="E19" s="12"/>
      <c r="F19" s="39"/>
      <c r="G19" s="65" t="str">
        <f ca="1">'BOM_Phan II'!P494</f>
        <v>Ngày 10 tháng 8 năm 2026</v>
      </c>
      <c r="H19" s="42"/>
      <c r="I19" s="42"/>
      <c r="K19" s="13"/>
      <c r="L19" s="11"/>
      <c r="M19" s="11"/>
    </row>
    <row r="20" spans="3:13" ht="25.35" customHeight="1">
      <c r="C20" s="13"/>
      <c r="D20" s="68" t="str">
        <f>'BOM_Phan II'!G495</f>
        <v>Kiểm duyệt</v>
      </c>
      <c r="E20" s="12"/>
      <c r="F20" s="12"/>
      <c r="G20" s="66" t="str">
        <f>'BOM_Phan II'!P495</f>
        <v>Người Lập</v>
      </c>
      <c r="H20" s="52"/>
      <c r="I20" s="52"/>
      <c r="K20" s="13"/>
      <c r="L20" s="11"/>
      <c r="M20" s="11"/>
    </row>
    <row r="21" spans="3:13" ht="25.35" customHeight="1">
      <c r="C21" s="13"/>
      <c r="D21" s="53"/>
      <c r="E21" s="12"/>
      <c r="F21" s="12"/>
      <c r="G21" s="54"/>
      <c r="H21" s="52"/>
      <c r="I21" s="52"/>
      <c r="K21" s="13"/>
      <c r="L21" s="11"/>
      <c r="M21" s="11"/>
    </row>
    <row r="22" spans="3:13" ht="25.35" customHeight="1">
      <c r="C22" s="13"/>
      <c r="D22" s="53"/>
      <c r="E22" s="12"/>
      <c r="F22" s="12"/>
      <c r="G22" s="54"/>
      <c r="H22" s="52"/>
      <c r="I22" s="52"/>
      <c r="K22" s="13"/>
      <c r="L22" s="11"/>
      <c r="M22" s="11"/>
    </row>
    <row r="23" spans="3:13" ht="25.35" customHeight="1">
      <c r="C23" s="13"/>
      <c r="D23" s="16"/>
      <c r="E23" s="12"/>
      <c r="F23" s="12"/>
      <c r="G23" s="54"/>
      <c r="H23" s="55"/>
      <c r="I23" s="15"/>
      <c r="K23" s="13"/>
      <c r="L23" s="11"/>
      <c r="M23" s="11"/>
    </row>
    <row r="24" spans="3:13" ht="25.35" customHeight="1">
      <c r="C24" s="13"/>
      <c r="D24" s="68" t="str">
        <f>'BOM_Phan III'!D85</f>
        <v xml:space="preserve"> Đỗ Hồng Thái</v>
      </c>
      <c r="E24" s="12"/>
      <c r="F24" s="12"/>
      <c r="G24" s="67" t="str">
        <f>'BOM_Phan II'!P499</f>
        <v>Phạm Thanh Huy</v>
      </c>
      <c r="H24" s="55"/>
      <c r="I24" s="15"/>
      <c r="K24" s="13"/>
      <c r="L24" s="11"/>
      <c r="M24" s="11"/>
    </row>
    <row r="25" spans="3:13" ht="25.35" customHeight="1">
      <c r="C25" s="13"/>
      <c r="D25" s="56"/>
      <c r="E25" s="12"/>
      <c r="F25" s="14"/>
      <c r="G25" s="54"/>
      <c r="H25" s="52"/>
      <c r="I25" s="52"/>
      <c r="K25" s="13"/>
      <c r="L25" s="11"/>
      <c r="M25" s="11"/>
    </row>
    <row r="26" spans="3:13" ht="25.35" customHeight="1">
      <c r="D26" s="45"/>
      <c r="E26" s="12"/>
      <c r="F26" s="45"/>
      <c r="G26" s="45"/>
      <c r="H26" s="46"/>
      <c r="I26" s="46"/>
      <c r="K26" s="13"/>
      <c r="L26" s="11"/>
      <c r="M26" s="11"/>
    </row>
    <row r="29" spans="3:13" ht="25.35" customHeight="1">
      <c r="G29" s="19"/>
    </row>
    <row r="36" spans="3:11" ht="25.35" customHeight="1">
      <c r="C36" s="23"/>
      <c r="D36" s="24"/>
      <c r="E36" s="26"/>
      <c r="F36" s="25"/>
      <c r="G36" s="25"/>
      <c r="H36" s="26"/>
      <c r="I36" s="24"/>
      <c r="J36" s="24"/>
      <c r="K36" s="24"/>
    </row>
    <row r="37" spans="3:11" ht="25.35" customHeight="1">
      <c r="C37" s="23"/>
      <c r="D37" s="24"/>
      <c r="E37" s="26"/>
      <c r="F37" s="25"/>
      <c r="G37" s="25"/>
      <c r="H37" s="26"/>
      <c r="I37" s="24"/>
      <c r="J37" s="24"/>
      <c r="K37" s="24"/>
    </row>
    <row r="38" spans="3:11" ht="25.35" customHeight="1">
      <c r="C38" s="23"/>
      <c r="D38" s="24"/>
      <c r="E38" s="26"/>
      <c r="F38" s="25"/>
      <c r="G38" s="27"/>
      <c r="H38" s="26"/>
      <c r="I38" s="24"/>
      <c r="J38" s="24"/>
      <c r="K38" s="24"/>
    </row>
  </sheetData>
  <sheetProtection formatCells="0" formatColumns="0" formatRows="0" insertHyperlinks="0" sort="0" autoFilter="0" pivotTables="0"/>
  <mergeCells count="14">
    <mergeCell ref="E17:F17"/>
    <mergeCell ref="K9:L9"/>
    <mergeCell ref="C1:C3"/>
    <mergeCell ref="D1:F3"/>
    <mergeCell ref="E15:F15"/>
    <mergeCell ref="E16:F16"/>
    <mergeCell ref="G4:H4"/>
    <mergeCell ref="G5:H8"/>
    <mergeCell ref="E10:F10"/>
    <mergeCell ref="E11:F11"/>
    <mergeCell ref="E12:F12"/>
    <mergeCell ref="E13:F13"/>
    <mergeCell ref="E14:F14"/>
    <mergeCell ref="C9:H9"/>
  </mergeCells>
  <printOptions horizontalCentered="1"/>
  <pageMargins left="0" right="0" top="0.25" bottom="0.25" header="0" footer="0"/>
  <pageSetup paperSize="9" scale="60" orientation="landscape" r:id="rId1"/>
  <headerFooter scaleWithDoc="0" alignWithMargins="0">
    <oddFooter>Page &amp;P of &amp;N</oddFooter>
  </headerFooter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FF00"/>
  </sheetPr>
  <dimension ref="A1:AX525"/>
  <sheetViews>
    <sheetView view="pageBreakPreview" zoomScale="55" zoomScaleNormal="55" zoomScaleSheetLayoutView="55" workbookViewId="0">
      <pane ySplit="11" topLeftCell="A12" activePane="bottomLeft" state="frozen"/>
      <selection activeCell="F24" sqref="F24"/>
      <selection pane="bottomLeft" activeCell="I18" sqref="I18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31.5703125" style="16" customWidth="1"/>
    <col min="5" max="7" width="11.140625" style="16" customWidth="1"/>
    <col min="8" max="8" width="7.42578125" style="16" customWidth="1"/>
    <col min="9" max="9" width="48.85546875" style="18" customWidth="1"/>
    <col min="10" max="10" width="32.5703125" style="280" customWidth="1"/>
    <col min="11" max="12" width="9.42578125" style="18" customWidth="1"/>
    <col min="13" max="14" width="9.42578125" style="17" customWidth="1"/>
    <col min="15" max="15" width="38.140625" style="18" customWidth="1"/>
    <col min="16" max="16" width="27.140625" style="16" customWidth="1"/>
    <col min="17" max="21" width="8.5703125" style="17" customWidth="1"/>
    <col min="22" max="22" width="4.85546875" style="18" customWidth="1"/>
    <col min="23" max="24" width="8.85546875" style="3" customWidth="1"/>
    <col min="25" max="25" width="17.140625" style="3" customWidth="1"/>
    <col min="26" max="26" width="9.7109375" style="3" bestFit="1" customWidth="1"/>
    <col min="27" max="27" width="16.42578125" style="3" bestFit="1" customWidth="1"/>
    <col min="28" max="30" width="4.85546875" style="3"/>
    <col min="31" max="31" width="11.85546875" style="3" customWidth="1"/>
    <col min="32" max="32" width="20.7109375" style="3" hidden="1" customWidth="1"/>
    <col min="33" max="33" width="13.7109375" style="3" hidden="1" customWidth="1"/>
    <col min="34" max="34" width="5.140625" style="3" hidden="1" customWidth="1"/>
    <col min="35" max="35" width="11.42578125" style="3" bestFit="1" customWidth="1"/>
    <col min="36" max="36" width="4.85546875" style="3"/>
    <col min="37" max="38" width="13.5703125" style="234" customWidth="1"/>
    <col min="39" max="39" width="15" style="3" customWidth="1"/>
    <col min="40" max="40" width="8.85546875" style="3" customWidth="1"/>
    <col min="41" max="16384" width="4.85546875" style="3"/>
  </cols>
  <sheetData>
    <row r="1" spans="1:50" ht="20.100000000000001" customHeight="1">
      <c r="C1" s="314"/>
      <c r="D1" s="315"/>
      <c r="E1" s="316"/>
      <c r="F1" s="334" t="s">
        <v>60</v>
      </c>
      <c r="G1" s="335"/>
      <c r="H1" s="335"/>
      <c r="I1" s="335"/>
      <c r="J1" s="335"/>
      <c r="K1" s="335"/>
      <c r="L1" s="335"/>
      <c r="M1" s="335"/>
      <c r="N1" s="335"/>
      <c r="O1" s="336"/>
      <c r="P1" s="125" t="s">
        <v>29</v>
      </c>
      <c r="Q1" s="328" t="s">
        <v>41</v>
      </c>
      <c r="R1" s="329"/>
      <c r="S1" s="329"/>
      <c r="T1" s="329"/>
      <c r="U1" s="330"/>
      <c r="V1" s="101"/>
      <c r="W1" s="3" t="s">
        <v>166</v>
      </c>
      <c r="X1" s="296" t="s">
        <v>65</v>
      </c>
      <c r="Y1" s="297"/>
      <c r="Z1" s="298"/>
      <c r="AK1" s="236"/>
      <c r="AL1" s="236"/>
    </row>
    <row r="2" spans="1:50" ht="20.100000000000001" customHeight="1" thickBot="1">
      <c r="C2" s="317"/>
      <c r="D2" s="318"/>
      <c r="E2" s="319"/>
      <c r="F2" s="337"/>
      <c r="G2" s="338"/>
      <c r="H2" s="338"/>
      <c r="I2" s="338"/>
      <c r="J2" s="338"/>
      <c r="K2" s="338"/>
      <c r="L2" s="338"/>
      <c r="M2" s="338"/>
      <c r="N2" s="338"/>
      <c r="O2" s="339"/>
      <c r="P2" s="28" t="s">
        <v>30</v>
      </c>
      <c r="Q2" s="331"/>
      <c r="R2" s="332"/>
      <c r="S2" s="332"/>
      <c r="T2" s="332"/>
      <c r="U2" s="333"/>
      <c r="V2" s="102"/>
      <c r="W2" s="32" t="s">
        <v>165</v>
      </c>
      <c r="X2" s="299"/>
      <c r="Y2" s="300"/>
      <c r="Z2" s="301"/>
      <c r="AE2" s="31"/>
      <c r="AF2" s="32" t="s">
        <v>47</v>
      </c>
      <c r="AG2" s="32" t="s">
        <v>64</v>
      </c>
      <c r="AH2" s="32"/>
      <c r="AI2" s="32"/>
      <c r="AJ2" s="32"/>
      <c r="AK2" s="236"/>
      <c r="AL2" s="236"/>
    </row>
    <row r="3" spans="1:50" ht="20.100000000000001" customHeight="1" thickBot="1">
      <c r="C3" s="320"/>
      <c r="D3" s="321"/>
      <c r="E3" s="322"/>
      <c r="F3" s="340"/>
      <c r="G3" s="341"/>
      <c r="H3" s="341"/>
      <c r="I3" s="341"/>
      <c r="J3" s="341"/>
      <c r="K3" s="341"/>
      <c r="L3" s="341"/>
      <c r="M3" s="341"/>
      <c r="N3" s="341"/>
      <c r="O3" s="342"/>
      <c r="P3" s="28" t="s">
        <v>31</v>
      </c>
      <c r="Q3" s="331"/>
      <c r="R3" s="332"/>
      <c r="S3" s="332"/>
      <c r="T3" s="332"/>
      <c r="U3" s="333"/>
      <c r="V3" s="103"/>
      <c r="W3" s="3" t="s">
        <v>167</v>
      </c>
      <c r="X3" s="49"/>
      <c r="Y3" s="93">
        <v>6</v>
      </c>
      <c r="Z3" s="49"/>
      <c r="AE3" s="31"/>
      <c r="AF3" s="32" t="s">
        <v>61</v>
      </c>
      <c r="AG3" s="32"/>
      <c r="AH3" s="32"/>
      <c r="AI3" s="32"/>
      <c r="AJ3" s="32"/>
      <c r="AK3" s="236"/>
      <c r="AL3" s="236"/>
    </row>
    <row r="4" spans="1:50" ht="25.35" customHeight="1">
      <c r="C4" s="326" t="s">
        <v>25</v>
      </c>
      <c r="D4" s="327"/>
      <c r="E4" s="95" t="s">
        <v>191</v>
      </c>
      <c r="F4" s="211"/>
      <c r="G4" s="211"/>
      <c r="H4" s="211"/>
      <c r="I4" s="85"/>
      <c r="J4" s="115"/>
      <c r="K4" s="115"/>
      <c r="L4" s="115"/>
      <c r="M4" s="116"/>
      <c r="N4" s="116"/>
      <c r="O4" s="122" t="s">
        <v>24</v>
      </c>
      <c r="P4" s="95" t="s">
        <v>190</v>
      </c>
      <c r="Q4" s="116"/>
      <c r="R4" s="116"/>
      <c r="S4" s="116"/>
      <c r="T4" s="116"/>
      <c r="U4" s="126"/>
      <c r="V4" s="104"/>
      <c r="AE4" s="31"/>
      <c r="AF4" s="32" t="s">
        <v>88</v>
      </c>
      <c r="AG4" s="32"/>
      <c r="AH4" s="32" t="s">
        <v>74</v>
      </c>
      <c r="AI4" s="32"/>
      <c r="AJ4" s="32"/>
      <c r="AK4" s="236"/>
      <c r="AL4" s="236"/>
    </row>
    <row r="5" spans="1:50" ht="25.35" customHeight="1">
      <c r="C5" s="284" t="s">
        <v>28</v>
      </c>
      <c r="D5" s="285"/>
      <c r="E5" s="96" t="s">
        <v>192</v>
      </c>
      <c r="F5" s="212"/>
      <c r="G5" s="212"/>
      <c r="H5" s="212"/>
      <c r="I5" s="86"/>
      <c r="J5" s="117"/>
      <c r="K5" s="117"/>
      <c r="L5" s="117"/>
      <c r="M5" s="118"/>
      <c r="N5" s="118"/>
      <c r="O5" s="121" t="s">
        <v>27</v>
      </c>
      <c r="P5" s="88" t="s">
        <v>84</v>
      </c>
      <c r="Q5" s="118"/>
      <c r="R5" s="118"/>
      <c r="S5" s="118"/>
      <c r="T5" s="118"/>
      <c r="U5" s="127"/>
      <c r="V5" s="104"/>
      <c r="AE5" s="31"/>
      <c r="AF5" s="32" t="s">
        <v>62</v>
      </c>
      <c r="AG5" s="32"/>
      <c r="AH5" s="32" t="s">
        <v>75</v>
      </c>
      <c r="AJ5" s="32"/>
      <c r="AK5" s="236"/>
      <c r="AL5" s="236"/>
    </row>
    <row r="6" spans="1:50" ht="25.35" customHeight="1">
      <c r="C6" s="284" t="s">
        <v>23</v>
      </c>
      <c r="D6" s="285"/>
      <c r="E6" s="96" t="s">
        <v>300</v>
      </c>
      <c r="F6" s="192"/>
      <c r="G6" s="192"/>
      <c r="H6" s="192"/>
      <c r="I6" s="87"/>
      <c r="J6" s="117"/>
      <c r="K6" s="117"/>
      <c r="L6" s="117"/>
      <c r="M6" s="118"/>
      <c r="N6" s="118"/>
      <c r="O6" s="121" t="s">
        <v>26</v>
      </c>
      <c r="P6" s="62" t="s">
        <v>89</v>
      </c>
      <c r="Q6" s="118"/>
      <c r="R6" s="118"/>
      <c r="S6" s="118"/>
      <c r="T6" s="118"/>
      <c r="U6" s="127"/>
      <c r="V6" s="104"/>
      <c r="AE6" s="31"/>
      <c r="AF6" s="32" t="s">
        <v>63</v>
      </c>
      <c r="AG6" s="32"/>
      <c r="AH6" s="32"/>
      <c r="AI6" s="32"/>
      <c r="AJ6" s="32"/>
      <c r="AK6" s="236"/>
      <c r="AL6" s="236"/>
    </row>
    <row r="7" spans="1:50" ht="25.35" customHeight="1">
      <c r="C7" s="284" t="s">
        <v>21</v>
      </c>
      <c r="D7" s="285"/>
      <c r="E7" s="88">
        <v>9.1</v>
      </c>
      <c r="F7" s="192"/>
      <c r="G7" s="192"/>
      <c r="H7" s="192"/>
      <c r="I7" s="87"/>
      <c r="J7" s="117"/>
      <c r="K7" s="117"/>
      <c r="L7" s="117"/>
      <c r="M7" s="118"/>
      <c r="N7" s="118"/>
      <c r="O7" s="121" t="s">
        <v>34</v>
      </c>
      <c r="P7" s="88" t="s">
        <v>90</v>
      </c>
      <c r="Q7" s="245"/>
      <c r="R7" s="245"/>
      <c r="S7" s="245"/>
      <c r="T7" s="245"/>
      <c r="U7" s="127"/>
      <c r="V7" s="104"/>
      <c r="X7" s="47"/>
      <c r="AE7" s="31"/>
      <c r="AF7" s="32" t="s">
        <v>64</v>
      </c>
      <c r="AG7" s="32"/>
      <c r="AH7" s="32"/>
      <c r="AI7" s="32"/>
      <c r="AJ7" s="32"/>
      <c r="AK7" s="236"/>
      <c r="AL7" s="236"/>
    </row>
    <row r="8" spans="1:50" ht="25.35" customHeight="1">
      <c r="C8" s="302" t="s">
        <v>9</v>
      </c>
      <c r="D8" s="303"/>
      <c r="E8" s="97" t="s">
        <v>193</v>
      </c>
      <c r="F8" s="213"/>
      <c r="G8" s="213"/>
      <c r="H8" s="213"/>
      <c r="I8" s="91"/>
      <c r="J8" s="119"/>
      <c r="K8" s="119"/>
      <c r="L8" s="119"/>
      <c r="M8" s="120"/>
      <c r="N8" s="120"/>
      <c r="O8" s="123" t="s">
        <v>22</v>
      </c>
      <c r="P8" s="88" t="s">
        <v>84</v>
      </c>
      <c r="Q8" s="120"/>
      <c r="R8" s="120"/>
      <c r="S8" s="120"/>
      <c r="T8" s="120"/>
      <c r="U8" s="128"/>
      <c r="V8" s="104"/>
      <c r="AE8" s="31"/>
      <c r="AF8" s="32" t="s">
        <v>81</v>
      </c>
      <c r="AG8" s="32"/>
      <c r="AH8" s="32"/>
      <c r="AI8" s="32"/>
      <c r="AJ8" s="32"/>
      <c r="AK8" s="236"/>
      <c r="AL8" s="236"/>
    </row>
    <row r="9" spans="1:50" ht="23.25" customHeight="1" thickBot="1">
      <c r="C9" s="311"/>
      <c r="D9" s="312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3"/>
      <c r="V9" s="16"/>
      <c r="AE9" s="31"/>
      <c r="AF9" s="32"/>
      <c r="AG9" s="32"/>
      <c r="AH9" s="32"/>
      <c r="AI9" s="32"/>
      <c r="AJ9" s="32"/>
      <c r="AK9" s="236"/>
      <c r="AL9" s="236"/>
    </row>
    <row r="10" spans="1:50" ht="33" customHeight="1">
      <c r="A10" s="294" t="s">
        <v>71</v>
      </c>
      <c r="B10" s="295" t="s">
        <v>72</v>
      </c>
      <c r="C10" s="323" t="s">
        <v>10</v>
      </c>
      <c r="D10" s="306" t="s">
        <v>40</v>
      </c>
      <c r="E10" s="308" t="s">
        <v>1</v>
      </c>
      <c r="F10" s="309"/>
      <c r="G10" s="309"/>
      <c r="H10" s="309" t="s">
        <v>0</v>
      </c>
      <c r="I10" s="306" t="s">
        <v>59</v>
      </c>
      <c r="J10" s="325" t="s">
        <v>3</v>
      </c>
      <c r="K10" s="325"/>
      <c r="L10" s="309" t="s">
        <v>5</v>
      </c>
      <c r="M10" s="309"/>
      <c r="N10" s="309"/>
      <c r="O10" s="287" t="s">
        <v>67</v>
      </c>
      <c r="P10" s="304" t="s">
        <v>58</v>
      </c>
      <c r="Q10" s="289" t="s">
        <v>44</v>
      </c>
      <c r="R10" s="292" t="s">
        <v>45</v>
      </c>
      <c r="S10" s="292" t="s">
        <v>7</v>
      </c>
      <c r="T10" s="289" t="s">
        <v>8</v>
      </c>
      <c r="U10" s="290"/>
      <c r="V10" s="343" t="s">
        <v>76</v>
      </c>
      <c r="AF10" s="32"/>
      <c r="AK10" s="236"/>
      <c r="AL10" s="236"/>
    </row>
    <row r="11" spans="1:50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94" t="s">
        <v>17</v>
      </c>
      <c r="K11" s="94" t="s">
        <v>6</v>
      </c>
      <c r="L11" s="94" t="s">
        <v>4</v>
      </c>
      <c r="M11" s="94" t="s">
        <v>35</v>
      </c>
      <c r="N11" s="94" t="s">
        <v>36</v>
      </c>
      <c r="O11" s="288"/>
      <c r="P11" s="305"/>
      <c r="Q11" s="291"/>
      <c r="R11" s="293"/>
      <c r="S11" s="293"/>
      <c r="T11" s="111" t="s">
        <v>37</v>
      </c>
      <c r="U11" s="124" t="s">
        <v>2</v>
      </c>
      <c r="V11" s="343"/>
      <c r="W11" s="48" t="s">
        <v>53</v>
      </c>
      <c r="X11" s="243" t="s">
        <v>184</v>
      </c>
      <c r="Y11" s="33"/>
      <c r="Z11" s="33" t="str">
        <f>RemoveDupes2(_xlfn.CONCAT($Y$13:$Y$482),",")&amp;","</f>
        <v>00025.19644.41726.950974.314961.867051.0981620.6945120.300518.02156054.9234290.29366551.58289450.9838710.05868456.56884.0320.29161.258560.782880.05661964.74877510.1347225.33685.163751.3862.088281251.732517.7420753.3020812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,</v>
      </c>
      <c r="AA11" s="3" t="str">
        <f>RemoveDupes2(_xlfn.CONCAT($AA$13:$AA$482),",")&amp;","</f>
        <v>4,7,12,24,</v>
      </c>
      <c r="AF11" s="32"/>
      <c r="AK11" s="236"/>
      <c r="AL11" s="236"/>
      <c r="AX11" s="3" t="str">
        <f>+W11</f>
        <v>LỌC IN</v>
      </c>
    </row>
    <row r="12" spans="1:50" s="155" customFormat="1" ht="30" customHeight="1">
      <c r="A12" s="141" t="str">
        <f t="shared" ref="A12" si="0">IF(W12="IN",$E$6,"")</f>
        <v>DC113B(EI60)</v>
      </c>
      <c r="B12" s="141" t="str">
        <f>IF(W12="IN","Muc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4"/>
      <c r="K12" s="144"/>
      <c r="L12" s="146"/>
      <c r="M12" s="144"/>
      <c r="N12" s="144"/>
      <c r="O12" s="147"/>
      <c r="P12" s="148"/>
      <c r="Q12" s="149"/>
      <c r="R12" s="150"/>
      <c r="S12" s="151"/>
      <c r="T12" s="151"/>
      <c r="U12" s="152"/>
      <c r="V12" s="153">
        <f>IF(W12="IN",$Y$3,"")</f>
        <v>6</v>
      </c>
      <c r="W12" s="153" t="str">
        <f t="shared" ref="W12" si="1">IF(OR(C12&lt;&gt;"",D12&lt;&gt;""),"IN","")</f>
        <v>IN</v>
      </c>
      <c r="X12" s="244"/>
      <c r="Y12" s="154"/>
      <c r="Z12" s="154" t="str">
        <f>IFERROR(FIND(".",$C13),"1000")</f>
        <v>1000</v>
      </c>
      <c r="AA12" s="153"/>
      <c r="AF12" s="156"/>
      <c r="AG12" s="156"/>
      <c r="AI12" s="156"/>
      <c r="AJ12" s="156"/>
      <c r="AK12" s="233"/>
      <c r="AL12" s="233"/>
      <c r="AX12" s="155" t="str">
        <f>W12</f>
        <v>IN</v>
      </c>
    </row>
    <row r="13" spans="1:50" s="155" customFormat="1" ht="30" hidden="1" customHeight="1">
      <c r="A13" s="141" t="str">
        <f t="shared" ref="A13:A492" si="2">IF(W13="IN",$E$6,"")</f>
        <v/>
      </c>
      <c r="B13" s="141" t="str">
        <f t="shared" ref="B13:B492" si="3">IF(W13="IN","Muc "&amp;$E$7,"")</f>
        <v/>
      </c>
      <c r="C13" s="157" t="str">
        <f>IF(D13="","",
    IF(ISERR(SEARCH("_",D13)),
        IFERROR(_xlfn.AGGREGATE(14,6,$C$12:C12,1),0)+1,
        IFERROR(
            VALUE(TRIM(MID(SUBSTITUTE(D13,"_",REPT(" ",LEN(D13))), (LEN(D13)-LEN(SUBSTITUTE(D13,"_",""))-1)*LEN(D13)+1, LEN(D13))))
            &amp; "." &amp;
            VALUE(TRIM(RIGHT(SUBSTITUTE(D13,"_",REPT(" ",LEN(D13))),LEN(D13)))),
            "")))</f>
        <v/>
      </c>
      <c r="D13" s="194"/>
      <c r="E13" s="163"/>
      <c r="F13" s="163"/>
      <c r="G13" s="163"/>
      <c r="H13" s="163"/>
      <c r="I13" s="194"/>
      <c r="J13" s="257"/>
      <c r="K13" s="159"/>
      <c r="L13" s="160"/>
      <c r="M13" s="159"/>
      <c r="N13" s="159"/>
      <c r="O13" s="161"/>
      <c r="P13" s="162" t="str">
        <f>IF(AND(LEFT(I13,2)="gỗ",M13&lt;&gt;""),IF(LEFT(RIGHT(IF(E13="","",INDEX($AL$501:$AL$525,VALUE(AI13),1)),3),2)="/4",AM13,AN13)&amp;" "&amp;IF(E13="","",INDEX($AL$501:$AL$525,VALUE(AI13),1)),IF(AND(LEFT(I13,2)="gỗ",M13=""),"loại BC"&amp;" "&amp;IF(E13="","",INDEX($AL$501:$AL$525,VALUE(AI13),1)),""))</f>
        <v/>
      </c>
      <c r="Q13" s="163" t="str">
        <f>IF(I13="","",IF(LEFT(I13,2)="gỗ","m3","Tấm"))</f>
        <v/>
      </c>
      <c r="R13" s="164">
        <f t="shared" ref="R13" si="4">IF(OR(Q13="Con",Q13="Cụm",Q13="Hệ",Q13="Thanh"),H13,IF(Q13="Tấm",(F13*G13*H13)/(1220*2440),IF(Q13="Md",G13*H13/1000,IF(Q13="M2",F13*G13*H13/10^6,IF(Q13="M3",E13*F13*G13*H13/10^9,0)))))</f>
        <v>0</v>
      </c>
      <c r="S13" s="165">
        <f>IF(ISERR(SEARCH("2d",K13)),IF(ISERR(SEARCH("1d",K13)),0,1),2)*($G13+40)*$H13/10^3+IF(ISERR(SEARCH("2r",K13)),IF(ISERR(SEARCH("1r",K13)),0,1),2)*($F13+40)*$H13/10^3</f>
        <v>0</v>
      </c>
      <c r="T13" s="165">
        <f>IF(ISERR(SEARCH("2m",M13)),IF(ISERR(SEARCH("1m",M13)),0,1),2)*$G13*$F13*$H13/10^6+IF(ISERR(SEARCH("2d",M13)),IF(ISERR(SEARCH("1d",M13)),0,1),2)*$G13*$E13*$H13/10^6+IF(ISERR(SEARCH("2r",M13)),IF(ISERR(SEARCH("1r",M13)),0,1),2)*$F13*$E13*$H13/10^6</f>
        <v>0</v>
      </c>
      <c r="U13" s="166">
        <f>IF(ISERR(SEARCH("2m",N13)),IF(ISERR(SEARCH("1m",N13)),0,1),2)*$G13*$F13*$H13/10^6+IF(ISERR(SEARCH("2d",N13)),IF(ISERR(SEARCH("1d",N13)),0,1),2)*$G13*$E13*$H13/10^6+IF(ISERR(SEARCH("2r",N13)),IF(ISERR(SEARCH("1r",N13)),0,1),2)*$F13*$E13*$H13/10^6</f>
        <v>0</v>
      </c>
      <c r="V13" s="153" t="str">
        <f t="shared" ref="V13:V492" si="5">IF(W13="IN",$Y$3,"")</f>
        <v/>
      </c>
      <c r="W13" s="153" t="str">
        <f t="shared" ref="W13:W492" si="6">IF(OR(C13&lt;&gt;"",D13&lt;&gt;""),"IN","")</f>
        <v/>
      </c>
      <c r="X13" s="244"/>
      <c r="Y13" s="154">
        <f>IFERROR((E13*F13*G13*H13*10^-9)*750,"")</f>
        <v>0</v>
      </c>
      <c r="Z13" s="154" t="str">
        <f t="shared" ref="Z13:Z157" si="7">IFERROR(FIND(".",$C14),"1000")</f>
        <v>1000</v>
      </c>
      <c r="AA13" s="153" t="str">
        <f t="shared" ref="AA13:AA14" si="8">IFERROR(MATCH(J13,$J$13:$J$482,0)&amp;",","")</f>
        <v/>
      </c>
      <c r="AD13" s="155" t="str">
        <f>IF(OR(I13="_",LEFT(I13,4)="KTHT"),"",IF(C13="","",1))</f>
        <v/>
      </c>
      <c r="AI13" s="155">
        <f t="array" ref="AI13">MATCH(MIN(IF($AK$501:$AK$525&gt;=IF(G13&gt;1499,E13+7,E13+5), $AK$501:$AK$525)), $AK$501:$AK$525, 0)</f>
        <v>5</v>
      </c>
      <c r="AK13" s="233"/>
      <c r="AL13" s="233"/>
      <c r="AM13" s="155" t="str">
        <f>IF(M13="","",IF(F13&gt;99,"FAS",IF(LEFT(I13,2)="Gỗ",IF(LEFT(M13,4)="2M2D","loại 1common",IF(AND(G13&gt;1699,LEFT(M13,4)&lt;&gt;"2M2D"),"loại 1common","loại 2common")),"")))</f>
        <v/>
      </c>
      <c r="AN13" s="155" t="str">
        <f>IF(AM13="","",IF(AM13="loại 1common","loại A",IF(AM13="loại 2common","loại AB","loại FAS")))</f>
        <v/>
      </c>
      <c r="AX13" s="155" t="str">
        <f t="shared" ref="AX13:AX14" si="9">W13</f>
        <v/>
      </c>
    </row>
    <row r="14" spans="1:50" s="155" customFormat="1" ht="30" hidden="1" customHeight="1">
      <c r="A14" s="141" t="str">
        <f t="shared" ref="A14" si="10">IF(W14="IN",$E$6,"")</f>
        <v/>
      </c>
      <c r="B14" s="141" t="str">
        <f t="shared" ref="B14" si="11">IF(W14="IN","Muc "&amp;$E$7,"")</f>
        <v/>
      </c>
      <c r="C14" s="157" t="str">
        <f>IF(D14="","",
    IF(ISERR(SEARCH("_",D14)),
        IFERROR(_xlfn.AGGREGATE(14,6,$C$12:C13,1),0)+1,
        IFERROR(
            VALUE(TRIM(MID(SUBSTITUTE(D14,"_",REPT(" ",LEN(D14))), (LEN(D14)-LEN(SUBSTITUTE(D14,"_",""))-1)*LEN(D14)+1, LEN(D14))))
            &amp; "." &amp;
            VALUE(TRIM(RIGHT(SUBSTITUTE(D14,"_",REPT(" ",LEN(D14))),LEN(D14)))),
            "")))</f>
        <v/>
      </c>
      <c r="D14" s="158"/>
      <c r="E14" s="159"/>
      <c r="F14" s="163"/>
      <c r="G14" s="163"/>
      <c r="H14" s="163"/>
      <c r="I14" s="158"/>
      <c r="J14" s="257"/>
      <c r="K14" s="159"/>
      <c r="L14" s="160"/>
      <c r="M14" s="159"/>
      <c r="N14" s="159"/>
      <c r="O14" s="161"/>
      <c r="P14" s="162" t="str">
        <f t="shared" ref="P14" si="12">IF(AND(LEFT(I14,2)="gỗ",M14&lt;&gt;""),IF(LEFT(RIGHT(IF(E14="","",INDEX($AL$501:$AL$525,VALUE(AI14),1)),3),2)="/4",AM14,AN14)&amp;" "&amp;IF(E14="","",INDEX($AL$501:$AL$525,VALUE(AI14),1)),IF(AND(LEFT(I14,2)="gỗ",M14=""),"loại BC"&amp;" "&amp;IF(E14="","",INDEX($AL$501:$AL$525,VALUE(AI14),1)),""))</f>
        <v/>
      </c>
      <c r="Q14" s="163" t="str">
        <f t="shared" ref="Q14" si="13">IF(I14="","",IF(LEFT(I14,2)="gỗ","m3","Tấm"))</f>
        <v/>
      </c>
      <c r="R14" s="164">
        <f t="shared" ref="R14" si="14">IF(OR(Q14="Con",Q14="Cụm",Q14="Hệ",Q14="Thanh"),H14,IF(Q14="Tấm",(F14*G14*H14)/(1220*2440),IF(Q14="Md",G14*H14/1000,IF(Q14="M2",F14*G14*H14/10^6,IF(Q14="M3",E14*F14*G14*H14/10^9,0)))))</f>
        <v>0</v>
      </c>
      <c r="S14" s="165">
        <f t="shared" ref="S14:S15" si="15">IF(ISERR(SEARCH("2d",K14)),IF(ISERR(SEARCH("1d",K14)),0,1),2)*($G14+40)*$H14/10^3+IF(ISERR(SEARCH("2r",K14)),IF(ISERR(SEARCH("1r",K14)),0,1),2)*($F14+40)*$H14/10^3</f>
        <v>0</v>
      </c>
      <c r="T14" s="165">
        <f t="shared" ref="T14" si="16">IF(ISERR(SEARCH("2m",M14)),IF(ISERR(SEARCH("1m",M14)),0,1),2)*$G14*$F14*$H14/10^6+IF(ISERR(SEARCH("2d",M14)),IF(ISERR(SEARCH("1d",M14)),0,1),2)*$G14*$E14*$H14/10^6+IF(ISERR(SEARCH("2r",M14)),IF(ISERR(SEARCH("1r",M14)),0,1),2)*$F14*$E14*$H14/10^6</f>
        <v>0</v>
      </c>
      <c r="U14" s="166">
        <f t="shared" ref="U14" si="17">IF(ISERR(SEARCH("2m",N14)),IF(ISERR(SEARCH("1m",N14)),0,1),2)*$G14*$F14*$H14/10^6+IF(ISERR(SEARCH("2d",N14)),IF(ISERR(SEARCH("1d",N14)),0,1),2)*$G14*$E14*$H14/10^6+IF(ISERR(SEARCH("2r",N14)),IF(ISERR(SEARCH("1r",N14)),0,1),2)*$F14*$E14*$H14/10^6</f>
        <v>0</v>
      </c>
      <c r="V14" s="153" t="str">
        <f t="shared" ref="V14" si="18">IF(W14="IN",$Y$3,"")</f>
        <v/>
      </c>
      <c r="W14" s="153" t="str">
        <f t="shared" ref="W14" si="19">IF(OR(C14&lt;&gt;"",D14&lt;&gt;""),"IN","")</f>
        <v/>
      </c>
      <c r="X14" s="244"/>
      <c r="Y14" s="154">
        <f t="shared" ref="Y14" si="20">IFERROR((E14*F14*G14*H14*10^-9)*750,"")</f>
        <v>0</v>
      </c>
      <c r="Z14" s="154" t="str">
        <f t="shared" si="7"/>
        <v>1000</v>
      </c>
      <c r="AA14" s="153" t="str">
        <f t="shared" si="8"/>
        <v/>
      </c>
      <c r="AD14" s="155" t="str">
        <f t="shared" ref="AD14" si="21">IF(OR(I14="_",LEFT(I14,4)="KTHT"),"",IF(C14="","",1))</f>
        <v/>
      </c>
      <c r="AI14" s="155">
        <f t="array" ref="AI14">MATCH(MIN(IF($AK$501:$AK$525&gt;=IF(G14&gt;1499,E14+7,E14+5), $AK$501:$AK$525)), $AK$501:$AK$525, 0)</f>
        <v>5</v>
      </c>
      <c r="AK14" s="233"/>
      <c r="AL14" s="233"/>
      <c r="AM14" s="155" t="str">
        <f t="shared" ref="AM14" si="22">IF(M14="","",IF(F14&gt;99,"FAS",IF(LEFT(I14,2)="Gỗ",IF(LEFT(M14,4)="2M2D","loại 1common",IF(AND(G14&gt;1699,LEFT(M14,4)&lt;&gt;"2M2D"),"loại 1common","loại 2common")),"")))</f>
        <v/>
      </c>
      <c r="AN14" s="155" t="str">
        <f t="shared" ref="AN14" si="23">IF(AM14="","",IF(AM14="loại 1common","loại A",IF(AM14="loại 2common","loại AB","loại FAS")))</f>
        <v/>
      </c>
      <c r="AX14" s="155" t="str">
        <f t="shared" si="9"/>
        <v/>
      </c>
    </row>
    <row r="15" spans="1:50" s="155" customFormat="1" ht="30" hidden="1" customHeight="1">
      <c r="A15" s="141" t="str">
        <f t="shared" ref="A15" si="24">IF(W15="IN",$E$6,"")</f>
        <v/>
      </c>
      <c r="B15" s="141" t="str">
        <f t="shared" ref="B15" si="25">IF(W15="IN","Muc "&amp;$E$7,"")</f>
        <v/>
      </c>
      <c r="C15" s="157" t="str">
        <f>IF(D15="","",
    IF(ISERR(SEARCH("_",D15)),
        IFERROR(_xlfn.AGGREGATE(14,6,$C$12:C14,1),0)+1,
        IFERROR(
            VALUE(TRIM(MID(SUBSTITUTE(D15,"_",REPT(" ",LEN(D15))), (LEN(D15)-LEN(SUBSTITUTE(D15,"_",""))-1)*LEN(D15)+1, LEN(D15))))
            &amp; "." &amp;
            VALUE(TRIM(RIGHT(SUBSTITUTE(D15,"_",REPT(" ",LEN(D15))),LEN(D15)))),
            "")))</f>
        <v/>
      </c>
      <c r="D15" s="158"/>
      <c r="E15" s="159"/>
      <c r="F15" s="163"/>
      <c r="G15" s="163"/>
      <c r="H15" s="163"/>
      <c r="I15" s="158"/>
      <c r="J15" s="257"/>
      <c r="K15" s="159"/>
      <c r="L15" s="160"/>
      <c r="M15" s="159"/>
      <c r="N15" s="159"/>
      <c r="O15" s="161"/>
      <c r="P15" s="162" t="str">
        <f t="shared" ref="P15" si="26">IF(AND(LEFT(I15,2)="gỗ",M15&lt;&gt;""),IF(LEFT(RIGHT(IF(E15="","",INDEX($AL$501:$AL$525,VALUE(AI15),1)),3),2)="/4",AM15,AN15)&amp;" "&amp;IF(E15="","",INDEX($AL$501:$AL$525,VALUE(AI15),1)),IF(AND(LEFT(I15,2)="gỗ",M15=""),"loại BC"&amp;" "&amp;IF(E15="","",INDEX($AL$501:$AL$525,VALUE(AI15),1)),""))</f>
        <v/>
      </c>
      <c r="Q15" s="163" t="str">
        <f t="shared" ref="Q15" si="27">IF(I15="","",IF(LEFT(I15,2)="gỗ","m3","Tấm"))</f>
        <v/>
      </c>
      <c r="R15" s="164">
        <f t="shared" ref="R15" si="28">IF(OR(Q15="Con",Q15="Cụm",Q15="Hệ",Q15="Thanh"),H15,IF(Q15="Tấm",(F15*G15*H15)/(1220*2440),IF(Q15="Md",G15*H15/1000,IF(Q15="M2",F15*G15*H15/10^6,IF(Q15="M3",E15*F15*G15*H15/10^9,0)))))</f>
        <v>0</v>
      </c>
      <c r="S15" s="165">
        <f t="shared" si="15"/>
        <v>0</v>
      </c>
      <c r="T15" s="165">
        <f t="shared" ref="T15" si="29">IF(ISERR(SEARCH("2m",M15)),IF(ISERR(SEARCH("1m",M15)),0,1),2)*$G15*$F15*$H15/10^6+IF(ISERR(SEARCH("2d",M15)),IF(ISERR(SEARCH("1d",M15)),0,1),2)*$G15*$E15*$H15/10^6+IF(ISERR(SEARCH("2r",M15)),IF(ISERR(SEARCH("1r",M15)),0,1),2)*$F15*$E15*$H15/10^6</f>
        <v>0</v>
      </c>
      <c r="U15" s="166">
        <f t="shared" ref="U15" si="30">IF(ISERR(SEARCH("2m",N15)),IF(ISERR(SEARCH("1m",N15)),0,1),2)*$G15*$F15*$H15/10^6+IF(ISERR(SEARCH("2d",N15)),IF(ISERR(SEARCH("1d",N15)),0,1),2)*$G15*$E15*$H15/10^6+IF(ISERR(SEARCH("2r",N15)),IF(ISERR(SEARCH("1r",N15)),0,1),2)*$F15*$E15*$H15/10^6</f>
        <v>0</v>
      </c>
      <c r="V15" s="153" t="str">
        <f t="shared" ref="V15" si="31">IF(W15="IN",$Y$3,"")</f>
        <v/>
      </c>
      <c r="W15" s="153" t="str">
        <f t="shared" ref="W15" si="32">IF(OR(C15&lt;&gt;"",D15&lt;&gt;""),"IN","")</f>
        <v/>
      </c>
      <c r="X15" s="244"/>
      <c r="Y15" s="154">
        <f t="shared" ref="Y15" si="33">IFERROR((E15*F15*G15*H15*10^-9)*750,"")</f>
        <v>0</v>
      </c>
      <c r="Z15" s="154" t="str">
        <f t="shared" si="7"/>
        <v>1000</v>
      </c>
      <c r="AA15" s="153" t="str">
        <f t="shared" ref="AA15" si="34">IFERROR(MATCH(J15,$J$13:$J$482,0)&amp;",","")</f>
        <v/>
      </c>
      <c r="AD15" s="155" t="str">
        <f t="shared" ref="AD15" si="35">IF(OR(I15="_",LEFT(I15,4)="KTHT"),"",IF(C15="","",1))</f>
        <v/>
      </c>
      <c r="AI15" s="155">
        <f t="array" ref="AI15">MATCH(MIN(IF($AK$501:$AK$525&gt;=IF(G15&gt;1499,E15+7,E15+5), $AK$501:$AK$525)), $AK$501:$AK$525, 0)</f>
        <v>5</v>
      </c>
      <c r="AK15" s="233"/>
      <c r="AL15" s="233"/>
      <c r="AM15" s="155" t="str">
        <f t="shared" ref="AM15" si="36">IF(M15="","",IF(F15&gt;99,"FAS",IF(LEFT(I15,2)="Gỗ",IF(LEFT(M15,4)="2M2D","loại 1common",IF(AND(G15&gt;1699,LEFT(M15,4)&lt;&gt;"2M2D"),"loại 1common","loại 2common")),"")))</f>
        <v/>
      </c>
      <c r="AN15" s="155" t="str">
        <f t="shared" ref="AN15" si="37">IF(AM15="","",IF(AM15="loại 1common","loại A",IF(AM15="loại 2common","loại AB","loại FAS")))</f>
        <v/>
      </c>
      <c r="AX15" s="155" t="str">
        <f t="shared" ref="AX15" si="38">W15</f>
        <v/>
      </c>
    </row>
    <row r="16" spans="1:50" s="155" customFormat="1" ht="30" customHeight="1">
      <c r="A16" s="141" t="str">
        <f t="shared" ref="A16:A79" si="39">IF(W16="IN",$E$6,"")</f>
        <v>DC113B(EI60)</v>
      </c>
      <c r="B16" s="141" t="str">
        <f t="shared" ref="B16:B79" si="40">IF(W16="IN","Muc "&amp;$E$7,"")</f>
        <v>Muc 9.1</v>
      </c>
      <c r="C16" s="157">
        <v>1</v>
      </c>
      <c r="D16" s="158" t="s">
        <v>194</v>
      </c>
      <c r="E16" s="159">
        <v>48</v>
      </c>
      <c r="F16" s="163">
        <v>150</v>
      </c>
      <c r="G16" s="163">
        <v>2333</v>
      </c>
      <c r="H16" s="163">
        <v>2</v>
      </c>
      <c r="I16" s="158" t="s">
        <v>301</v>
      </c>
      <c r="J16" s="257" t="s">
        <v>195</v>
      </c>
      <c r="K16" s="159" t="s">
        <v>235</v>
      </c>
      <c r="L16" s="160"/>
      <c r="M16" s="159"/>
      <c r="N16" s="159" t="s">
        <v>236</v>
      </c>
      <c r="O16" s="161" t="s">
        <v>243</v>
      </c>
      <c r="P16" s="162" t="s">
        <v>237</v>
      </c>
      <c r="Q16" s="163" t="str">
        <f t="shared" ref="Q16:Q79" si="41">IF(I16="","",IF(LEFT(I16,2)="gỗ","m3","Tấm"))</f>
        <v>Tấm</v>
      </c>
      <c r="R16" s="164">
        <f t="shared" ref="R16:R79" si="42">IF(OR(Q16="Con",Q16="Cụm",Q16="Hệ",Q16="Thanh"),H16,IF(Q16="Tấm",(F16*G16*H16)/(1220*2440),IF(Q16="Md",G16*H16/1000,IF(Q16="M2",F16*G16*H16/10^6,IF(Q16="M3",E16*F16*G16*H16/10^9,0)))))</f>
        <v>0.23511824778285406</v>
      </c>
      <c r="S16" s="165">
        <f t="shared" ref="S16:S79" si="43">IF(ISERR(SEARCH("2d",K16)),IF(ISERR(SEARCH("1d",K16)),0,1),2)*($G16+40)*$H16/10^3+IF(ISERR(SEARCH("2r",K16)),IF(ISERR(SEARCH("1r",K16)),0,1),2)*($F16+40)*$H16/10^3</f>
        <v>9.4920000000000009</v>
      </c>
      <c r="T16" s="165">
        <f t="shared" ref="T16:T79" si="44">IF(ISERR(SEARCH("2m",M16)),IF(ISERR(SEARCH("1m",M16)),0,1),2)*$G16*$F16*$H16/10^6+IF(ISERR(SEARCH("2d",M16)),IF(ISERR(SEARCH("1d",M16)),0,1),2)*$G16*$E16*$H16/10^6+IF(ISERR(SEARCH("2r",M16)),IF(ISERR(SEARCH("1r",M16)),0,1),2)*$F16*$E16*$H16/10^6</f>
        <v>0</v>
      </c>
      <c r="U16" s="166">
        <f t="shared" ref="U16:U79" si="45">IF(ISERR(SEARCH("2m",N16)),IF(ISERR(SEARCH("1m",N16)),0,1),2)*$G16*$F16*$H16/10^6+IF(ISERR(SEARCH("2d",N16)),IF(ISERR(SEARCH("1d",N16)),0,1),2)*$G16*$E16*$H16/10^6+IF(ISERR(SEARCH("2r",N16)),IF(ISERR(SEARCH("1r",N16)),0,1),2)*$F16*$E16*$H16/10^6</f>
        <v>0.72870000000000001</v>
      </c>
      <c r="V16" s="153">
        <f t="shared" ref="V16:V79" si="46">IF(W16="IN",$Y$3,"")</f>
        <v>6</v>
      </c>
      <c r="W16" s="153" t="str">
        <f t="shared" ref="W16:W79" si="47">IF(OR(C16&lt;&gt;"",D16&lt;&gt;""),"IN","")</f>
        <v>IN</v>
      </c>
      <c r="X16" s="244">
        <v>1</v>
      </c>
      <c r="Y16" s="154">
        <f t="shared" ref="Y16:Y79" si="48">IFERROR((E16*F16*G16*H16*10^-9)*750,"")</f>
        <v>25.196400000000001</v>
      </c>
      <c r="Z16" s="154" t="str">
        <f t="shared" si="7"/>
        <v>1000</v>
      </c>
      <c r="AA16" s="153" t="str">
        <f t="shared" ref="AA16:AA79" si="49">IFERROR(MATCH(J16,$J$13:$J$482,0)&amp;",","")</f>
        <v>4,</v>
      </c>
      <c r="AD16" s="155">
        <f t="shared" ref="AD16:AD79" si="50">IF(OR(I16="_",LEFT(I16,4)="KTHT"),"",IF(C16="","",1))</f>
        <v>1</v>
      </c>
      <c r="AI16" s="155">
        <f t="array" ref="AI16">MATCH(MIN(IF($AK$501:$AK$525&gt;=IF(G16&gt;1499,E16+7,E16+5), $AK$501:$AK$525)), $AK$501:$AK$525, 0)</f>
        <v>11</v>
      </c>
      <c r="AK16" s="233"/>
      <c r="AL16" s="233"/>
      <c r="AM16" s="155" t="str">
        <f t="shared" ref="AM16:AM79" si="51">IF(M16="","",IF(F16&gt;99,"FAS",IF(LEFT(I16,2)="Gỗ",IF(LEFT(M16,4)="2M2D","loại 1common",IF(AND(G16&gt;1699,LEFT(M16,4)&lt;&gt;"2M2D"),"loại 1common","loại 2common")),"")))</f>
        <v/>
      </c>
      <c r="AN16" s="155" t="str">
        <f t="shared" ref="AN16:AN79" si="52">IF(AM16="","",IF(AM16="loại 1common","loại A",IF(AM16="loại 2common","loại AB","loại FAS")))</f>
        <v/>
      </c>
      <c r="AX16" s="155" t="str">
        <f t="shared" ref="AX16:AX79" si="53">W16</f>
        <v>IN</v>
      </c>
    </row>
    <row r="17" spans="1:50" s="155" customFormat="1" ht="30" customHeight="1">
      <c r="A17" s="141" t="str">
        <f t="shared" si="39"/>
        <v>DC113B(EI60)</v>
      </c>
      <c r="B17" s="141" t="str">
        <f t="shared" si="40"/>
        <v>Muc 9.1</v>
      </c>
      <c r="C17" s="157">
        <v>2</v>
      </c>
      <c r="D17" s="158" t="s">
        <v>196</v>
      </c>
      <c r="E17" s="159">
        <v>48</v>
      </c>
      <c r="F17" s="163">
        <v>150</v>
      </c>
      <c r="G17" s="163">
        <v>818</v>
      </c>
      <c r="H17" s="163">
        <v>1</v>
      </c>
      <c r="I17" s="158" t="s">
        <v>301</v>
      </c>
      <c r="J17" s="257" t="s">
        <v>195</v>
      </c>
      <c r="K17" s="159" t="s">
        <v>235</v>
      </c>
      <c r="L17" s="160"/>
      <c r="M17" s="159"/>
      <c r="N17" s="159" t="s">
        <v>236</v>
      </c>
      <c r="O17" s="161" t="s">
        <v>243</v>
      </c>
      <c r="P17" s="162" t="s">
        <v>237</v>
      </c>
      <c r="Q17" s="163" t="str">
        <f t="shared" si="41"/>
        <v>Tấm</v>
      </c>
      <c r="R17" s="164">
        <f t="shared" si="42"/>
        <v>4.1218758398280035E-2</v>
      </c>
      <c r="S17" s="165">
        <f t="shared" si="43"/>
        <v>1.716</v>
      </c>
      <c r="T17" s="165">
        <f t="shared" si="44"/>
        <v>0</v>
      </c>
      <c r="U17" s="166">
        <f t="shared" si="45"/>
        <v>0.1371</v>
      </c>
      <c r="V17" s="153">
        <f t="shared" si="46"/>
        <v>6</v>
      </c>
      <c r="W17" s="153" t="str">
        <f t="shared" si="47"/>
        <v>IN</v>
      </c>
      <c r="X17" s="244">
        <v>1</v>
      </c>
      <c r="Y17" s="154">
        <f t="shared" si="48"/>
        <v>4.4172000000000002</v>
      </c>
      <c r="Z17" s="154" t="str">
        <f t="shared" si="7"/>
        <v>1000</v>
      </c>
      <c r="AA17" s="153" t="str">
        <f t="shared" si="49"/>
        <v>4,</v>
      </c>
      <c r="AD17" s="155">
        <f t="shared" si="50"/>
        <v>1</v>
      </c>
      <c r="AI17" s="155">
        <f t="array" ref="AI17">MATCH(MIN(IF($AK$501:$AK$525&gt;=IF(G17&gt;1499,E17+7,E17+5), $AK$501:$AK$525)), $AK$501:$AK$525, 0)</f>
        <v>11</v>
      </c>
      <c r="AK17" s="233"/>
      <c r="AL17" s="233"/>
      <c r="AM17" s="155" t="str">
        <f t="shared" si="51"/>
        <v/>
      </c>
      <c r="AN17" s="155" t="str">
        <f t="shared" si="52"/>
        <v/>
      </c>
      <c r="AX17" s="155" t="str">
        <f t="shared" si="53"/>
        <v>IN</v>
      </c>
    </row>
    <row r="18" spans="1:50" s="155" customFormat="1" ht="30" customHeight="1">
      <c r="A18" s="141" t="str">
        <f t="shared" si="39"/>
        <v>DC113B(EI60)</v>
      </c>
      <c r="B18" s="141" t="str">
        <f t="shared" si="40"/>
        <v>Muc 9.1</v>
      </c>
      <c r="C18" s="157">
        <v>3</v>
      </c>
      <c r="D18" s="158" t="s">
        <v>293</v>
      </c>
      <c r="E18" s="159">
        <v>26</v>
      </c>
      <c r="F18" s="163">
        <v>78</v>
      </c>
      <c r="G18" s="163">
        <v>2285</v>
      </c>
      <c r="H18" s="163">
        <v>2</v>
      </c>
      <c r="I18" s="158"/>
      <c r="J18" s="257"/>
      <c r="K18" s="159"/>
      <c r="L18" s="160"/>
      <c r="M18" s="159"/>
      <c r="N18" s="159" t="s">
        <v>236</v>
      </c>
      <c r="O18" s="161" t="s">
        <v>243</v>
      </c>
      <c r="P18" s="162" t="str">
        <f t="shared" ref="P18:P79" si="54">IF(AND(LEFT(I18,2)="gỗ",M18&lt;&gt;""),IF(LEFT(RIGHT(IF(E18="","",INDEX($AL$501:$AL$525,VALUE(AI18),1)),3),2)="/4",AM18,AN18)&amp;" "&amp;IF(E18="","",INDEX($AL$501:$AL$525,VALUE(AI18),1)),IF(AND(LEFT(I18,2)="gỗ",M18=""),"loại BC"&amp;" "&amp;IF(E18="","",INDEX($AL$501:$AL$525,VALUE(AI18),1)),""))</f>
        <v/>
      </c>
      <c r="Q18" s="163" t="str">
        <f t="shared" si="41"/>
        <v/>
      </c>
      <c r="R18" s="164">
        <f t="shared" si="42"/>
        <v>0</v>
      </c>
      <c r="S18" s="165">
        <f t="shared" si="43"/>
        <v>0</v>
      </c>
      <c r="T18" s="165">
        <f t="shared" si="44"/>
        <v>0</v>
      </c>
      <c r="U18" s="166">
        <f t="shared" si="45"/>
        <v>0.36457200000000001</v>
      </c>
      <c r="V18" s="153">
        <f t="shared" si="46"/>
        <v>6</v>
      </c>
      <c r="W18" s="153" t="str">
        <f t="shared" si="47"/>
        <v>IN</v>
      </c>
      <c r="X18" s="244">
        <v>1</v>
      </c>
      <c r="Y18" s="154">
        <f t="shared" si="48"/>
        <v>6.9509700000000008</v>
      </c>
      <c r="Z18" s="154">
        <f t="shared" si="7"/>
        <v>2</v>
      </c>
      <c r="AA18" s="153" t="str">
        <f t="shared" si="49"/>
        <v/>
      </c>
      <c r="AD18" s="155">
        <f t="shared" si="50"/>
        <v>1</v>
      </c>
      <c r="AI18" s="155">
        <f t="array" ref="AI18">MATCH(MIN(IF($AK$501:$AK$525&gt;=IF(G18&gt;1499,E18+7,E18+5), $AK$501:$AK$525)), $AK$501:$AK$525, 0)</f>
        <v>7</v>
      </c>
      <c r="AK18" s="233"/>
      <c r="AL18" s="233"/>
      <c r="AM18" s="155" t="str">
        <f t="shared" si="51"/>
        <v/>
      </c>
      <c r="AN18" s="155" t="str">
        <f t="shared" si="52"/>
        <v/>
      </c>
      <c r="AX18" s="155" t="str">
        <f t="shared" si="53"/>
        <v>IN</v>
      </c>
    </row>
    <row r="19" spans="1:50" s="155" customFormat="1" ht="30" customHeight="1">
      <c r="A19" s="141" t="str">
        <f t="shared" si="39"/>
        <v>DC113B(EI60)</v>
      </c>
      <c r="B19" s="141" t="str">
        <f t="shared" si="40"/>
        <v>Muc 9.1</v>
      </c>
      <c r="C19" s="157" t="s">
        <v>197</v>
      </c>
      <c r="D19" s="158" t="s">
        <v>198</v>
      </c>
      <c r="E19" s="159">
        <v>16</v>
      </c>
      <c r="F19" s="163">
        <v>78</v>
      </c>
      <c r="G19" s="163">
        <v>2305</v>
      </c>
      <c r="H19" s="163">
        <v>2</v>
      </c>
      <c r="I19" s="158" t="s">
        <v>204</v>
      </c>
      <c r="J19" s="257" t="s">
        <v>199</v>
      </c>
      <c r="K19" s="159" t="s">
        <v>235</v>
      </c>
      <c r="L19" s="160"/>
      <c r="M19" s="159"/>
      <c r="N19" s="159"/>
      <c r="O19" s="161"/>
      <c r="P19" s="162" t="str">
        <f t="shared" si="54"/>
        <v/>
      </c>
      <c r="Q19" s="163" t="str">
        <f t="shared" si="41"/>
        <v>Tấm</v>
      </c>
      <c r="R19" s="164">
        <f t="shared" si="42"/>
        <v>0.12079414135984951</v>
      </c>
      <c r="S19" s="165">
        <f t="shared" si="43"/>
        <v>9.3800000000000008</v>
      </c>
      <c r="T19" s="165">
        <f t="shared" si="44"/>
        <v>0</v>
      </c>
      <c r="U19" s="166">
        <f t="shared" si="45"/>
        <v>0</v>
      </c>
      <c r="V19" s="153">
        <f t="shared" si="46"/>
        <v>6</v>
      </c>
      <c r="W19" s="153" t="str">
        <f t="shared" si="47"/>
        <v>IN</v>
      </c>
      <c r="X19" s="244"/>
      <c r="Y19" s="154">
        <f t="shared" si="48"/>
        <v>4.3149600000000001</v>
      </c>
      <c r="Z19" s="154">
        <f t="shared" si="7"/>
        <v>2</v>
      </c>
      <c r="AA19" s="153" t="str">
        <f t="shared" si="49"/>
        <v>7,</v>
      </c>
      <c r="AD19" s="155">
        <f t="shared" si="50"/>
        <v>1</v>
      </c>
      <c r="AI19" s="155">
        <f t="array" ref="AI19">MATCH(MIN(IF($AK$501:$AK$525&gt;=IF(G19&gt;1499,E19+7,E19+5), $AK$501:$AK$525)), $AK$501:$AK$525, 0)</f>
        <v>1</v>
      </c>
      <c r="AK19" s="233"/>
      <c r="AL19" s="233"/>
      <c r="AM19" s="155" t="str">
        <f t="shared" si="51"/>
        <v/>
      </c>
      <c r="AN19" s="155" t="str">
        <f t="shared" si="52"/>
        <v/>
      </c>
      <c r="AX19" s="155" t="str">
        <f t="shared" si="53"/>
        <v>IN</v>
      </c>
    </row>
    <row r="20" spans="1:50" s="155" customFormat="1" ht="30" customHeight="1">
      <c r="A20" s="141" t="str">
        <f t="shared" si="39"/>
        <v>DC113B(EI60)</v>
      </c>
      <c r="B20" s="141" t="str">
        <f t="shared" si="40"/>
        <v>Muc 9.1</v>
      </c>
      <c r="C20" s="157" t="s">
        <v>200</v>
      </c>
      <c r="D20" s="158" t="s">
        <v>201</v>
      </c>
      <c r="E20" s="159">
        <v>10</v>
      </c>
      <c r="F20" s="163">
        <v>54</v>
      </c>
      <c r="G20" s="163">
        <v>2305</v>
      </c>
      <c r="H20" s="163">
        <v>2</v>
      </c>
      <c r="I20" s="158" t="s">
        <v>202</v>
      </c>
      <c r="J20" s="257"/>
      <c r="K20" s="159"/>
      <c r="L20" s="160"/>
      <c r="M20" s="159"/>
      <c r="N20" s="159"/>
      <c r="O20" s="161"/>
      <c r="P20" s="162" t="str">
        <f t="shared" si="54"/>
        <v/>
      </c>
      <c r="Q20" s="163" t="str">
        <f t="shared" si="41"/>
        <v>Tấm</v>
      </c>
      <c r="R20" s="164">
        <f t="shared" si="42"/>
        <v>8.3626713249126586E-2</v>
      </c>
      <c r="S20" s="165">
        <f t="shared" si="43"/>
        <v>0</v>
      </c>
      <c r="T20" s="165">
        <f t="shared" si="44"/>
        <v>0</v>
      </c>
      <c r="U20" s="166">
        <f t="shared" si="45"/>
        <v>0</v>
      </c>
      <c r="V20" s="153">
        <f t="shared" si="46"/>
        <v>6</v>
      </c>
      <c r="W20" s="153" t="str">
        <f t="shared" si="47"/>
        <v>IN</v>
      </c>
      <c r="X20" s="244"/>
      <c r="Y20" s="154">
        <f t="shared" si="48"/>
        <v>1.8670500000000001</v>
      </c>
      <c r="Z20" s="154" t="str">
        <f t="shared" si="7"/>
        <v>1000</v>
      </c>
      <c r="AA20" s="153" t="str">
        <f t="shared" si="49"/>
        <v/>
      </c>
      <c r="AD20" s="155">
        <f t="shared" si="50"/>
        <v>1</v>
      </c>
      <c r="AI20" s="155">
        <f t="array" ref="AI20">MATCH(MIN(IF($AK$501:$AK$525&gt;=IF(G20&gt;1499,E20+7,E20+5), $AK$501:$AK$525)), $AK$501:$AK$525, 0)</f>
        <v>5</v>
      </c>
      <c r="AK20" s="233"/>
      <c r="AL20" s="233"/>
      <c r="AM20" s="155" t="str">
        <f t="shared" si="51"/>
        <v/>
      </c>
      <c r="AN20" s="155" t="str">
        <f t="shared" si="52"/>
        <v/>
      </c>
      <c r="AX20" s="155" t="str">
        <f t="shared" si="53"/>
        <v>IN</v>
      </c>
    </row>
    <row r="21" spans="1:50" s="155" customFormat="1" ht="30" customHeight="1">
      <c r="A21" s="141" t="str">
        <f t="shared" si="39"/>
        <v>DC113B(EI60)</v>
      </c>
      <c r="B21" s="141" t="str">
        <f t="shared" si="40"/>
        <v>Muc 9.1</v>
      </c>
      <c r="C21" s="157">
        <v>4</v>
      </c>
      <c r="D21" s="158" t="s">
        <v>294</v>
      </c>
      <c r="E21" s="159">
        <v>26</v>
      </c>
      <c r="F21" s="163">
        <v>78</v>
      </c>
      <c r="G21" s="163">
        <v>722</v>
      </c>
      <c r="H21" s="163">
        <v>1</v>
      </c>
      <c r="I21" s="158"/>
      <c r="J21" s="257"/>
      <c r="K21" s="159"/>
      <c r="L21" s="160"/>
      <c r="M21" s="159"/>
      <c r="N21" s="159" t="s">
        <v>236</v>
      </c>
      <c r="O21" s="161" t="s">
        <v>243</v>
      </c>
      <c r="P21" s="162" t="str">
        <f t="shared" si="54"/>
        <v/>
      </c>
      <c r="Q21" s="163" t="str">
        <f t="shared" si="41"/>
        <v/>
      </c>
      <c r="R21" s="164">
        <f t="shared" si="42"/>
        <v>0</v>
      </c>
      <c r="S21" s="165">
        <f t="shared" si="43"/>
        <v>0</v>
      </c>
      <c r="T21" s="165">
        <f t="shared" si="44"/>
        <v>0</v>
      </c>
      <c r="U21" s="166">
        <f t="shared" si="45"/>
        <v>6.0371999999999995E-2</v>
      </c>
      <c r="V21" s="153">
        <f t="shared" si="46"/>
        <v>6</v>
      </c>
      <c r="W21" s="153" t="str">
        <f t="shared" si="47"/>
        <v>IN</v>
      </c>
      <c r="X21" s="244">
        <v>1</v>
      </c>
      <c r="Y21" s="154">
        <f t="shared" si="48"/>
        <v>1.0981620000000001</v>
      </c>
      <c r="Z21" s="154">
        <f t="shared" si="7"/>
        <v>2</v>
      </c>
      <c r="AA21" s="153" t="str">
        <f t="shared" si="49"/>
        <v/>
      </c>
      <c r="AD21" s="155">
        <f t="shared" si="50"/>
        <v>1</v>
      </c>
      <c r="AI21" s="155">
        <f t="array" ref="AI21">MATCH(MIN(IF($AK$501:$AK$525&gt;=IF(G21&gt;1499,E21+7,E21+5), $AK$501:$AK$525)), $AK$501:$AK$525, 0)</f>
        <v>3</v>
      </c>
      <c r="AK21" s="233"/>
      <c r="AL21" s="233"/>
      <c r="AM21" s="155" t="str">
        <f t="shared" si="51"/>
        <v/>
      </c>
      <c r="AN21" s="155" t="str">
        <f t="shared" si="52"/>
        <v/>
      </c>
      <c r="AX21" s="155" t="str">
        <f t="shared" si="53"/>
        <v>IN</v>
      </c>
    </row>
    <row r="22" spans="1:50" s="155" customFormat="1" ht="30" customHeight="1">
      <c r="A22" s="141" t="str">
        <f t="shared" si="39"/>
        <v>DC113B(EI60)</v>
      </c>
      <c r="B22" s="141" t="str">
        <f t="shared" si="40"/>
        <v>Muc 9.1</v>
      </c>
      <c r="C22" s="157" t="s">
        <v>203</v>
      </c>
      <c r="D22" s="158" t="s">
        <v>198</v>
      </c>
      <c r="E22" s="159">
        <v>16</v>
      </c>
      <c r="F22" s="163">
        <v>78</v>
      </c>
      <c r="G22" s="163">
        <v>742</v>
      </c>
      <c r="H22" s="163">
        <v>1</v>
      </c>
      <c r="I22" s="158" t="s">
        <v>204</v>
      </c>
      <c r="J22" s="257" t="s">
        <v>199</v>
      </c>
      <c r="K22" s="159" t="s">
        <v>235</v>
      </c>
      <c r="L22" s="160"/>
      <c r="M22" s="159"/>
      <c r="N22" s="159"/>
      <c r="O22" s="161"/>
      <c r="P22" s="162" t="str">
        <f t="shared" si="54"/>
        <v/>
      </c>
      <c r="Q22" s="163" t="str">
        <f t="shared" si="41"/>
        <v>Tấm</v>
      </c>
      <c r="R22" s="164">
        <f t="shared" si="42"/>
        <v>1.9442354205858641E-2</v>
      </c>
      <c r="S22" s="165">
        <f t="shared" si="43"/>
        <v>1.5640000000000001</v>
      </c>
      <c r="T22" s="165">
        <f t="shared" si="44"/>
        <v>0</v>
      </c>
      <c r="U22" s="166">
        <f t="shared" si="45"/>
        <v>0</v>
      </c>
      <c r="V22" s="153">
        <f t="shared" si="46"/>
        <v>6</v>
      </c>
      <c r="W22" s="153" t="str">
        <f t="shared" si="47"/>
        <v>IN</v>
      </c>
      <c r="X22" s="244"/>
      <c r="Y22" s="154">
        <f t="shared" si="48"/>
        <v>0.69451200000000013</v>
      </c>
      <c r="Z22" s="154">
        <f t="shared" si="7"/>
        <v>2</v>
      </c>
      <c r="AA22" s="153" t="str">
        <f t="shared" si="49"/>
        <v>7,</v>
      </c>
      <c r="AD22" s="155">
        <f t="shared" si="50"/>
        <v>1</v>
      </c>
      <c r="AI22" s="155">
        <f t="array" ref="AI22">MATCH(MIN(IF($AK$501:$AK$525&gt;=IF(G22&gt;1499,E22+7,E22+5), $AK$501:$AK$525)), $AK$501:$AK$525, 0)</f>
        <v>10</v>
      </c>
      <c r="AK22" s="233"/>
      <c r="AL22" s="233"/>
      <c r="AM22" s="155" t="str">
        <f t="shared" si="51"/>
        <v/>
      </c>
      <c r="AN22" s="155" t="str">
        <f t="shared" si="52"/>
        <v/>
      </c>
      <c r="AX22" s="155" t="str">
        <f t="shared" si="53"/>
        <v>IN</v>
      </c>
    </row>
    <row r="23" spans="1:50" s="155" customFormat="1" ht="30" customHeight="1">
      <c r="A23" s="141" t="str">
        <f t="shared" si="39"/>
        <v>DC113B(EI60)</v>
      </c>
      <c r="B23" s="141" t="str">
        <f t="shared" si="40"/>
        <v>Muc 9.1</v>
      </c>
      <c r="C23" s="157" t="s">
        <v>205</v>
      </c>
      <c r="D23" s="158" t="s">
        <v>201</v>
      </c>
      <c r="E23" s="159">
        <v>10</v>
      </c>
      <c r="F23" s="163">
        <v>54</v>
      </c>
      <c r="G23" s="163">
        <v>742</v>
      </c>
      <c r="H23" s="163">
        <v>1</v>
      </c>
      <c r="I23" s="158" t="s">
        <v>202</v>
      </c>
      <c r="J23" s="257"/>
      <c r="K23" s="159"/>
      <c r="L23" s="160"/>
      <c r="M23" s="159"/>
      <c r="N23" s="159"/>
      <c r="O23" s="161"/>
      <c r="P23" s="162" t="str">
        <f t="shared" si="54"/>
        <v/>
      </c>
      <c r="Q23" s="163" t="str">
        <f t="shared" si="41"/>
        <v>Tấm</v>
      </c>
      <c r="R23" s="164">
        <f t="shared" si="42"/>
        <v>1.3460091373286751E-2</v>
      </c>
      <c r="S23" s="165">
        <f t="shared" si="43"/>
        <v>0</v>
      </c>
      <c r="T23" s="165">
        <f t="shared" si="44"/>
        <v>0</v>
      </c>
      <c r="U23" s="166">
        <f t="shared" si="45"/>
        <v>0</v>
      </c>
      <c r="V23" s="153">
        <f t="shared" si="46"/>
        <v>6</v>
      </c>
      <c r="W23" s="153" t="str">
        <f t="shared" si="47"/>
        <v>IN</v>
      </c>
      <c r="X23" s="244"/>
      <c r="Y23" s="154">
        <f t="shared" si="48"/>
        <v>0.30051000000000005</v>
      </c>
      <c r="Z23" s="154" t="str">
        <f t="shared" si="7"/>
        <v>1000</v>
      </c>
      <c r="AA23" s="153" t="str">
        <f t="shared" si="49"/>
        <v/>
      </c>
      <c r="AD23" s="155">
        <f t="shared" si="50"/>
        <v>1</v>
      </c>
      <c r="AI23" s="155">
        <f t="array" ref="AI23">MATCH(MIN(IF($AK$501:$AK$525&gt;=IF(G23&gt;1499,E23+7,E23+5), $AK$501:$AK$525)), $AK$501:$AK$525, 0)</f>
        <v>5</v>
      </c>
      <c r="AK23" s="233"/>
      <c r="AL23" s="233"/>
      <c r="AM23" s="155" t="str">
        <f t="shared" si="51"/>
        <v/>
      </c>
      <c r="AN23" s="155" t="str">
        <f t="shared" si="52"/>
        <v/>
      </c>
      <c r="AX23" s="155" t="str">
        <f t="shared" si="53"/>
        <v>IN</v>
      </c>
    </row>
    <row r="24" spans="1:50" s="155" customFormat="1" ht="30" customHeight="1">
      <c r="A24" s="141" t="str">
        <f t="shared" si="39"/>
        <v>DC113B(EI60)</v>
      </c>
      <c r="B24" s="141" t="str">
        <f t="shared" si="40"/>
        <v>Muc 9.1</v>
      </c>
      <c r="C24" s="157">
        <v>5</v>
      </c>
      <c r="D24" s="158" t="s">
        <v>295</v>
      </c>
      <c r="E24" s="159">
        <v>23</v>
      </c>
      <c r="F24" s="163">
        <v>97</v>
      </c>
      <c r="G24" s="163">
        <v>2397</v>
      </c>
      <c r="H24" s="163">
        <v>2</v>
      </c>
      <c r="I24" s="158"/>
      <c r="J24" s="257" t="s">
        <v>206</v>
      </c>
      <c r="K24" s="159" t="s">
        <v>235</v>
      </c>
      <c r="L24" s="160"/>
      <c r="M24" s="159"/>
      <c r="N24" s="159" t="s">
        <v>236</v>
      </c>
      <c r="O24" s="161" t="s">
        <v>243</v>
      </c>
      <c r="P24" s="162" t="str">
        <f t="shared" si="54"/>
        <v/>
      </c>
      <c r="Q24" s="163" t="str">
        <f t="shared" si="41"/>
        <v/>
      </c>
      <c r="R24" s="164">
        <f t="shared" si="42"/>
        <v>0</v>
      </c>
      <c r="S24" s="165">
        <f t="shared" si="43"/>
        <v>9.7479999999999993</v>
      </c>
      <c r="T24" s="165">
        <f t="shared" si="44"/>
        <v>0</v>
      </c>
      <c r="U24" s="166">
        <f t="shared" si="45"/>
        <v>0.47394199999999997</v>
      </c>
      <c r="V24" s="153">
        <f t="shared" si="46"/>
        <v>6</v>
      </c>
      <c r="W24" s="153" t="str">
        <f t="shared" si="47"/>
        <v>IN</v>
      </c>
      <c r="X24" s="244">
        <v>1</v>
      </c>
      <c r="Y24" s="154">
        <f t="shared" si="48"/>
        <v>8.0215604999999996</v>
      </c>
      <c r="Z24" s="154">
        <f t="shared" si="7"/>
        <v>2</v>
      </c>
      <c r="AA24" s="153" t="str">
        <f t="shared" si="49"/>
        <v>12,</v>
      </c>
      <c r="AD24" s="155">
        <f t="shared" si="50"/>
        <v>1</v>
      </c>
      <c r="AI24" s="155">
        <f t="array" ref="AI24">MATCH(MIN(IF($AK$501:$AK$525&gt;=IF(G24&gt;1499,E24+7,E24+5), $AK$501:$AK$525)), $AK$501:$AK$525, 0)</f>
        <v>6</v>
      </c>
      <c r="AK24" s="233"/>
      <c r="AL24" s="233"/>
      <c r="AM24" s="155" t="str">
        <f t="shared" si="51"/>
        <v/>
      </c>
      <c r="AN24" s="155" t="str">
        <f t="shared" si="52"/>
        <v/>
      </c>
      <c r="AX24" s="155" t="str">
        <f t="shared" si="53"/>
        <v>IN</v>
      </c>
    </row>
    <row r="25" spans="1:50" s="155" customFormat="1" ht="30" customHeight="1">
      <c r="A25" s="141" t="str">
        <f t="shared" si="39"/>
        <v>DC113B(EI60)</v>
      </c>
      <c r="B25" s="141" t="str">
        <f t="shared" si="40"/>
        <v>Muc 9.1</v>
      </c>
      <c r="C25" s="157" t="s">
        <v>207</v>
      </c>
      <c r="D25" s="158" t="s">
        <v>208</v>
      </c>
      <c r="E25" s="159">
        <v>14</v>
      </c>
      <c r="F25" s="163">
        <v>97</v>
      </c>
      <c r="G25" s="163">
        <v>2417</v>
      </c>
      <c r="H25" s="163">
        <v>2</v>
      </c>
      <c r="I25" s="158" t="s">
        <v>209</v>
      </c>
      <c r="J25" s="257"/>
      <c r="K25" s="159"/>
      <c r="L25" s="160"/>
      <c r="M25" s="159"/>
      <c r="N25" s="159"/>
      <c r="O25" s="161" t="s">
        <v>238</v>
      </c>
      <c r="P25" s="162" t="str">
        <f t="shared" si="54"/>
        <v/>
      </c>
      <c r="Q25" s="163" t="str">
        <f t="shared" si="41"/>
        <v>Tấm</v>
      </c>
      <c r="R25" s="164">
        <f t="shared" si="42"/>
        <v>0.15751746842246708</v>
      </c>
      <c r="S25" s="165">
        <f t="shared" si="43"/>
        <v>0</v>
      </c>
      <c r="T25" s="165">
        <f t="shared" si="44"/>
        <v>0</v>
      </c>
      <c r="U25" s="166">
        <f t="shared" si="45"/>
        <v>0</v>
      </c>
      <c r="V25" s="153">
        <f t="shared" si="46"/>
        <v>6</v>
      </c>
      <c r="W25" s="153" t="str">
        <f t="shared" si="47"/>
        <v>IN</v>
      </c>
      <c r="X25" s="244"/>
      <c r="Y25" s="154">
        <f t="shared" si="48"/>
        <v>4.9234290000000005</v>
      </c>
      <c r="Z25" s="154">
        <f t="shared" si="7"/>
        <v>2</v>
      </c>
      <c r="AA25" s="153" t="str">
        <f t="shared" si="49"/>
        <v/>
      </c>
      <c r="AD25" s="155">
        <f t="shared" si="50"/>
        <v>1</v>
      </c>
      <c r="AI25" s="155">
        <f t="array" ref="AI25">MATCH(MIN(IF($AK$501:$AK$525&gt;=IF(G25&gt;1499,E25+7,E25+5), $AK$501:$AK$525)), $AK$501:$AK$525, 0)</f>
        <v>10</v>
      </c>
      <c r="AK25" s="233"/>
      <c r="AL25" s="233"/>
      <c r="AM25" s="155" t="str">
        <f t="shared" si="51"/>
        <v/>
      </c>
      <c r="AN25" s="155" t="str">
        <f t="shared" si="52"/>
        <v/>
      </c>
      <c r="AX25" s="155" t="str">
        <f t="shared" si="53"/>
        <v>IN</v>
      </c>
    </row>
    <row r="26" spans="1:50" s="155" customFormat="1" ht="30" customHeight="1">
      <c r="A26" s="141" t="str">
        <f t="shared" si="39"/>
        <v>DC113B(EI60)</v>
      </c>
      <c r="B26" s="141" t="str">
        <f t="shared" si="40"/>
        <v>Muc 9.1</v>
      </c>
      <c r="C26" s="157" t="s">
        <v>210</v>
      </c>
      <c r="D26" s="158" t="s">
        <v>211</v>
      </c>
      <c r="E26" s="159">
        <v>9</v>
      </c>
      <c r="F26" s="163">
        <v>9</v>
      </c>
      <c r="G26" s="163">
        <v>2417</v>
      </c>
      <c r="H26" s="163">
        <v>2</v>
      </c>
      <c r="I26" s="158" t="s">
        <v>212</v>
      </c>
      <c r="J26" s="257"/>
      <c r="K26" s="159"/>
      <c r="L26" s="160"/>
      <c r="M26" s="159"/>
      <c r="N26" s="159"/>
      <c r="O26" s="161" t="s">
        <v>241</v>
      </c>
      <c r="P26" s="162" t="str">
        <f t="shared" si="54"/>
        <v/>
      </c>
      <c r="Q26" s="163" t="str">
        <f t="shared" si="41"/>
        <v>Tấm</v>
      </c>
      <c r="R26" s="164">
        <f t="shared" si="42"/>
        <v>1.4615022843321687E-2</v>
      </c>
      <c r="S26" s="165">
        <f t="shared" si="43"/>
        <v>0</v>
      </c>
      <c r="T26" s="165">
        <f t="shared" si="44"/>
        <v>0</v>
      </c>
      <c r="U26" s="166">
        <f t="shared" si="45"/>
        <v>0</v>
      </c>
      <c r="V26" s="153">
        <f t="shared" si="46"/>
        <v>6</v>
      </c>
      <c r="W26" s="153" t="str">
        <f t="shared" si="47"/>
        <v>IN</v>
      </c>
      <c r="X26" s="244"/>
      <c r="Y26" s="154">
        <f t="shared" si="48"/>
        <v>0.29366550000000002</v>
      </c>
      <c r="Z26" s="154" t="str">
        <f t="shared" si="7"/>
        <v>1000</v>
      </c>
      <c r="AA26" s="153" t="str">
        <f t="shared" si="49"/>
        <v/>
      </c>
      <c r="AD26" s="155">
        <f t="shared" si="50"/>
        <v>1</v>
      </c>
      <c r="AI26" s="155">
        <f t="array" ref="AI26">MATCH(MIN(IF($AK$501:$AK$525&gt;=IF(G26&gt;1499,E26+7,E26+5), $AK$501:$AK$525)), $AK$501:$AK$525, 0)</f>
        <v>5</v>
      </c>
      <c r="AK26" s="233"/>
      <c r="AL26" s="233"/>
      <c r="AM26" s="155" t="str">
        <f t="shared" si="51"/>
        <v/>
      </c>
      <c r="AN26" s="155" t="str">
        <f t="shared" si="52"/>
        <v/>
      </c>
      <c r="AX26" s="155" t="str">
        <f t="shared" si="53"/>
        <v>IN</v>
      </c>
    </row>
    <row r="27" spans="1:50" s="155" customFormat="1" ht="30" customHeight="1">
      <c r="A27" s="141" t="str">
        <f t="shared" si="39"/>
        <v>DC113B(EI60)</v>
      </c>
      <c r="B27" s="141" t="str">
        <f t="shared" si="40"/>
        <v>Muc 9.1</v>
      </c>
      <c r="C27" s="157">
        <v>6</v>
      </c>
      <c r="D27" s="158" t="s">
        <v>297</v>
      </c>
      <c r="E27" s="159">
        <v>23</v>
      </c>
      <c r="F27" s="163">
        <v>97</v>
      </c>
      <c r="G27" s="163">
        <v>946</v>
      </c>
      <c r="H27" s="163">
        <v>1</v>
      </c>
      <c r="I27" s="158"/>
      <c r="J27" s="257" t="s">
        <v>206</v>
      </c>
      <c r="K27" s="159" t="s">
        <v>235</v>
      </c>
      <c r="L27" s="160"/>
      <c r="M27" s="159"/>
      <c r="N27" s="159" t="s">
        <v>239</v>
      </c>
      <c r="O27" s="161" t="s">
        <v>243</v>
      </c>
      <c r="P27" s="162" t="str">
        <f t="shared" si="54"/>
        <v/>
      </c>
      <c r="Q27" s="163" t="str">
        <f t="shared" si="41"/>
        <v/>
      </c>
      <c r="R27" s="164">
        <f t="shared" si="42"/>
        <v>0</v>
      </c>
      <c r="S27" s="165">
        <f t="shared" si="43"/>
        <v>1.972</v>
      </c>
      <c r="T27" s="165">
        <f t="shared" si="44"/>
        <v>0</v>
      </c>
      <c r="U27" s="166">
        <f t="shared" si="45"/>
        <v>9.1761999999999996E-2</v>
      </c>
      <c r="V27" s="153">
        <f t="shared" si="46"/>
        <v>6</v>
      </c>
      <c r="W27" s="153" t="str">
        <f t="shared" si="47"/>
        <v>IN</v>
      </c>
      <c r="X27" s="244">
        <v>1</v>
      </c>
      <c r="Y27" s="154">
        <f t="shared" si="48"/>
        <v>1.5828945000000001</v>
      </c>
      <c r="Z27" s="154">
        <f t="shared" si="7"/>
        <v>2</v>
      </c>
      <c r="AA27" s="153" t="str">
        <f t="shared" si="49"/>
        <v>12,</v>
      </c>
      <c r="AD27" s="155">
        <f t="shared" si="50"/>
        <v>1</v>
      </c>
      <c r="AI27" s="155">
        <f t="array" ref="AI27">MATCH(MIN(IF($AK$501:$AK$525&gt;=IF(G27&gt;1499,E27+7,E27+5), $AK$501:$AK$525)), $AK$501:$AK$525, 0)</f>
        <v>6</v>
      </c>
      <c r="AK27" s="233"/>
      <c r="AL27" s="233"/>
      <c r="AM27" s="155" t="str">
        <f t="shared" si="51"/>
        <v/>
      </c>
      <c r="AN27" s="155" t="str">
        <f t="shared" si="52"/>
        <v/>
      </c>
      <c r="AX27" s="155" t="str">
        <f t="shared" si="53"/>
        <v>IN</v>
      </c>
    </row>
    <row r="28" spans="1:50" s="155" customFormat="1" ht="30" customHeight="1">
      <c r="A28" s="141" t="str">
        <f t="shared" si="39"/>
        <v>DC113B(EI60)</v>
      </c>
      <c r="B28" s="141" t="str">
        <f t="shared" si="40"/>
        <v>Muc 9.1</v>
      </c>
      <c r="C28" s="157" t="s">
        <v>213</v>
      </c>
      <c r="D28" s="158" t="s">
        <v>208</v>
      </c>
      <c r="E28" s="159">
        <v>14</v>
      </c>
      <c r="F28" s="163">
        <v>97</v>
      </c>
      <c r="G28" s="163">
        <v>966</v>
      </c>
      <c r="H28" s="163">
        <v>1</v>
      </c>
      <c r="I28" s="158" t="s">
        <v>209</v>
      </c>
      <c r="J28" s="257"/>
      <c r="K28" s="159"/>
      <c r="L28" s="160"/>
      <c r="M28" s="159"/>
      <c r="N28" s="159"/>
      <c r="O28" s="161" t="s">
        <v>238</v>
      </c>
      <c r="P28" s="162" t="str">
        <f t="shared" si="54"/>
        <v/>
      </c>
      <c r="Q28" s="163" t="str">
        <f t="shared" si="41"/>
        <v>Tấm</v>
      </c>
      <c r="R28" s="164">
        <f t="shared" si="42"/>
        <v>3.1477425423273316E-2</v>
      </c>
      <c r="S28" s="165">
        <f t="shared" si="43"/>
        <v>0</v>
      </c>
      <c r="T28" s="165">
        <f t="shared" si="44"/>
        <v>0</v>
      </c>
      <c r="U28" s="166">
        <f t="shared" si="45"/>
        <v>0</v>
      </c>
      <c r="V28" s="153">
        <f t="shared" si="46"/>
        <v>6</v>
      </c>
      <c r="W28" s="153" t="str">
        <f t="shared" si="47"/>
        <v>IN</v>
      </c>
      <c r="X28" s="244"/>
      <c r="Y28" s="154">
        <f t="shared" si="48"/>
        <v>0.98387100000000005</v>
      </c>
      <c r="Z28" s="154">
        <f t="shared" si="7"/>
        <v>2</v>
      </c>
      <c r="AA28" s="153" t="str">
        <f t="shared" si="49"/>
        <v/>
      </c>
      <c r="AD28" s="155">
        <f t="shared" si="50"/>
        <v>1</v>
      </c>
      <c r="AI28" s="155">
        <f t="array" ref="AI28">MATCH(MIN(IF($AK$501:$AK$525&gt;=IF(G28&gt;1499,E28+7,E28+5), $AK$501:$AK$525)), $AK$501:$AK$525, 0)</f>
        <v>5</v>
      </c>
      <c r="AK28" s="233"/>
      <c r="AL28" s="233"/>
      <c r="AM28" s="155" t="str">
        <f t="shared" si="51"/>
        <v/>
      </c>
      <c r="AN28" s="155" t="str">
        <f t="shared" si="52"/>
        <v/>
      </c>
      <c r="AX28" s="155" t="str">
        <f t="shared" si="53"/>
        <v>IN</v>
      </c>
    </row>
    <row r="29" spans="1:50" s="155" customFormat="1" ht="30" customHeight="1">
      <c r="A29" s="141" t="str">
        <f t="shared" si="39"/>
        <v>DC113B(EI60)</v>
      </c>
      <c r="B29" s="141" t="str">
        <f t="shared" si="40"/>
        <v>Muc 9.1</v>
      </c>
      <c r="C29" s="157" t="s">
        <v>214</v>
      </c>
      <c r="D29" s="158" t="s">
        <v>211</v>
      </c>
      <c r="E29" s="159">
        <v>9</v>
      </c>
      <c r="F29" s="163">
        <v>9</v>
      </c>
      <c r="G29" s="163">
        <v>966</v>
      </c>
      <c r="H29" s="163">
        <v>1</v>
      </c>
      <c r="I29" s="158" t="s">
        <v>212</v>
      </c>
      <c r="J29" s="257"/>
      <c r="K29" s="159"/>
      <c r="L29" s="160"/>
      <c r="M29" s="159"/>
      <c r="N29" s="159"/>
      <c r="O29" s="161" t="s">
        <v>241</v>
      </c>
      <c r="P29" s="162" t="str">
        <f t="shared" si="54"/>
        <v/>
      </c>
      <c r="Q29" s="163" t="str">
        <f t="shared" si="41"/>
        <v>Tấm</v>
      </c>
      <c r="R29" s="164">
        <f t="shared" si="42"/>
        <v>2.9205858640150499E-3</v>
      </c>
      <c r="S29" s="165">
        <f t="shared" si="43"/>
        <v>0</v>
      </c>
      <c r="T29" s="165">
        <f t="shared" si="44"/>
        <v>0</v>
      </c>
      <c r="U29" s="166">
        <f t="shared" si="45"/>
        <v>0</v>
      </c>
      <c r="V29" s="153">
        <f t="shared" si="46"/>
        <v>6</v>
      </c>
      <c r="W29" s="153" t="str">
        <f t="shared" si="47"/>
        <v>IN</v>
      </c>
      <c r="X29" s="244"/>
      <c r="Y29" s="154">
        <f t="shared" si="48"/>
        <v>5.8684500000000007E-2</v>
      </c>
      <c r="Z29" s="154" t="str">
        <f t="shared" si="7"/>
        <v>1000</v>
      </c>
      <c r="AA29" s="153" t="str">
        <f t="shared" si="49"/>
        <v/>
      </c>
      <c r="AD29" s="155">
        <f t="shared" si="50"/>
        <v>1</v>
      </c>
      <c r="AI29" s="155">
        <f t="array" ref="AI29">MATCH(MIN(IF($AK$501:$AK$525&gt;=IF(G29&gt;1499,E29+7,E29+5), $AK$501:$AK$525)), $AK$501:$AK$525, 0)</f>
        <v>5</v>
      </c>
      <c r="AK29" s="233"/>
      <c r="AL29" s="233"/>
      <c r="AM29" s="155" t="str">
        <f t="shared" si="51"/>
        <v/>
      </c>
      <c r="AN29" s="155" t="str">
        <f t="shared" si="52"/>
        <v/>
      </c>
      <c r="AX29" s="155" t="str">
        <f t="shared" si="53"/>
        <v>IN</v>
      </c>
    </row>
    <row r="30" spans="1:50" s="155" customFormat="1" ht="30" customHeight="1">
      <c r="A30" s="141" t="str">
        <f t="shared" si="39"/>
        <v>DC113B(EI60)</v>
      </c>
      <c r="B30" s="141" t="str">
        <f t="shared" si="40"/>
        <v>Muc 9.1</v>
      </c>
      <c r="C30" s="157">
        <v>7</v>
      </c>
      <c r="D30" s="158" t="s">
        <v>296</v>
      </c>
      <c r="E30" s="159">
        <v>23</v>
      </c>
      <c r="F30" s="163">
        <v>80</v>
      </c>
      <c r="G30" s="163">
        <v>2380</v>
      </c>
      <c r="H30" s="163">
        <v>2</v>
      </c>
      <c r="I30" s="158"/>
      <c r="J30" s="257" t="s">
        <v>206</v>
      </c>
      <c r="K30" s="159" t="s">
        <v>235</v>
      </c>
      <c r="L30" s="160"/>
      <c r="M30" s="159"/>
      <c r="N30" s="159" t="s">
        <v>236</v>
      </c>
      <c r="O30" s="161" t="s">
        <v>243</v>
      </c>
      <c r="P30" s="162" t="str">
        <f t="shared" si="54"/>
        <v/>
      </c>
      <c r="Q30" s="163" t="str">
        <f t="shared" si="41"/>
        <v/>
      </c>
      <c r="R30" s="164">
        <f t="shared" si="42"/>
        <v>0</v>
      </c>
      <c r="S30" s="165">
        <f t="shared" si="43"/>
        <v>9.68</v>
      </c>
      <c r="T30" s="165">
        <f t="shared" si="44"/>
        <v>0</v>
      </c>
      <c r="U30" s="166">
        <f t="shared" si="45"/>
        <v>0.38816000000000001</v>
      </c>
      <c r="V30" s="153">
        <f t="shared" si="46"/>
        <v>6</v>
      </c>
      <c r="W30" s="153" t="str">
        <f t="shared" si="47"/>
        <v>IN</v>
      </c>
      <c r="X30" s="244">
        <v>1</v>
      </c>
      <c r="Y30" s="154">
        <f t="shared" si="48"/>
        <v>6.5688000000000013</v>
      </c>
      <c r="Z30" s="154">
        <f t="shared" si="7"/>
        <v>2</v>
      </c>
      <c r="AA30" s="153" t="str">
        <f t="shared" si="49"/>
        <v>12,</v>
      </c>
      <c r="AD30" s="155">
        <f t="shared" si="50"/>
        <v>1</v>
      </c>
      <c r="AI30" s="155">
        <f t="array" ref="AI30">MATCH(MIN(IF($AK$501:$AK$525&gt;=IF(G30&gt;1499,E30+7,E30+5), $AK$501:$AK$525)), $AK$501:$AK$525, 0)</f>
        <v>6</v>
      </c>
      <c r="AK30" s="233"/>
      <c r="AL30" s="233"/>
      <c r="AM30" s="155" t="str">
        <f t="shared" si="51"/>
        <v/>
      </c>
      <c r="AN30" s="155" t="str">
        <f t="shared" si="52"/>
        <v/>
      </c>
      <c r="AX30" s="155" t="str">
        <f t="shared" si="53"/>
        <v>IN</v>
      </c>
    </row>
    <row r="31" spans="1:50" s="155" customFormat="1" ht="30" customHeight="1">
      <c r="A31" s="141" t="str">
        <f t="shared" si="39"/>
        <v>DC113B(EI60)</v>
      </c>
      <c r="B31" s="141" t="str">
        <f t="shared" si="40"/>
        <v>Muc 9.1</v>
      </c>
      <c r="C31" s="157" t="s">
        <v>215</v>
      </c>
      <c r="D31" s="158" t="s">
        <v>208</v>
      </c>
      <c r="E31" s="159">
        <v>14</v>
      </c>
      <c r="F31" s="163">
        <v>80</v>
      </c>
      <c r="G31" s="163">
        <v>2400</v>
      </c>
      <c r="H31" s="163">
        <v>2</v>
      </c>
      <c r="I31" s="158" t="s">
        <v>209</v>
      </c>
      <c r="J31" s="257"/>
      <c r="K31" s="159"/>
      <c r="L31" s="160"/>
      <c r="M31" s="159"/>
      <c r="N31" s="159"/>
      <c r="O31" s="161" t="s">
        <v>238</v>
      </c>
      <c r="P31" s="162" t="str">
        <f t="shared" si="54"/>
        <v/>
      </c>
      <c r="Q31" s="163" t="str">
        <f t="shared" si="41"/>
        <v>Tấm</v>
      </c>
      <c r="R31" s="164">
        <f t="shared" si="42"/>
        <v>0.12899758129535072</v>
      </c>
      <c r="S31" s="165">
        <f t="shared" si="43"/>
        <v>0</v>
      </c>
      <c r="T31" s="165">
        <f t="shared" si="44"/>
        <v>0</v>
      </c>
      <c r="U31" s="166">
        <f t="shared" si="45"/>
        <v>0</v>
      </c>
      <c r="V31" s="153">
        <f t="shared" si="46"/>
        <v>6</v>
      </c>
      <c r="W31" s="153" t="str">
        <f t="shared" si="47"/>
        <v>IN</v>
      </c>
      <c r="X31" s="244"/>
      <c r="Y31" s="154">
        <f t="shared" si="48"/>
        <v>4.032</v>
      </c>
      <c r="Z31" s="154">
        <f t="shared" si="7"/>
        <v>2</v>
      </c>
      <c r="AA31" s="153" t="str">
        <f t="shared" si="49"/>
        <v/>
      </c>
      <c r="AD31" s="155">
        <f t="shared" si="50"/>
        <v>1</v>
      </c>
      <c r="AI31" s="155">
        <f t="array" ref="AI31">MATCH(MIN(IF($AK$501:$AK$525&gt;=IF(G31&gt;1499,E31+7,E31+5), $AK$501:$AK$525)), $AK$501:$AK$525, 0)</f>
        <v>10</v>
      </c>
      <c r="AK31" s="233"/>
      <c r="AL31" s="233"/>
      <c r="AM31" s="155" t="str">
        <f t="shared" si="51"/>
        <v/>
      </c>
      <c r="AN31" s="155" t="str">
        <f t="shared" si="52"/>
        <v/>
      </c>
      <c r="AX31" s="155" t="str">
        <f t="shared" si="53"/>
        <v>IN</v>
      </c>
    </row>
    <row r="32" spans="1:50" s="155" customFormat="1" ht="30" customHeight="1">
      <c r="A32" s="141" t="str">
        <f t="shared" si="39"/>
        <v>DC113B(EI60)</v>
      </c>
      <c r="B32" s="141" t="str">
        <f t="shared" si="40"/>
        <v>Muc 9.1</v>
      </c>
      <c r="C32" s="157" t="s">
        <v>216</v>
      </c>
      <c r="D32" s="158" t="s">
        <v>211</v>
      </c>
      <c r="E32" s="159">
        <v>9</v>
      </c>
      <c r="F32" s="163">
        <v>9</v>
      </c>
      <c r="G32" s="163">
        <v>2400</v>
      </c>
      <c r="H32" s="163">
        <v>2</v>
      </c>
      <c r="I32" s="158" t="s">
        <v>212</v>
      </c>
      <c r="J32" s="257"/>
      <c r="K32" s="159"/>
      <c r="L32" s="160"/>
      <c r="M32" s="159"/>
      <c r="N32" s="159"/>
      <c r="O32" s="161" t="s">
        <v>241</v>
      </c>
      <c r="P32" s="162" t="str">
        <f t="shared" si="54"/>
        <v/>
      </c>
      <c r="Q32" s="163" t="str">
        <f t="shared" si="41"/>
        <v>Tấm</v>
      </c>
      <c r="R32" s="164">
        <f t="shared" si="42"/>
        <v>1.4512227895726955E-2</v>
      </c>
      <c r="S32" s="165">
        <f t="shared" si="43"/>
        <v>0</v>
      </c>
      <c r="T32" s="165">
        <f t="shared" si="44"/>
        <v>0</v>
      </c>
      <c r="U32" s="166">
        <f t="shared" si="45"/>
        <v>0</v>
      </c>
      <c r="V32" s="153">
        <f t="shared" si="46"/>
        <v>6</v>
      </c>
      <c r="W32" s="153" t="str">
        <f t="shared" si="47"/>
        <v>IN</v>
      </c>
      <c r="X32" s="244"/>
      <c r="Y32" s="154">
        <f t="shared" si="48"/>
        <v>0.29160000000000003</v>
      </c>
      <c r="Z32" s="154" t="str">
        <f t="shared" si="7"/>
        <v>1000</v>
      </c>
      <c r="AA32" s="153" t="str">
        <f t="shared" si="49"/>
        <v/>
      </c>
      <c r="AD32" s="155">
        <f t="shared" si="50"/>
        <v>1</v>
      </c>
      <c r="AI32" s="155">
        <f t="array" ref="AI32">MATCH(MIN(IF($AK$501:$AK$525&gt;=IF(G32&gt;1499,E32+7,E32+5), $AK$501:$AK$525)), $AK$501:$AK$525, 0)</f>
        <v>5</v>
      </c>
      <c r="AK32" s="233"/>
      <c r="AL32" s="233"/>
      <c r="AM32" s="155" t="str">
        <f t="shared" si="51"/>
        <v/>
      </c>
      <c r="AN32" s="155" t="str">
        <f t="shared" si="52"/>
        <v/>
      </c>
      <c r="AX32" s="155" t="str">
        <f t="shared" si="53"/>
        <v>IN</v>
      </c>
    </row>
    <row r="33" spans="1:50" s="155" customFormat="1" ht="30" customHeight="1">
      <c r="A33" s="141" t="str">
        <f t="shared" si="39"/>
        <v>DC113B(EI60)</v>
      </c>
      <c r="B33" s="141" t="str">
        <f t="shared" si="40"/>
        <v>Muc 9.1</v>
      </c>
      <c r="C33" s="157">
        <v>8</v>
      </c>
      <c r="D33" s="158" t="s">
        <v>298</v>
      </c>
      <c r="E33" s="159">
        <v>23</v>
      </c>
      <c r="F33" s="163">
        <v>80</v>
      </c>
      <c r="G33" s="163">
        <v>912</v>
      </c>
      <c r="H33" s="163">
        <v>1</v>
      </c>
      <c r="I33" s="158"/>
      <c r="J33" s="257" t="s">
        <v>206</v>
      </c>
      <c r="K33" s="159" t="s">
        <v>235</v>
      </c>
      <c r="L33" s="160"/>
      <c r="M33" s="159"/>
      <c r="N33" s="159" t="s">
        <v>239</v>
      </c>
      <c r="O33" s="161" t="s">
        <v>243</v>
      </c>
      <c r="P33" s="162" t="str">
        <f t="shared" si="54"/>
        <v/>
      </c>
      <c r="Q33" s="163" t="str">
        <f t="shared" si="41"/>
        <v/>
      </c>
      <c r="R33" s="164">
        <f t="shared" si="42"/>
        <v>0</v>
      </c>
      <c r="S33" s="165">
        <f t="shared" si="43"/>
        <v>1.9039999999999999</v>
      </c>
      <c r="T33" s="165">
        <f t="shared" si="44"/>
        <v>0</v>
      </c>
      <c r="U33" s="166">
        <f t="shared" si="45"/>
        <v>7.2959999999999997E-2</v>
      </c>
      <c r="V33" s="153">
        <f t="shared" si="46"/>
        <v>6</v>
      </c>
      <c r="W33" s="153" t="str">
        <f t="shared" si="47"/>
        <v>IN</v>
      </c>
      <c r="X33" s="244">
        <v>1</v>
      </c>
      <c r="Y33" s="154">
        <f t="shared" si="48"/>
        <v>1.2585600000000001</v>
      </c>
      <c r="Z33" s="154">
        <f t="shared" si="7"/>
        <v>2</v>
      </c>
      <c r="AA33" s="153" t="str">
        <f t="shared" si="49"/>
        <v>12,</v>
      </c>
      <c r="AD33" s="155">
        <f t="shared" si="50"/>
        <v>1</v>
      </c>
      <c r="AI33" s="155">
        <f t="array" ref="AI33">MATCH(MIN(IF($AK$501:$AK$525&gt;=IF(G33&gt;1499,E33+7,E33+5), $AK$501:$AK$525)), $AK$501:$AK$525, 0)</f>
        <v>6</v>
      </c>
      <c r="AK33" s="233"/>
      <c r="AL33" s="233"/>
      <c r="AM33" s="155" t="str">
        <f t="shared" si="51"/>
        <v/>
      </c>
      <c r="AN33" s="155" t="str">
        <f t="shared" si="52"/>
        <v/>
      </c>
      <c r="AX33" s="155" t="str">
        <f t="shared" si="53"/>
        <v>IN</v>
      </c>
    </row>
    <row r="34" spans="1:50" s="155" customFormat="1" ht="30" customHeight="1">
      <c r="A34" s="141" t="str">
        <f t="shared" si="39"/>
        <v>DC113B(EI60)</v>
      </c>
      <c r="B34" s="141" t="str">
        <f t="shared" si="40"/>
        <v>Muc 9.1</v>
      </c>
      <c r="C34" s="157" t="s">
        <v>217</v>
      </c>
      <c r="D34" s="158" t="s">
        <v>208</v>
      </c>
      <c r="E34" s="159">
        <v>14</v>
      </c>
      <c r="F34" s="163">
        <v>80</v>
      </c>
      <c r="G34" s="163">
        <v>932</v>
      </c>
      <c r="H34" s="163">
        <v>1</v>
      </c>
      <c r="I34" s="158" t="s">
        <v>209</v>
      </c>
      <c r="J34" s="257"/>
      <c r="K34" s="159"/>
      <c r="L34" s="160"/>
      <c r="M34" s="159"/>
      <c r="N34" s="159"/>
      <c r="O34" s="161" t="s">
        <v>238</v>
      </c>
      <c r="P34" s="162" t="str">
        <f t="shared" si="54"/>
        <v/>
      </c>
      <c r="Q34" s="163" t="str">
        <f t="shared" si="41"/>
        <v>Tấm</v>
      </c>
      <c r="R34" s="164">
        <f t="shared" si="42"/>
        <v>2.5047030368180595E-2</v>
      </c>
      <c r="S34" s="165">
        <f t="shared" si="43"/>
        <v>0</v>
      </c>
      <c r="T34" s="165">
        <f t="shared" si="44"/>
        <v>0</v>
      </c>
      <c r="U34" s="166">
        <f t="shared" si="45"/>
        <v>0</v>
      </c>
      <c r="V34" s="153">
        <f t="shared" si="46"/>
        <v>6</v>
      </c>
      <c r="W34" s="153" t="str">
        <f t="shared" si="47"/>
        <v>IN</v>
      </c>
      <c r="X34" s="244"/>
      <c r="Y34" s="154">
        <f t="shared" si="48"/>
        <v>0.78288000000000002</v>
      </c>
      <c r="Z34" s="154">
        <f t="shared" si="7"/>
        <v>2</v>
      </c>
      <c r="AA34" s="153" t="str">
        <f t="shared" si="49"/>
        <v/>
      </c>
      <c r="AD34" s="155">
        <f t="shared" si="50"/>
        <v>1</v>
      </c>
      <c r="AI34" s="155">
        <f t="array" ref="AI34">MATCH(MIN(IF($AK$501:$AK$525&gt;=IF(G34&gt;1499,E34+7,E34+5), $AK$501:$AK$525)), $AK$501:$AK$525, 0)</f>
        <v>5</v>
      </c>
      <c r="AK34" s="233"/>
      <c r="AL34" s="233"/>
      <c r="AM34" s="155" t="str">
        <f t="shared" si="51"/>
        <v/>
      </c>
      <c r="AN34" s="155" t="str">
        <f t="shared" si="52"/>
        <v/>
      </c>
      <c r="AX34" s="155" t="str">
        <f t="shared" si="53"/>
        <v>IN</v>
      </c>
    </row>
    <row r="35" spans="1:50" s="155" customFormat="1" ht="30" customHeight="1">
      <c r="A35" s="141" t="str">
        <f t="shared" si="39"/>
        <v>DC113B(EI60)</v>
      </c>
      <c r="B35" s="141" t="str">
        <f t="shared" si="40"/>
        <v>Muc 9.1</v>
      </c>
      <c r="C35" s="157" t="s">
        <v>218</v>
      </c>
      <c r="D35" s="158" t="s">
        <v>211</v>
      </c>
      <c r="E35" s="159">
        <v>9</v>
      </c>
      <c r="F35" s="163">
        <v>9</v>
      </c>
      <c r="G35" s="163">
        <v>932</v>
      </c>
      <c r="H35" s="163">
        <v>1</v>
      </c>
      <c r="I35" s="158" t="s">
        <v>212</v>
      </c>
      <c r="J35" s="257"/>
      <c r="K35" s="159"/>
      <c r="L35" s="160"/>
      <c r="M35" s="159"/>
      <c r="N35" s="159"/>
      <c r="O35" s="161" t="s">
        <v>241</v>
      </c>
      <c r="P35" s="162" t="str">
        <f t="shared" si="54"/>
        <v/>
      </c>
      <c r="Q35" s="163" t="str">
        <f t="shared" si="41"/>
        <v>Tấm</v>
      </c>
      <c r="R35" s="164">
        <f t="shared" si="42"/>
        <v>2.8177909164203169E-3</v>
      </c>
      <c r="S35" s="165">
        <f t="shared" si="43"/>
        <v>0</v>
      </c>
      <c r="T35" s="165">
        <f t="shared" si="44"/>
        <v>0</v>
      </c>
      <c r="U35" s="166">
        <f t="shared" si="45"/>
        <v>0</v>
      </c>
      <c r="V35" s="153">
        <f t="shared" si="46"/>
        <v>6</v>
      </c>
      <c r="W35" s="153" t="str">
        <f t="shared" si="47"/>
        <v>IN</v>
      </c>
      <c r="X35" s="244"/>
      <c r="Y35" s="154">
        <f t="shared" si="48"/>
        <v>5.6619000000000003E-2</v>
      </c>
      <c r="Z35" s="154" t="str">
        <f t="shared" si="7"/>
        <v>1000</v>
      </c>
      <c r="AA35" s="153" t="str">
        <f t="shared" si="49"/>
        <v/>
      </c>
      <c r="AD35" s="155">
        <f t="shared" si="50"/>
        <v>1</v>
      </c>
      <c r="AI35" s="155">
        <f t="array" ref="AI35">MATCH(MIN(IF($AK$501:$AK$525&gt;=IF(G35&gt;1499,E35+7,E35+5), $AK$501:$AK$525)), $AK$501:$AK$525, 0)</f>
        <v>5</v>
      </c>
      <c r="AK35" s="233"/>
      <c r="AL35" s="233"/>
      <c r="AM35" s="155" t="str">
        <f t="shared" si="51"/>
        <v/>
      </c>
      <c r="AN35" s="155" t="str">
        <f t="shared" si="52"/>
        <v/>
      </c>
      <c r="AX35" s="155" t="str">
        <f t="shared" si="53"/>
        <v>IN</v>
      </c>
    </row>
    <row r="36" spans="1:50" s="155" customFormat="1" ht="30" customHeight="1">
      <c r="A36" s="141" t="str">
        <f t="shared" si="39"/>
        <v>DC113B(EI60)</v>
      </c>
      <c r="B36" s="141" t="str">
        <f t="shared" si="40"/>
        <v>Muc 9.1</v>
      </c>
      <c r="C36" s="157">
        <v>9</v>
      </c>
      <c r="D36" s="158" t="s">
        <v>299</v>
      </c>
      <c r="E36" s="159">
        <v>53</v>
      </c>
      <c r="F36" s="163">
        <v>716</v>
      </c>
      <c r="G36" s="163">
        <v>2275</v>
      </c>
      <c r="H36" s="163">
        <v>1</v>
      </c>
      <c r="I36" s="158"/>
      <c r="J36" s="257" t="s">
        <v>219</v>
      </c>
      <c r="K36" s="159" t="s">
        <v>240</v>
      </c>
      <c r="L36" s="160"/>
      <c r="M36" s="159"/>
      <c r="N36" s="159"/>
      <c r="O36" s="161" t="s">
        <v>243</v>
      </c>
      <c r="P36" s="162" t="str">
        <f t="shared" si="54"/>
        <v/>
      </c>
      <c r="Q36" s="163" t="str">
        <f t="shared" si="41"/>
        <v/>
      </c>
      <c r="R36" s="164">
        <f t="shared" si="42"/>
        <v>0</v>
      </c>
      <c r="S36" s="165">
        <f t="shared" si="43"/>
        <v>6.1419999999999995</v>
      </c>
      <c r="T36" s="165">
        <f t="shared" si="44"/>
        <v>0</v>
      </c>
      <c r="U36" s="166">
        <f t="shared" si="45"/>
        <v>0</v>
      </c>
      <c r="V36" s="153">
        <f t="shared" si="46"/>
        <v>6</v>
      </c>
      <c r="W36" s="153" t="str">
        <f t="shared" si="47"/>
        <v>IN</v>
      </c>
      <c r="X36" s="244">
        <v>1</v>
      </c>
      <c r="Y36" s="154">
        <f t="shared" si="48"/>
        <v>64.748775000000009</v>
      </c>
      <c r="Z36" s="154">
        <f t="shared" si="7"/>
        <v>2</v>
      </c>
      <c r="AA36" s="153" t="str">
        <f t="shared" si="49"/>
        <v>24,</v>
      </c>
      <c r="AD36" s="155">
        <f t="shared" si="50"/>
        <v>1</v>
      </c>
      <c r="AI36" s="155">
        <f t="array" ref="AI36">MATCH(MIN(IF($AK$501:$AK$525&gt;=IF(G36&gt;1499,E36+7,E36+5), $AK$501:$AK$525)), $AK$501:$AK$525, 0)</f>
        <v>12</v>
      </c>
      <c r="AK36" s="233"/>
      <c r="AL36" s="233"/>
      <c r="AM36" s="155" t="str">
        <f t="shared" si="51"/>
        <v/>
      </c>
      <c r="AN36" s="155" t="str">
        <f t="shared" si="52"/>
        <v/>
      </c>
      <c r="AX36" s="155" t="str">
        <f t="shared" si="53"/>
        <v>IN</v>
      </c>
    </row>
    <row r="37" spans="1:50" s="155" customFormat="1" ht="30" customHeight="1">
      <c r="A37" s="141" t="str">
        <f t="shared" si="39"/>
        <v>DC113B(EI60)</v>
      </c>
      <c r="B37" s="141" t="str">
        <f t="shared" si="40"/>
        <v>Muc 9.1</v>
      </c>
      <c r="C37" s="157" t="s">
        <v>220</v>
      </c>
      <c r="D37" s="158" t="s">
        <v>198</v>
      </c>
      <c r="E37" s="159">
        <v>4</v>
      </c>
      <c r="F37" s="163">
        <v>736</v>
      </c>
      <c r="G37" s="163">
        <v>2295</v>
      </c>
      <c r="H37" s="163">
        <v>2</v>
      </c>
      <c r="I37" s="158" t="s">
        <v>221</v>
      </c>
      <c r="J37" s="257"/>
      <c r="K37" s="159"/>
      <c r="L37" s="160"/>
      <c r="M37" s="159"/>
      <c r="N37" s="159"/>
      <c r="O37" s="161"/>
      <c r="P37" s="162" t="str">
        <f t="shared" si="54"/>
        <v/>
      </c>
      <c r="Q37" s="163" t="str">
        <f t="shared" si="41"/>
        <v>Tấm</v>
      </c>
      <c r="R37" s="164">
        <f t="shared" si="42"/>
        <v>1.134856221445848</v>
      </c>
      <c r="S37" s="165">
        <f t="shared" si="43"/>
        <v>0</v>
      </c>
      <c r="T37" s="165">
        <f t="shared" si="44"/>
        <v>0</v>
      </c>
      <c r="U37" s="166">
        <f t="shared" si="45"/>
        <v>0</v>
      </c>
      <c r="V37" s="153">
        <f t="shared" si="46"/>
        <v>6</v>
      </c>
      <c r="W37" s="153" t="str">
        <f t="shared" si="47"/>
        <v>IN</v>
      </c>
      <c r="X37" s="244"/>
      <c r="Y37" s="154">
        <f t="shared" si="48"/>
        <v>10.134720000000002</v>
      </c>
      <c r="Z37" s="154">
        <f t="shared" si="7"/>
        <v>3</v>
      </c>
      <c r="AA37" s="153" t="str">
        <f t="shared" si="49"/>
        <v/>
      </c>
      <c r="AD37" s="155">
        <f t="shared" si="50"/>
        <v>1</v>
      </c>
      <c r="AI37" s="155">
        <f t="array" ref="AI37">MATCH(MIN(IF($AK$501:$AK$525&gt;=IF(G37&gt;1499,E37+7,E37+5), $AK$501:$AK$525)), $AK$501:$AK$525, 0)</f>
        <v>5</v>
      </c>
      <c r="AK37" s="233"/>
      <c r="AL37" s="233"/>
      <c r="AM37" s="155" t="str">
        <f t="shared" si="51"/>
        <v/>
      </c>
      <c r="AN37" s="155" t="str">
        <f t="shared" si="52"/>
        <v/>
      </c>
      <c r="AX37" s="155" t="str">
        <f t="shared" si="53"/>
        <v>IN</v>
      </c>
    </row>
    <row r="38" spans="1:50" s="155" customFormat="1" ht="30" customHeight="1">
      <c r="A38" s="141" t="str">
        <f t="shared" si="39"/>
        <v>DC113B(EI60)</v>
      </c>
      <c r="B38" s="141" t="str">
        <f t="shared" si="40"/>
        <v>Muc 9.1</v>
      </c>
      <c r="C38" s="157" t="s">
        <v>222</v>
      </c>
      <c r="D38" s="158" t="s">
        <v>201</v>
      </c>
      <c r="E38" s="159">
        <v>10</v>
      </c>
      <c r="F38" s="163">
        <v>736</v>
      </c>
      <c r="G38" s="163">
        <v>2295</v>
      </c>
      <c r="H38" s="163">
        <v>2</v>
      </c>
      <c r="I38" s="158" t="s">
        <v>202</v>
      </c>
      <c r="J38" s="257"/>
      <c r="K38" s="159"/>
      <c r="L38" s="160"/>
      <c r="M38" s="159"/>
      <c r="N38" s="159"/>
      <c r="O38" s="161"/>
      <c r="P38" s="162" t="str">
        <f t="shared" si="54"/>
        <v/>
      </c>
      <c r="Q38" s="163" t="str">
        <f t="shared" si="41"/>
        <v>Tấm</v>
      </c>
      <c r="R38" s="164">
        <f t="shared" si="42"/>
        <v>1.134856221445848</v>
      </c>
      <c r="S38" s="165">
        <f t="shared" si="43"/>
        <v>0</v>
      </c>
      <c r="T38" s="165">
        <f t="shared" si="44"/>
        <v>0</v>
      </c>
      <c r="U38" s="166">
        <f t="shared" si="45"/>
        <v>0</v>
      </c>
      <c r="V38" s="153">
        <f t="shared" si="46"/>
        <v>6</v>
      </c>
      <c r="W38" s="153" t="str">
        <f t="shared" si="47"/>
        <v>IN</v>
      </c>
      <c r="X38" s="244"/>
      <c r="Y38" s="154">
        <f t="shared" si="48"/>
        <v>25.336800000000004</v>
      </c>
      <c r="Z38" s="154">
        <f t="shared" si="7"/>
        <v>3</v>
      </c>
      <c r="AA38" s="153" t="str">
        <f t="shared" si="49"/>
        <v/>
      </c>
      <c r="AD38" s="155">
        <f t="shared" si="50"/>
        <v>1</v>
      </c>
      <c r="AI38" s="155">
        <f t="array" ref="AI38">MATCH(MIN(IF($AK$501:$AK$525&gt;=IF(G38&gt;1499,E38+7,E38+5), $AK$501:$AK$525)), $AK$501:$AK$525, 0)</f>
        <v>5</v>
      </c>
      <c r="AK38" s="233"/>
      <c r="AL38" s="233"/>
      <c r="AM38" s="155" t="str">
        <f t="shared" si="51"/>
        <v/>
      </c>
      <c r="AN38" s="155" t="str">
        <f t="shared" si="52"/>
        <v/>
      </c>
      <c r="AX38" s="155" t="str">
        <f t="shared" si="53"/>
        <v>IN</v>
      </c>
    </row>
    <row r="39" spans="1:50" s="155" customFormat="1" ht="30" customHeight="1">
      <c r="A39" s="141" t="str">
        <f t="shared" si="39"/>
        <v>DC113B(EI60)</v>
      </c>
      <c r="B39" s="141" t="str">
        <f t="shared" si="40"/>
        <v>Muc 9.1</v>
      </c>
      <c r="C39" s="157" t="s">
        <v>223</v>
      </c>
      <c r="D39" s="158" t="s">
        <v>224</v>
      </c>
      <c r="E39" s="159">
        <v>25</v>
      </c>
      <c r="F39" s="163">
        <v>60</v>
      </c>
      <c r="G39" s="163">
        <v>2295</v>
      </c>
      <c r="H39" s="163">
        <v>2</v>
      </c>
      <c r="I39" s="158" t="s">
        <v>225</v>
      </c>
      <c r="J39" s="257"/>
      <c r="K39" s="159"/>
      <c r="L39" s="160"/>
      <c r="M39" s="159"/>
      <c r="N39" s="159"/>
      <c r="O39" s="161"/>
      <c r="P39" s="162" t="str">
        <f t="shared" si="54"/>
        <v/>
      </c>
      <c r="Q39" s="163" t="str">
        <f t="shared" si="41"/>
        <v>Tấm</v>
      </c>
      <c r="R39" s="164">
        <f t="shared" si="42"/>
        <v>9.2515452835259346E-2</v>
      </c>
      <c r="S39" s="165">
        <f t="shared" si="43"/>
        <v>0</v>
      </c>
      <c r="T39" s="165">
        <f t="shared" si="44"/>
        <v>0</v>
      </c>
      <c r="U39" s="166">
        <f t="shared" si="45"/>
        <v>0</v>
      </c>
      <c r="V39" s="153">
        <f t="shared" si="46"/>
        <v>6</v>
      </c>
      <c r="W39" s="153" t="str">
        <f t="shared" si="47"/>
        <v>IN</v>
      </c>
      <c r="X39" s="244"/>
      <c r="Y39" s="154">
        <f t="shared" si="48"/>
        <v>5.1637500000000003</v>
      </c>
      <c r="Z39" s="154">
        <f t="shared" si="7"/>
        <v>3</v>
      </c>
      <c r="AA39" s="153" t="str">
        <f t="shared" si="49"/>
        <v/>
      </c>
      <c r="AD39" s="155">
        <f t="shared" si="50"/>
        <v>1</v>
      </c>
      <c r="AI39" s="155">
        <f t="array" ref="AI39">MATCH(MIN(IF($AK$501:$AK$525&gt;=IF(G39&gt;1499,E39+7,E39+5), $AK$501:$AK$525)), $AK$501:$AK$525, 0)</f>
        <v>7</v>
      </c>
      <c r="AK39" s="233"/>
      <c r="AL39" s="233"/>
      <c r="AM39" s="155" t="str">
        <f t="shared" si="51"/>
        <v/>
      </c>
      <c r="AN39" s="155" t="str">
        <f t="shared" si="52"/>
        <v/>
      </c>
      <c r="AX39" s="155" t="str">
        <f t="shared" si="53"/>
        <v>IN</v>
      </c>
    </row>
    <row r="40" spans="1:50" s="155" customFormat="1" ht="30" customHeight="1">
      <c r="A40" s="141" t="str">
        <f t="shared" si="39"/>
        <v>DC113B(EI60)</v>
      </c>
      <c r="B40" s="141" t="str">
        <f t="shared" si="40"/>
        <v>Muc 9.1</v>
      </c>
      <c r="C40" s="157" t="s">
        <v>226</v>
      </c>
      <c r="D40" s="158" t="s">
        <v>227</v>
      </c>
      <c r="E40" s="159">
        <v>25</v>
      </c>
      <c r="F40" s="163">
        <v>60</v>
      </c>
      <c r="G40" s="163">
        <v>616</v>
      </c>
      <c r="H40" s="163">
        <v>2</v>
      </c>
      <c r="I40" s="158" t="s">
        <v>225</v>
      </c>
      <c r="J40" s="257"/>
      <c r="K40" s="159"/>
      <c r="L40" s="160"/>
      <c r="M40" s="159"/>
      <c r="N40" s="159"/>
      <c r="O40" s="161"/>
      <c r="P40" s="162" t="str">
        <f t="shared" si="54"/>
        <v/>
      </c>
      <c r="Q40" s="163" t="str">
        <f t="shared" si="41"/>
        <v>Tấm</v>
      </c>
      <c r="R40" s="164">
        <f t="shared" si="42"/>
        <v>2.4832034399355014E-2</v>
      </c>
      <c r="S40" s="165">
        <f t="shared" si="43"/>
        <v>0</v>
      </c>
      <c r="T40" s="165">
        <f t="shared" si="44"/>
        <v>0</v>
      </c>
      <c r="U40" s="166">
        <f t="shared" si="45"/>
        <v>0</v>
      </c>
      <c r="V40" s="153">
        <f t="shared" si="46"/>
        <v>6</v>
      </c>
      <c r="W40" s="153" t="str">
        <f t="shared" si="47"/>
        <v>IN</v>
      </c>
      <c r="X40" s="244"/>
      <c r="Y40" s="154">
        <f t="shared" si="48"/>
        <v>1.3860000000000001</v>
      </c>
      <c r="Z40" s="154">
        <f t="shared" si="7"/>
        <v>3</v>
      </c>
      <c r="AA40" s="153" t="str">
        <f t="shared" si="49"/>
        <v/>
      </c>
      <c r="AD40" s="155">
        <f t="shared" si="50"/>
        <v>1</v>
      </c>
      <c r="AI40" s="155">
        <f t="array" ref="AI40">MATCH(MIN(IF($AK$501:$AK$525&gt;=IF(G40&gt;1499,E40+7,E40+5), $AK$501:$AK$525)), $AK$501:$AK$525, 0)</f>
        <v>6</v>
      </c>
      <c r="AK40" s="233"/>
      <c r="AL40" s="233"/>
      <c r="AM40" s="155" t="str">
        <f t="shared" si="51"/>
        <v/>
      </c>
      <c r="AN40" s="155" t="str">
        <f t="shared" si="52"/>
        <v/>
      </c>
      <c r="AX40" s="155" t="str">
        <f t="shared" si="53"/>
        <v>IN</v>
      </c>
    </row>
    <row r="41" spans="1:50" s="155" customFormat="1" ht="30" customHeight="1">
      <c r="A41" s="141" t="str">
        <f t="shared" si="39"/>
        <v>DC113B(EI60)</v>
      </c>
      <c r="B41" s="141" t="str">
        <f t="shared" si="40"/>
        <v>Muc 9.1</v>
      </c>
      <c r="C41" s="157" t="s">
        <v>228</v>
      </c>
      <c r="D41" s="158" t="s">
        <v>224</v>
      </c>
      <c r="E41" s="159">
        <v>25</v>
      </c>
      <c r="F41" s="163">
        <v>25</v>
      </c>
      <c r="G41" s="163">
        <v>405</v>
      </c>
      <c r="H41" s="163">
        <v>11</v>
      </c>
      <c r="I41" s="158" t="s">
        <v>229</v>
      </c>
      <c r="J41" s="257"/>
      <c r="K41" s="159"/>
      <c r="L41" s="160"/>
      <c r="M41" s="159"/>
      <c r="N41" s="159"/>
      <c r="O41" s="161"/>
      <c r="P41" s="162" t="str">
        <f t="shared" si="54"/>
        <v/>
      </c>
      <c r="Q41" s="163" t="str">
        <f t="shared" si="41"/>
        <v>Tấm</v>
      </c>
      <c r="R41" s="164">
        <f t="shared" si="42"/>
        <v>3.7414337543671058E-2</v>
      </c>
      <c r="S41" s="165">
        <f t="shared" si="43"/>
        <v>0</v>
      </c>
      <c r="T41" s="165">
        <f t="shared" si="44"/>
        <v>0</v>
      </c>
      <c r="U41" s="166">
        <f t="shared" si="45"/>
        <v>0</v>
      </c>
      <c r="V41" s="153">
        <f t="shared" si="46"/>
        <v>6</v>
      </c>
      <c r="W41" s="153" t="str">
        <f t="shared" si="47"/>
        <v>IN</v>
      </c>
      <c r="X41" s="244"/>
      <c r="Y41" s="154">
        <f t="shared" si="48"/>
        <v>2.0882812500000001</v>
      </c>
      <c r="Z41" s="154">
        <f t="shared" si="7"/>
        <v>3</v>
      </c>
      <c r="AA41" s="153" t="str">
        <f t="shared" si="49"/>
        <v/>
      </c>
      <c r="AD41" s="155">
        <f t="shared" si="50"/>
        <v>1</v>
      </c>
      <c r="AI41" s="155">
        <f t="array" ref="AI41">MATCH(MIN(IF($AK$501:$AK$525&gt;=IF(G41&gt;1499,E41+7,E41+5), $AK$501:$AK$525)), $AK$501:$AK$525, 0)</f>
        <v>6</v>
      </c>
      <c r="AK41" s="233"/>
      <c r="AL41" s="233"/>
      <c r="AM41" s="155" t="str">
        <f t="shared" si="51"/>
        <v/>
      </c>
      <c r="AN41" s="155" t="str">
        <f t="shared" si="52"/>
        <v/>
      </c>
      <c r="AX41" s="155" t="str">
        <f t="shared" si="53"/>
        <v>IN</v>
      </c>
    </row>
    <row r="42" spans="1:50" s="155" customFormat="1" ht="30" customHeight="1">
      <c r="A42" s="141" t="str">
        <f t="shared" si="39"/>
        <v>DC113B(EI60)</v>
      </c>
      <c r="B42" s="141" t="str">
        <f t="shared" si="40"/>
        <v>Muc 9.1</v>
      </c>
      <c r="C42" s="157" t="s">
        <v>230</v>
      </c>
      <c r="D42" s="158" t="s">
        <v>227</v>
      </c>
      <c r="E42" s="159">
        <v>25</v>
      </c>
      <c r="F42" s="163">
        <v>25</v>
      </c>
      <c r="G42" s="163">
        <v>616</v>
      </c>
      <c r="H42" s="163">
        <v>6</v>
      </c>
      <c r="I42" s="158" t="s">
        <v>229</v>
      </c>
      <c r="J42" s="257"/>
      <c r="K42" s="159"/>
      <c r="L42" s="160"/>
      <c r="M42" s="159"/>
      <c r="N42" s="159"/>
      <c r="O42" s="161"/>
      <c r="P42" s="162" t="str">
        <f t="shared" si="54"/>
        <v/>
      </c>
      <c r="Q42" s="163" t="str">
        <f t="shared" si="41"/>
        <v>Tấm</v>
      </c>
      <c r="R42" s="164">
        <f t="shared" si="42"/>
        <v>3.1040042999193766E-2</v>
      </c>
      <c r="S42" s="165">
        <f t="shared" si="43"/>
        <v>0</v>
      </c>
      <c r="T42" s="165">
        <f t="shared" si="44"/>
        <v>0</v>
      </c>
      <c r="U42" s="166">
        <f t="shared" si="45"/>
        <v>0</v>
      </c>
      <c r="V42" s="153">
        <f t="shared" si="46"/>
        <v>6</v>
      </c>
      <c r="W42" s="153" t="str">
        <f t="shared" si="47"/>
        <v>IN</v>
      </c>
      <c r="X42" s="244"/>
      <c r="Y42" s="154">
        <f t="shared" si="48"/>
        <v>1.7324999999999999</v>
      </c>
      <c r="Z42" s="154">
        <f t="shared" si="7"/>
        <v>3</v>
      </c>
      <c r="AA42" s="153" t="str">
        <f t="shared" si="49"/>
        <v/>
      </c>
      <c r="AD42" s="155">
        <f t="shared" si="50"/>
        <v>1</v>
      </c>
      <c r="AI42" s="155">
        <f t="array" ref="AI42">MATCH(MIN(IF($AK$501:$AK$525&gt;=IF(G42&gt;1499,E42+7,E42+5), $AK$501:$AK$525)), $AK$501:$AK$525, 0)</f>
        <v>6</v>
      </c>
      <c r="AK42" s="233"/>
      <c r="AL42" s="233"/>
      <c r="AM42" s="155" t="str">
        <f t="shared" si="51"/>
        <v/>
      </c>
      <c r="AN42" s="155" t="str">
        <f t="shared" si="52"/>
        <v/>
      </c>
      <c r="AX42" s="155" t="str">
        <f t="shared" si="53"/>
        <v>IN</v>
      </c>
    </row>
    <row r="43" spans="1:50" s="155" customFormat="1" ht="30" customHeight="1">
      <c r="A43" s="141" t="str">
        <f t="shared" si="39"/>
        <v>DC113B(EI60)</v>
      </c>
      <c r="B43" s="141" t="str">
        <f t="shared" si="40"/>
        <v>Muc 9.1</v>
      </c>
      <c r="C43" s="157" t="s">
        <v>231</v>
      </c>
      <c r="D43" s="158" t="s">
        <v>232</v>
      </c>
      <c r="E43" s="159">
        <v>25</v>
      </c>
      <c r="F43" s="163">
        <v>293.5</v>
      </c>
      <c r="G43" s="163">
        <v>403</v>
      </c>
      <c r="H43" s="163">
        <v>8</v>
      </c>
      <c r="I43" s="158" t="s">
        <v>233</v>
      </c>
      <c r="J43" s="257"/>
      <c r="K43" s="159"/>
      <c r="L43" s="160"/>
      <c r="M43" s="159"/>
      <c r="N43" s="159"/>
      <c r="O43" s="161"/>
      <c r="P43" s="162" t="str">
        <f t="shared" si="54"/>
        <v/>
      </c>
      <c r="Q43" s="163" t="str">
        <f t="shared" si="41"/>
        <v>Tấm</v>
      </c>
      <c r="R43" s="164">
        <f t="shared" si="42"/>
        <v>0.31787288363343186</v>
      </c>
      <c r="S43" s="165">
        <f t="shared" si="43"/>
        <v>0</v>
      </c>
      <c r="T43" s="165">
        <f t="shared" si="44"/>
        <v>0</v>
      </c>
      <c r="U43" s="166">
        <f t="shared" si="45"/>
        <v>0</v>
      </c>
      <c r="V43" s="153">
        <f t="shared" si="46"/>
        <v>6</v>
      </c>
      <c r="W43" s="153" t="str">
        <f t="shared" si="47"/>
        <v>IN</v>
      </c>
      <c r="X43" s="244"/>
      <c r="Y43" s="154">
        <f t="shared" si="48"/>
        <v>17.742075000000003</v>
      </c>
      <c r="Z43" s="154">
        <f t="shared" si="7"/>
        <v>3</v>
      </c>
      <c r="AA43" s="153" t="str">
        <f t="shared" si="49"/>
        <v/>
      </c>
      <c r="AD43" s="155">
        <f t="shared" si="50"/>
        <v>1</v>
      </c>
      <c r="AI43" s="155">
        <f t="array" ref="AI43">MATCH(MIN(IF($AK$501:$AK$525&gt;=IF(G43&gt;1499,E43+7,E43+5), $AK$501:$AK$525)), $AK$501:$AK$525, 0)</f>
        <v>6</v>
      </c>
      <c r="AK43" s="233"/>
      <c r="AL43" s="233"/>
      <c r="AM43" s="155" t="str">
        <f t="shared" si="51"/>
        <v/>
      </c>
      <c r="AN43" s="155" t="str">
        <f t="shared" si="52"/>
        <v/>
      </c>
      <c r="AX43" s="155" t="str">
        <f t="shared" si="53"/>
        <v>IN</v>
      </c>
    </row>
    <row r="44" spans="1:50" s="155" customFormat="1" ht="30" customHeight="1">
      <c r="A44" s="141" t="str">
        <f t="shared" si="39"/>
        <v>DC113B(EI60)</v>
      </c>
      <c r="B44" s="141" t="str">
        <f t="shared" si="40"/>
        <v>Muc 9.1</v>
      </c>
      <c r="C44" s="157" t="s">
        <v>234</v>
      </c>
      <c r="D44" s="158" t="s">
        <v>232</v>
      </c>
      <c r="E44" s="159">
        <v>25</v>
      </c>
      <c r="F44" s="163">
        <v>218.5</v>
      </c>
      <c r="G44" s="163">
        <v>403</v>
      </c>
      <c r="H44" s="163">
        <v>2</v>
      </c>
      <c r="I44" s="158" t="s">
        <v>233</v>
      </c>
      <c r="J44" s="257"/>
      <c r="K44" s="159"/>
      <c r="L44" s="160"/>
      <c r="M44" s="159"/>
      <c r="N44" s="159"/>
      <c r="O44" s="161"/>
      <c r="P44" s="162" t="str">
        <f t="shared" si="54"/>
        <v/>
      </c>
      <c r="Q44" s="163" t="str">
        <f t="shared" si="41"/>
        <v>Tấm</v>
      </c>
      <c r="R44" s="164">
        <f t="shared" si="42"/>
        <v>5.916117979037893E-2</v>
      </c>
      <c r="S44" s="165">
        <f t="shared" si="43"/>
        <v>0</v>
      </c>
      <c r="T44" s="165">
        <f t="shared" si="44"/>
        <v>0</v>
      </c>
      <c r="U44" s="166">
        <f t="shared" si="45"/>
        <v>0</v>
      </c>
      <c r="V44" s="153">
        <f t="shared" si="46"/>
        <v>6</v>
      </c>
      <c r="W44" s="153" t="str">
        <f t="shared" si="47"/>
        <v>IN</v>
      </c>
      <c r="X44" s="244"/>
      <c r="Y44" s="154">
        <f t="shared" si="48"/>
        <v>3.3020812500000001</v>
      </c>
      <c r="Z44" s="154" t="str">
        <f t="shared" si="7"/>
        <v>1000</v>
      </c>
      <c r="AA44" s="153" t="str">
        <f t="shared" si="49"/>
        <v/>
      </c>
      <c r="AD44" s="155">
        <f t="shared" si="50"/>
        <v>1</v>
      </c>
      <c r="AI44" s="155">
        <f t="array" ref="AI44">MATCH(MIN(IF($AK$501:$AK$525&gt;=IF(G44&gt;1499,E44+7,E44+5), $AK$501:$AK$525)), $AK$501:$AK$525, 0)</f>
        <v>6</v>
      </c>
      <c r="AK44" s="233"/>
      <c r="AL44" s="233"/>
      <c r="AM44" s="155" t="str">
        <f t="shared" si="51"/>
        <v/>
      </c>
      <c r="AN44" s="155" t="str">
        <f t="shared" si="52"/>
        <v/>
      </c>
      <c r="AX44" s="155" t="str">
        <f t="shared" si="53"/>
        <v>IN</v>
      </c>
    </row>
    <row r="45" spans="1:50" s="155" customFormat="1" ht="30" hidden="1" customHeight="1">
      <c r="A45" s="141" t="str">
        <f t="shared" si="39"/>
        <v/>
      </c>
      <c r="B45" s="141" t="str">
        <f t="shared" si="40"/>
        <v/>
      </c>
      <c r="C45" s="157" t="str">
        <f>IF(D45="","",
    IF(ISERR(SEARCH("_",D45)),
        IFERROR(_xlfn.AGGREGATE(14,6,$C$12:C44,1),0)+1,
        IFERROR(
            VALUE(TRIM(MID(SUBSTITUTE(D45,"_",REPT(" ",LEN(D45))), (LEN(D45)-LEN(SUBSTITUTE(D45,"_",""))-1)*LEN(D45)+1, LEN(D45))))
            &amp; "." &amp;
            VALUE(TRIM(RIGHT(SUBSTITUTE(D45,"_",REPT(" ",LEN(D45))),LEN(D45)))),
            "")))</f>
        <v/>
      </c>
      <c r="D45" s="158"/>
      <c r="E45" s="159"/>
      <c r="F45" s="163"/>
      <c r="G45" s="163"/>
      <c r="H45" s="163"/>
      <c r="I45" s="158"/>
      <c r="J45" s="257"/>
      <c r="K45" s="159"/>
      <c r="L45" s="160"/>
      <c r="M45" s="159"/>
      <c r="N45" s="159"/>
      <c r="O45" s="161"/>
      <c r="P45" s="162" t="str">
        <f t="shared" si="54"/>
        <v/>
      </c>
      <c r="Q45" s="163" t="str">
        <f t="shared" si="41"/>
        <v/>
      </c>
      <c r="R45" s="164">
        <f t="shared" si="42"/>
        <v>0</v>
      </c>
      <c r="S45" s="165">
        <f t="shared" si="43"/>
        <v>0</v>
      </c>
      <c r="T45" s="165">
        <f t="shared" si="44"/>
        <v>0</v>
      </c>
      <c r="U45" s="166">
        <f t="shared" si="45"/>
        <v>0</v>
      </c>
      <c r="V45" s="153" t="str">
        <f t="shared" si="46"/>
        <v/>
      </c>
      <c r="W45" s="153" t="str">
        <f t="shared" si="47"/>
        <v/>
      </c>
      <c r="X45" s="244"/>
      <c r="Y45" s="154">
        <f t="shared" si="48"/>
        <v>0</v>
      </c>
      <c r="Z45" s="154" t="str">
        <f t="shared" si="7"/>
        <v>1000</v>
      </c>
      <c r="AA45" s="153" t="str">
        <f t="shared" si="49"/>
        <v/>
      </c>
      <c r="AD45" s="155" t="str">
        <f t="shared" si="50"/>
        <v/>
      </c>
      <c r="AI45" s="155">
        <f t="array" ref="AI45">MATCH(MIN(IF($AK$501:$AK$525&gt;=IF(G45&gt;1499,E45+7,E45+5), $AK$501:$AK$525)), $AK$501:$AK$525, 0)</f>
        <v>5</v>
      </c>
      <c r="AK45" s="233"/>
      <c r="AL45" s="233"/>
      <c r="AM45" s="155" t="str">
        <f t="shared" si="51"/>
        <v/>
      </c>
      <c r="AN45" s="155" t="str">
        <f t="shared" si="52"/>
        <v/>
      </c>
      <c r="AX45" s="155" t="str">
        <f t="shared" si="53"/>
        <v/>
      </c>
    </row>
    <row r="46" spans="1:50" s="155" customFormat="1" ht="30" hidden="1" customHeight="1">
      <c r="A46" s="141" t="str">
        <f t="shared" si="39"/>
        <v/>
      </c>
      <c r="B46" s="141" t="str">
        <f t="shared" si="40"/>
        <v/>
      </c>
      <c r="C46" s="157" t="str">
        <f>IF(D46="","",
    IF(ISERR(SEARCH("_",D46)),
        IFERROR(_xlfn.AGGREGATE(14,6,$C$12:C45,1),0)+1,
        IFERROR(
            VALUE(TRIM(MID(SUBSTITUTE(D46,"_",REPT(" ",LEN(D46))), (LEN(D46)-LEN(SUBSTITUTE(D46,"_",""))-1)*LEN(D46)+1, LEN(D46))))
            &amp; "." &amp;
            VALUE(TRIM(RIGHT(SUBSTITUTE(D46,"_",REPT(" ",LEN(D46))),LEN(D46)))),
            "")))</f>
        <v/>
      </c>
      <c r="D46" s="158"/>
      <c r="E46" s="159"/>
      <c r="F46" s="163"/>
      <c r="G46" s="163"/>
      <c r="H46" s="163"/>
      <c r="I46" s="158"/>
      <c r="J46" s="257"/>
      <c r="K46" s="159"/>
      <c r="L46" s="160"/>
      <c r="M46" s="159"/>
      <c r="N46" s="159"/>
      <c r="O46" s="161"/>
      <c r="P46" s="162" t="str">
        <f t="shared" si="54"/>
        <v/>
      </c>
      <c r="Q46" s="163" t="str">
        <f t="shared" si="41"/>
        <v/>
      </c>
      <c r="R46" s="164">
        <f t="shared" si="42"/>
        <v>0</v>
      </c>
      <c r="S46" s="165">
        <f t="shared" si="43"/>
        <v>0</v>
      </c>
      <c r="T46" s="165">
        <f t="shared" si="44"/>
        <v>0</v>
      </c>
      <c r="U46" s="166">
        <f t="shared" si="45"/>
        <v>0</v>
      </c>
      <c r="V46" s="153" t="str">
        <f t="shared" si="46"/>
        <v/>
      </c>
      <c r="W46" s="153" t="str">
        <f t="shared" si="47"/>
        <v/>
      </c>
      <c r="X46" s="244"/>
      <c r="Y46" s="154">
        <f t="shared" si="48"/>
        <v>0</v>
      </c>
      <c r="Z46" s="154" t="str">
        <f t="shared" si="7"/>
        <v>1000</v>
      </c>
      <c r="AA46" s="153" t="str">
        <f t="shared" si="49"/>
        <v/>
      </c>
      <c r="AD46" s="155" t="str">
        <f t="shared" si="50"/>
        <v/>
      </c>
      <c r="AI46" s="155">
        <f t="array" ref="AI46">MATCH(MIN(IF($AK$501:$AK$525&gt;=IF(G46&gt;1499,E46+7,E46+5), $AK$501:$AK$525)), $AK$501:$AK$525, 0)</f>
        <v>5</v>
      </c>
      <c r="AK46" s="233"/>
      <c r="AL46" s="233"/>
      <c r="AM46" s="155" t="str">
        <f t="shared" si="51"/>
        <v/>
      </c>
      <c r="AN46" s="155" t="str">
        <f t="shared" si="52"/>
        <v/>
      </c>
      <c r="AX46" s="155" t="str">
        <f t="shared" si="53"/>
        <v/>
      </c>
    </row>
    <row r="47" spans="1:50" s="155" customFormat="1" ht="30" hidden="1" customHeight="1">
      <c r="A47" s="141" t="str">
        <f t="shared" si="39"/>
        <v/>
      </c>
      <c r="B47" s="141" t="str">
        <f t="shared" si="40"/>
        <v/>
      </c>
      <c r="C47" s="157" t="str">
        <f>IF(D47="","",
    IF(ISERR(SEARCH("_",D47)),
        IFERROR(_xlfn.AGGREGATE(14,6,$C$12:C46,1),0)+1,
        IFERROR(
            VALUE(TRIM(MID(SUBSTITUTE(D47,"_",REPT(" ",LEN(D47))), (LEN(D47)-LEN(SUBSTITUTE(D47,"_",""))-1)*LEN(D47)+1, LEN(D47))))
            &amp; "." &amp;
            VALUE(TRIM(RIGHT(SUBSTITUTE(D47,"_",REPT(" ",LEN(D47))),LEN(D47)))),
            "")))</f>
        <v/>
      </c>
      <c r="D47" s="158"/>
      <c r="E47" s="159"/>
      <c r="F47" s="163"/>
      <c r="G47" s="163"/>
      <c r="H47" s="163"/>
      <c r="I47" s="158"/>
      <c r="J47" s="257"/>
      <c r="K47" s="159"/>
      <c r="L47" s="160"/>
      <c r="M47" s="159"/>
      <c r="N47" s="159"/>
      <c r="O47" s="161"/>
      <c r="P47" s="162" t="str">
        <f t="shared" si="54"/>
        <v/>
      </c>
      <c r="Q47" s="163" t="str">
        <f t="shared" si="41"/>
        <v/>
      </c>
      <c r="R47" s="164">
        <f t="shared" si="42"/>
        <v>0</v>
      </c>
      <c r="S47" s="165">
        <f t="shared" si="43"/>
        <v>0</v>
      </c>
      <c r="T47" s="165">
        <f t="shared" si="44"/>
        <v>0</v>
      </c>
      <c r="U47" s="166">
        <f t="shared" si="45"/>
        <v>0</v>
      </c>
      <c r="V47" s="153" t="str">
        <f t="shared" si="46"/>
        <v/>
      </c>
      <c r="W47" s="153" t="str">
        <f t="shared" si="47"/>
        <v/>
      </c>
      <c r="X47" s="244"/>
      <c r="Y47" s="154">
        <f t="shared" si="48"/>
        <v>0</v>
      </c>
      <c r="Z47" s="154" t="str">
        <f t="shared" si="7"/>
        <v>1000</v>
      </c>
      <c r="AA47" s="153" t="str">
        <f t="shared" si="49"/>
        <v/>
      </c>
      <c r="AD47" s="155" t="str">
        <f t="shared" si="50"/>
        <v/>
      </c>
      <c r="AI47" s="155">
        <f t="array" ref="AI47">MATCH(MIN(IF($AK$501:$AK$525&gt;=IF(G47&gt;1499,E47+7,E47+5), $AK$501:$AK$525)), $AK$501:$AK$525, 0)</f>
        <v>5</v>
      </c>
      <c r="AK47" s="233"/>
      <c r="AL47" s="233"/>
      <c r="AM47" s="155" t="str">
        <f t="shared" si="51"/>
        <v/>
      </c>
      <c r="AN47" s="155" t="str">
        <f t="shared" si="52"/>
        <v/>
      </c>
      <c r="AX47" s="155" t="str">
        <f t="shared" si="53"/>
        <v/>
      </c>
    </row>
    <row r="48" spans="1:50" s="155" customFormat="1" ht="30" hidden="1" customHeight="1">
      <c r="A48" s="141" t="str">
        <f t="shared" si="39"/>
        <v/>
      </c>
      <c r="B48" s="141" t="str">
        <f t="shared" si="40"/>
        <v/>
      </c>
      <c r="C48" s="157" t="str">
        <f>IF(D48="","",
    IF(ISERR(SEARCH("_",D48)),
        IFERROR(_xlfn.AGGREGATE(14,6,$C$12:C47,1),0)+1,
        IFERROR(
            VALUE(TRIM(MID(SUBSTITUTE(D48,"_",REPT(" ",LEN(D48))), (LEN(D48)-LEN(SUBSTITUTE(D48,"_",""))-1)*LEN(D48)+1, LEN(D48))))
            &amp; "." &amp;
            VALUE(TRIM(RIGHT(SUBSTITUTE(D48,"_",REPT(" ",LEN(D48))),LEN(D48)))),
            "")))</f>
        <v/>
      </c>
      <c r="D48" s="158"/>
      <c r="E48" s="159"/>
      <c r="F48" s="163"/>
      <c r="G48" s="163"/>
      <c r="H48" s="163"/>
      <c r="I48" s="158"/>
      <c r="J48" s="257"/>
      <c r="K48" s="159"/>
      <c r="L48" s="160"/>
      <c r="M48" s="159"/>
      <c r="N48" s="159"/>
      <c r="O48" s="161"/>
      <c r="P48" s="162" t="str">
        <f t="shared" si="54"/>
        <v/>
      </c>
      <c r="Q48" s="163" t="str">
        <f t="shared" si="41"/>
        <v/>
      </c>
      <c r="R48" s="164">
        <f t="shared" si="42"/>
        <v>0</v>
      </c>
      <c r="S48" s="165">
        <f t="shared" si="43"/>
        <v>0</v>
      </c>
      <c r="T48" s="165">
        <f t="shared" si="44"/>
        <v>0</v>
      </c>
      <c r="U48" s="166">
        <f t="shared" si="45"/>
        <v>0</v>
      </c>
      <c r="V48" s="153" t="str">
        <f t="shared" si="46"/>
        <v/>
      </c>
      <c r="W48" s="153" t="str">
        <f t="shared" si="47"/>
        <v/>
      </c>
      <c r="X48" s="244"/>
      <c r="Y48" s="154">
        <f t="shared" si="48"/>
        <v>0</v>
      </c>
      <c r="Z48" s="154" t="str">
        <f t="shared" si="7"/>
        <v>1000</v>
      </c>
      <c r="AA48" s="153" t="str">
        <f t="shared" si="49"/>
        <v/>
      </c>
      <c r="AD48" s="155" t="str">
        <f t="shared" si="50"/>
        <v/>
      </c>
      <c r="AI48" s="155">
        <f t="array" ref="AI48">MATCH(MIN(IF($AK$501:$AK$525&gt;=IF(G48&gt;1499,E48+7,E48+5), $AK$501:$AK$525)), $AK$501:$AK$525, 0)</f>
        <v>5</v>
      </c>
      <c r="AK48" s="233"/>
      <c r="AL48" s="233"/>
      <c r="AM48" s="155" t="str">
        <f t="shared" si="51"/>
        <v/>
      </c>
      <c r="AN48" s="155" t="str">
        <f t="shared" si="52"/>
        <v/>
      </c>
      <c r="AX48" s="155" t="str">
        <f t="shared" si="53"/>
        <v/>
      </c>
    </row>
    <row r="49" spans="1:50" s="155" customFormat="1" ht="30" hidden="1" customHeight="1">
      <c r="A49" s="141" t="str">
        <f t="shared" si="39"/>
        <v/>
      </c>
      <c r="B49" s="141" t="str">
        <f t="shared" si="40"/>
        <v/>
      </c>
      <c r="C49" s="157" t="str">
        <f>IF(D49="","",
    IF(ISERR(SEARCH("_",D49)),
        IFERROR(_xlfn.AGGREGATE(14,6,$C$12:C48,1),0)+1,
        IFERROR(
            VALUE(TRIM(MID(SUBSTITUTE(D49,"_",REPT(" ",LEN(D49))), (LEN(D49)-LEN(SUBSTITUTE(D49,"_",""))-1)*LEN(D49)+1, LEN(D49))))
            &amp; "." &amp;
            VALUE(TRIM(RIGHT(SUBSTITUTE(D49,"_",REPT(" ",LEN(D49))),LEN(D49)))),
            "")))</f>
        <v/>
      </c>
      <c r="D49" s="158"/>
      <c r="E49" s="159"/>
      <c r="F49" s="163"/>
      <c r="G49" s="163"/>
      <c r="H49" s="163"/>
      <c r="I49" s="158"/>
      <c r="J49" s="257"/>
      <c r="K49" s="159"/>
      <c r="L49" s="160"/>
      <c r="M49" s="159"/>
      <c r="N49" s="159"/>
      <c r="O49" s="161"/>
      <c r="P49" s="162" t="str">
        <f t="shared" si="54"/>
        <v/>
      </c>
      <c r="Q49" s="163" t="str">
        <f t="shared" si="41"/>
        <v/>
      </c>
      <c r="R49" s="164">
        <f t="shared" si="42"/>
        <v>0</v>
      </c>
      <c r="S49" s="165">
        <f t="shared" si="43"/>
        <v>0</v>
      </c>
      <c r="T49" s="165">
        <f t="shared" si="44"/>
        <v>0</v>
      </c>
      <c r="U49" s="166">
        <f t="shared" si="45"/>
        <v>0</v>
      </c>
      <c r="V49" s="153" t="str">
        <f t="shared" si="46"/>
        <v/>
      </c>
      <c r="W49" s="153" t="str">
        <f t="shared" si="47"/>
        <v/>
      </c>
      <c r="X49" s="244"/>
      <c r="Y49" s="154">
        <f t="shared" si="48"/>
        <v>0</v>
      </c>
      <c r="Z49" s="154" t="str">
        <f t="shared" si="7"/>
        <v>1000</v>
      </c>
      <c r="AA49" s="153" t="str">
        <f t="shared" si="49"/>
        <v/>
      </c>
      <c r="AD49" s="155" t="str">
        <f t="shared" si="50"/>
        <v/>
      </c>
      <c r="AI49" s="155">
        <f t="array" ref="AI49">MATCH(MIN(IF($AK$501:$AK$525&gt;=IF(G49&gt;1499,E49+7,E49+5), $AK$501:$AK$525)), $AK$501:$AK$525, 0)</f>
        <v>5</v>
      </c>
      <c r="AK49" s="233"/>
      <c r="AL49" s="233"/>
      <c r="AM49" s="155" t="str">
        <f t="shared" si="51"/>
        <v/>
      </c>
      <c r="AN49" s="155" t="str">
        <f t="shared" si="52"/>
        <v/>
      </c>
      <c r="AX49" s="155" t="str">
        <f t="shared" si="53"/>
        <v/>
      </c>
    </row>
    <row r="50" spans="1:50" s="155" customFormat="1" ht="30" hidden="1" customHeight="1">
      <c r="A50" s="141" t="str">
        <f t="shared" si="39"/>
        <v/>
      </c>
      <c r="B50" s="141" t="str">
        <f t="shared" si="40"/>
        <v/>
      </c>
      <c r="C50" s="157" t="str">
        <f>IF(D50="","",
    IF(ISERR(SEARCH("_",D50)),
        IFERROR(_xlfn.AGGREGATE(14,6,$C$12:C49,1),0)+1,
        IFERROR(
            VALUE(TRIM(MID(SUBSTITUTE(D50,"_",REPT(" ",LEN(D50))), (LEN(D50)-LEN(SUBSTITUTE(D50,"_",""))-1)*LEN(D50)+1, LEN(D50))))
            &amp; "." &amp;
            VALUE(TRIM(RIGHT(SUBSTITUTE(D50,"_",REPT(" ",LEN(D50))),LEN(D50)))),
            "")))</f>
        <v/>
      </c>
      <c r="D50" s="158"/>
      <c r="E50" s="159"/>
      <c r="F50" s="163"/>
      <c r="G50" s="163"/>
      <c r="H50" s="163"/>
      <c r="I50" s="158"/>
      <c r="J50" s="257"/>
      <c r="K50" s="159"/>
      <c r="L50" s="160"/>
      <c r="M50" s="159"/>
      <c r="N50" s="159"/>
      <c r="O50" s="161"/>
      <c r="P50" s="162" t="str">
        <f t="shared" si="54"/>
        <v/>
      </c>
      <c r="Q50" s="163" t="str">
        <f t="shared" si="41"/>
        <v/>
      </c>
      <c r="R50" s="164">
        <f t="shared" si="42"/>
        <v>0</v>
      </c>
      <c r="S50" s="165">
        <f t="shared" si="43"/>
        <v>0</v>
      </c>
      <c r="T50" s="165">
        <f t="shared" si="44"/>
        <v>0</v>
      </c>
      <c r="U50" s="166">
        <f t="shared" si="45"/>
        <v>0</v>
      </c>
      <c r="V50" s="153" t="str">
        <f t="shared" si="46"/>
        <v/>
      </c>
      <c r="W50" s="153" t="str">
        <f t="shared" si="47"/>
        <v/>
      </c>
      <c r="X50" s="244"/>
      <c r="Y50" s="154">
        <f t="shared" si="48"/>
        <v>0</v>
      </c>
      <c r="Z50" s="154" t="str">
        <f t="shared" si="7"/>
        <v>1000</v>
      </c>
      <c r="AA50" s="153" t="str">
        <f t="shared" si="49"/>
        <v/>
      </c>
      <c r="AD50" s="155" t="str">
        <f t="shared" si="50"/>
        <v/>
      </c>
      <c r="AI50" s="155">
        <f t="array" ref="AI50">MATCH(MIN(IF($AK$501:$AK$525&gt;=IF(G50&gt;1499,E50+7,E50+5), $AK$501:$AK$525)), $AK$501:$AK$525, 0)</f>
        <v>5</v>
      </c>
      <c r="AK50" s="233"/>
      <c r="AL50" s="233"/>
      <c r="AM50" s="155" t="str">
        <f t="shared" si="51"/>
        <v/>
      </c>
      <c r="AN50" s="155" t="str">
        <f t="shared" si="52"/>
        <v/>
      </c>
      <c r="AX50" s="155" t="str">
        <f t="shared" si="53"/>
        <v/>
      </c>
    </row>
    <row r="51" spans="1:50" s="155" customFormat="1" ht="30" hidden="1" customHeight="1">
      <c r="A51" s="141" t="str">
        <f t="shared" si="39"/>
        <v/>
      </c>
      <c r="B51" s="141" t="str">
        <f t="shared" si="40"/>
        <v/>
      </c>
      <c r="C51" s="157" t="str">
        <f>IF(D51="","",
    IF(ISERR(SEARCH("_",D51)),
        IFERROR(_xlfn.AGGREGATE(14,6,$C$12:C50,1),0)+1,
        IFERROR(
            VALUE(TRIM(MID(SUBSTITUTE(D51,"_",REPT(" ",LEN(D51))), (LEN(D51)-LEN(SUBSTITUTE(D51,"_",""))-1)*LEN(D51)+1, LEN(D51))))
            &amp; "." &amp;
            VALUE(TRIM(RIGHT(SUBSTITUTE(D51,"_",REPT(" ",LEN(D51))),LEN(D51)))),
            "")))</f>
        <v/>
      </c>
      <c r="D51" s="158"/>
      <c r="E51" s="159"/>
      <c r="F51" s="163"/>
      <c r="G51" s="163"/>
      <c r="H51" s="163"/>
      <c r="I51" s="158"/>
      <c r="J51" s="257"/>
      <c r="K51" s="159"/>
      <c r="L51" s="160"/>
      <c r="M51" s="159"/>
      <c r="N51" s="159"/>
      <c r="O51" s="161"/>
      <c r="P51" s="162" t="str">
        <f t="shared" si="54"/>
        <v/>
      </c>
      <c r="Q51" s="163" t="str">
        <f t="shared" si="41"/>
        <v/>
      </c>
      <c r="R51" s="164">
        <f t="shared" si="42"/>
        <v>0</v>
      </c>
      <c r="S51" s="165">
        <f t="shared" si="43"/>
        <v>0</v>
      </c>
      <c r="T51" s="165">
        <f t="shared" si="44"/>
        <v>0</v>
      </c>
      <c r="U51" s="166">
        <f t="shared" si="45"/>
        <v>0</v>
      </c>
      <c r="V51" s="153" t="str">
        <f t="shared" si="46"/>
        <v/>
      </c>
      <c r="W51" s="153" t="str">
        <f t="shared" si="47"/>
        <v/>
      </c>
      <c r="X51" s="244"/>
      <c r="Y51" s="154">
        <f t="shared" si="48"/>
        <v>0</v>
      </c>
      <c r="Z51" s="154" t="str">
        <f t="shared" si="7"/>
        <v>1000</v>
      </c>
      <c r="AA51" s="153" t="str">
        <f t="shared" si="49"/>
        <v/>
      </c>
      <c r="AD51" s="155" t="str">
        <f t="shared" si="50"/>
        <v/>
      </c>
      <c r="AI51" s="155">
        <f t="array" ref="AI51">MATCH(MIN(IF($AK$501:$AK$525&gt;=IF(G51&gt;1499,E51+7,E51+5), $AK$501:$AK$525)), $AK$501:$AK$525, 0)</f>
        <v>5</v>
      </c>
      <c r="AK51" s="233"/>
      <c r="AL51" s="233"/>
      <c r="AM51" s="155" t="str">
        <f t="shared" si="51"/>
        <v/>
      </c>
      <c r="AN51" s="155" t="str">
        <f t="shared" si="52"/>
        <v/>
      </c>
      <c r="AX51" s="155" t="str">
        <f t="shared" si="53"/>
        <v/>
      </c>
    </row>
    <row r="52" spans="1:50" s="155" customFormat="1" ht="30" hidden="1" customHeight="1">
      <c r="A52" s="141" t="str">
        <f t="shared" si="39"/>
        <v/>
      </c>
      <c r="B52" s="141" t="str">
        <f t="shared" si="40"/>
        <v/>
      </c>
      <c r="C52" s="157" t="str">
        <f>IF(D52="","",
    IF(ISERR(SEARCH("_",D52)),
        IFERROR(_xlfn.AGGREGATE(14,6,$C$12:C51,1),0)+1,
        IFERROR(
            VALUE(TRIM(MID(SUBSTITUTE(D52,"_",REPT(" ",LEN(D52))), (LEN(D52)-LEN(SUBSTITUTE(D52,"_",""))-1)*LEN(D52)+1, LEN(D52))))
            &amp; "." &amp;
            VALUE(TRIM(RIGHT(SUBSTITUTE(D52,"_",REPT(" ",LEN(D52))),LEN(D52)))),
            "")))</f>
        <v/>
      </c>
      <c r="D52" s="158"/>
      <c r="E52" s="159"/>
      <c r="F52" s="163"/>
      <c r="G52" s="163"/>
      <c r="H52" s="163"/>
      <c r="I52" s="158"/>
      <c r="J52" s="257"/>
      <c r="K52" s="159"/>
      <c r="L52" s="160"/>
      <c r="M52" s="159"/>
      <c r="N52" s="159"/>
      <c r="O52" s="161"/>
      <c r="P52" s="162" t="str">
        <f t="shared" si="54"/>
        <v/>
      </c>
      <c r="Q52" s="163" t="str">
        <f t="shared" si="41"/>
        <v/>
      </c>
      <c r="R52" s="164">
        <f t="shared" si="42"/>
        <v>0</v>
      </c>
      <c r="S52" s="165">
        <f t="shared" si="43"/>
        <v>0</v>
      </c>
      <c r="T52" s="165">
        <f t="shared" si="44"/>
        <v>0</v>
      </c>
      <c r="U52" s="166">
        <f t="shared" si="45"/>
        <v>0</v>
      </c>
      <c r="V52" s="153" t="str">
        <f t="shared" si="46"/>
        <v/>
      </c>
      <c r="W52" s="153" t="str">
        <f t="shared" si="47"/>
        <v/>
      </c>
      <c r="X52" s="244"/>
      <c r="Y52" s="154">
        <f t="shared" si="48"/>
        <v>0</v>
      </c>
      <c r="Z52" s="154" t="str">
        <f t="shared" si="7"/>
        <v>1000</v>
      </c>
      <c r="AA52" s="153" t="str">
        <f t="shared" si="49"/>
        <v/>
      </c>
      <c r="AD52" s="155" t="str">
        <f t="shared" si="50"/>
        <v/>
      </c>
      <c r="AI52" s="155">
        <f t="array" ref="AI52">MATCH(MIN(IF($AK$501:$AK$525&gt;=IF(G52&gt;1499,E52+7,E52+5), $AK$501:$AK$525)), $AK$501:$AK$525, 0)</f>
        <v>5</v>
      </c>
      <c r="AK52" s="233"/>
      <c r="AL52" s="233"/>
      <c r="AM52" s="155" t="str">
        <f t="shared" si="51"/>
        <v/>
      </c>
      <c r="AN52" s="155" t="str">
        <f t="shared" si="52"/>
        <v/>
      </c>
      <c r="AX52" s="155" t="str">
        <f t="shared" si="53"/>
        <v/>
      </c>
    </row>
    <row r="53" spans="1:50" s="155" customFormat="1" ht="30" hidden="1" customHeight="1">
      <c r="A53" s="141" t="str">
        <f t="shared" si="39"/>
        <v/>
      </c>
      <c r="B53" s="141" t="str">
        <f t="shared" si="40"/>
        <v/>
      </c>
      <c r="C53" s="157" t="str">
        <f>IF(D53="","",
    IF(ISERR(SEARCH("_",D53)),
        IFERROR(_xlfn.AGGREGATE(14,6,$C$12:C52,1),0)+1,
        IFERROR(
            VALUE(TRIM(MID(SUBSTITUTE(D53,"_",REPT(" ",LEN(D53))), (LEN(D53)-LEN(SUBSTITUTE(D53,"_",""))-1)*LEN(D53)+1, LEN(D53))))
            &amp; "." &amp;
            VALUE(TRIM(RIGHT(SUBSTITUTE(D53,"_",REPT(" ",LEN(D53))),LEN(D53)))),
            "")))</f>
        <v/>
      </c>
      <c r="D53" s="158"/>
      <c r="E53" s="159"/>
      <c r="F53" s="163"/>
      <c r="G53" s="163"/>
      <c r="H53" s="163"/>
      <c r="I53" s="158"/>
      <c r="J53" s="257"/>
      <c r="K53" s="159"/>
      <c r="L53" s="160"/>
      <c r="M53" s="159"/>
      <c r="N53" s="159"/>
      <c r="O53" s="161"/>
      <c r="P53" s="162" t="str">
        <f t="shared" si="54"/>
        <v/>
      </c>
      <c r="Q53" s="163" t="str">
        <f t="shared" si="41"/>
        <v/>
      </c>
      <c r="R53" s="164">
        <f t="shared" si="42"/>
        <v>0</v>
      </c>
      <c r="S53" s="165">
        <f t="shared" si="43"/>
        <v>0</v>
      </c>
      <c r="T53" s="165">
        <f t="shared" si="44"/>
        <v>0</v>
      </c>
      <c r="U53" s="166">
        <f t="shared" si="45"/>
        <v>0</v>
      </c>
      <c r="V53" s="153" t="str">
        <f t="shared" si="46"/>
        <v/>
      </c>
      <c r="W53" s="153" t="str">
        <f t="shared" si="47"/>
        <v/>
      </c>
      <c r="X53" s="244"/>
      <c r="Y53" s="154">
        <f t="shared" si="48"/>
        <v>0</v>
      </c>
      <c r="Z53" s="154" t="str">
        <f t="shared" si="7"/>
        <v>1000</v>
      </c>
      <c r="AA53" s="153" t="str">
        <f t="shared" si="49"/>
        <v/>
      </c>
      <c r="AD53" s="155" t="str">
        <f t="shared" si="50"/>
        <v/>
      </c>
      <c r="AI53" s="155">
        <f t="array" ref="AI53">MATCH(MIN(IF($AK$501:$AK$525&gt;=IF(G53&gt;1499,E53+7,E53+5), $AK$501:$AK$525)), $AK$501:$AK$525, 0)</f>
        <v>5</v>
      </c>
      <c r="AK53" s="233"/>
      <c r="AL53" s="233"/>
      <c r="AM53" s="155" t="str">
        <f t="shared" si="51"/>
        <v/>
      </c>
      <c r="AN53" s="155" t="str">
        <f t="shared" si="52"/>
        <v/>
      </c>
      <c r="AX53" s="155" t="str">
        <f t="shared" si="53"/>
        <v/>
      </c>
    </row>
    <row r="54" spans="1:50" s="155" customFormat="1" ht="30" hidden="1" customHeight="1">
      <c r="A54" s="141" t="str">
        <f t="shared" si="39"/>
        <v/>
      </c>
      <c r="B54" s="141" t="str">
        <f t="shared" si="40"/>
        <v/>
      </c>
      <c r="C54" s="157" t="str">
        <f>IF(D54="","",
    IF(ISERR(SEARCH("_",D54)),
        IFERROR(_xlfn.AGGREGATE(14,6,$C$12:C53,1),0)+1,
        IFERROR(
            VALUE(TRIM(MID(SUBSTITUTE(D54,"_",REPT(" ",LEN(D54))), (LEN(D54)-LEN(SUBSTITUTE(D54,"_",""))-1)*LEN(D54)+1, LEN(D54))))
            &amp; "." &amp;
            VALUE(TRIM(RIGHT(SUBSTITUTE(D54,"_",REPT(" ",LEN(D54))),LEN(D54)))),
            "")))</f>
        <v/>
      </c>
      <c r="D54" s="158"/>
      <c r="E54" s="159"/>
      <c r="F54" s="163"/>
      <c r="G54" s="163"/>
      <c r="H54" s="163"/>
      <c r="I54" s="158"/>
      <c r="J54" s="257"/>
      <c r="K54" s="159"/>
      <c r="L54" s="160"/>
      <c r="M54" s="159"/>
      <c r="N54" s="159"/>
      <c r="O54" s="161"/>
      <c r="P54" s="162" t="str">
        <f t="shared" si="54"/>
        <v/>
      </c>
      <c r="Q54" s="163" t="str">
        <f t="shared" si="41"/>
        <v/>
      </c>
      <c r="R54" s="164">
        <f t="shared" si="42"/>
        <v>0</v>
      </c>
      <c r="S54" s="165">
        <f t="shared" si="43"/>
        <v>0</v>
      </c>
      <c r="T54" s="165">
        <f t="shared" si="44"/>
        <v>0</v>
      </c>
      <c r="U54" s="166">
        <f t="shared" si="45"/>
        <v>0</v>
      </c>
      <c r="V54" s="153" t="str">
        <f t="shared" si="46"/>
        <v/>
      </c>
      <c r="W54" s="153" t="str">
        <f t="shared" si="47"/>
        <v/>
      </c>
      <c r="X54" s="244"/>
      <c r="Y54" s="154">
        <f t="shared" si="48"/>
        <v>0</v>
      </c>
      <c r="Z54" s="154" t="str">
        <f t="shared" si="7"/>
        <v>1000</v>
      </c>
      <c r="AA54" s="153" t="str">
        <f t="shared" si="49"/>
        <v/>
      </c>
      <c r="AD54" s="155" t="str">
        <f t="shared" si="50"/>
        <v/>
      </c>
      <c r="AI54" s="155">
        <f t="array" ref="AI54">MATCH(MIN(IF($AK$501:$AK$525&gt;=IF(G54&gt;1499,E54+7,E54+5), $AK$501:$AK$525)), $AK$501:$AK$525, 0)</f>
        <v>5</v>
      </c>
      <c r="AK54" s="233"/>
      <c r="AL54" s="233"/>
      <c r="AM54" s="155" t="str">
        <f t="shared" si="51"/>
        <v/>
      </c>
      <c r="AN54" s="155" t="str">
        <f t="shared" si="52"/>
        <v/>
      </c>
      <c r="AX54" s="155" t="str">
        <f t="shared" si="53"/>
        <v/>
      </c>
    </row>
    <row r="55" spans="1:50" s="155" customFormat="1" ht="30" hidden="1" customHeight="1">
      <c r="A55" s="141" t="str">
        <f t="shared" si="39"/>
        <v/>
      </c>
      <c r="B55" s="141" t="str">
        <f t="shared" si="40"/>
        <v/>
      </c>
      <c r="C55" s="157" t="str">
        <f>IF(D55="","",
    IF(ISERR(SEARCH("_",D55)),
        IFERROR(_xlfn.AGGREGATE(14,6,$C$12:C54,1),0)+1,
        IFERROR(
            VALUE(TRIM(MID(SUBSTITUTE(D55,"_",REPT(" ",LEN(D55))), (LEN(D55)-LEN(SUBSTITUTE(D55,"_",""))-1)*LEN(D55)+1, LEN(D55))))
            &amp; "." &amp;
            VALUE(TRIM(RIGHT(SUBSTITUTE(D55,"_",REPT(" ",LEN(D55))),LEN(D55)))),
            "")))</f>
        <v/>
      </c>
      <c r="D55" s="158"/>
      <c r="E55" s="159"/>
      <c r="F55" s="163"/>
      <c r="G55" s="163"/>
      <c r="H55" s="163"/>
      <c r="I55" s="158"/>
      <c r="J55" s="257"/>
      <c r="K55" s="159"/>
      <c r="L55" s="160"/>
      <c r="M55" s="159"/>
      <c r="N55" s="159"/>
      <c r="O55" s="161"/>
      <c r="P55" s="162" t="str">
        <f t="shared" si="54"/>
        <v/>
      </c>
      <c r="Q55" s="163" t="str">
        <f t="shared" si="41"/>
        <v/>
      </c>
      <c r="R55" s="164">
        <f t="shared" si="42"/>
        <v>0</v>
      </c>
      <c r="S55" s="165">
        <f t="shared" si="43"/>
        <v>0</v>
      </c>
      <c r="T55" s="165">
        <f t="shared" si="44"/>
        <v>0</v>
      </c>
      <c r="U55" s="166">
        <f t="shared" si="45"/>
        <v>0</v>
      </c>
      <c r="V55" s="153" t="str">
        <f t="shared" si="46"/>
        <v/>
      </c>
      <c r="W55" s="153" t="str">
        <f t="shared" si="47"/>
        <v/>
      </c>
      <c r="X55" s="244"/>
      <c r="Y55" s="154">
        <f t="shared" si="48"/>
        <v>0</v>
      </c>
      <c r="Z55" s="154" t="str">
        <f t="shared" si="7"/>
        <v>1000</v>
      </c>
      <c r="AA55" s="153" t="str">
        <f t="shared" si="49"/>
        <v/>
      </c>
      <c r="AD55" s="155" t="str">
        <f t="shared" si="50"/>
        <v/>
      </c>
      <c r="AI55" s="155">
        <f t="array" ref="AI55">MATCH(MIN(IF($AK$501:$AK$525&gt;=IF(G55&gt;1499,E55+7,E55+5), $AK$501:$AK$525)), $AK$501:$AK$525, 0)</f>
        <v>5</v>
      </c>
      <c r="AK55" s="233"/>
      <c r="AL55" s="233"/>
      <c r="AM55" s="155" t="str">
        <f t="shared" si="51"/>
        <v/>
      </c>
      <c r="AN55" s="155" t="str">
        <f t="shared" si="52"/>
        <v/>
      </c>
      <c r="AX55" s="155" t="str">
        <f t="shared" si="53"/>
        <v/>
      </c>
    </row>
    <row r="56" spans="1:50" s="155" customFormat="1" ht="30" hidden="1" customHeight="1">
      <c r="A56" s="141" t="str">
        <f t="shared" si="39"/>
        <v/>
      </c>
      <c r="B56" s="141" t="str">
        <f t="shared" si="40"/>
        <v/>
      </c>
      <c r="C56" s="157" t="str">
        <f>IF(D56="","",
    IF(ISERR(SEARCH("_",D56)),
        IFERROR(_xlfn.AGGREGATE(14,6,$C$12:C55,1),0)+1,
        IFERROR(
            VALUE(TRIM(MID(SUBSTITUTE(D56,"_",REPT(" ",LEN(D56))), (LEN(D56)-LEN(SUBSTITUTE(D56,"_",""))-1)*LEN(D56)+1, LEN(D56))))
            &amp; "." &amp;
            VALUE(TRIM(RIGHT(SUBSTITUTE(D56,"_",REPT(" ",LEN(D56))),LEN(D56)))),
            "")))</f>
        <v/>
      </c>
      <c r="D56" s="158"/>
      <c r="E56" s="159"/>
      <c r="F56" s="163"/>
      <c r="G56" s="163"/>
      <c r="H56" s="163"/>
      <c r="I56" s="158"/>
      <c r="J56" s="257"/>
      <c r="K56" s="159"/>
      <c r="L56" s="160"/>
      <c r="M56" s="159"/>
      <c r="N56" s="159"/>
      <c r="O56" s="161"/>
      <c r="P56" s="162" t="str">
        <f t="shared" si="54"/>
        <v/>
      </c>
      <c r="Q56" s="163" t="str">
        <f t="shared" si="41"/>
        <v/>
      </c>
      <c r="R56" s="164">
        <f t="shared" si="42"/>
        <v>0</v>
      </c>
      <c r="S56" s="165">
        <f t="shared" si="43"/>
        <v>0</v>
      </c>
      <c r="T56" s="165">
        <f t="shared" si="44"/>
        <v>0</v>
      </c>
      <c r="U56" s="166">
        <f t="shared" si="45"/>
        <v>0</v>
      </c>
      <c r="V56" s="153" t="str">
        <f t="shared" si="46"/>
        <v/>
      </c>
      <c r="W56" s="153" t="str">
        <f t="shared" si="47"/>
        <v/>
      </c>
      <c r="X56" s="244"/>
      <c r="Y56" s="154">
        <f t="shared" si="48"/>
        <v>0</v>
      </c>
      <c r="Z56" s="154" t="str">
        <f t="shared" si="7"/>
        <v>1000</v>
      </c>
      <c r="AA56" s="153" t="str">
        <f t="shared" si="49"/>
        <v/>
      </c>
      <c r="AD56" s="155" t="str">
        <f t="shared" si="50"/>
        <v/>
      </c>
      <c r="AI56" s="155">
        <f t="array" ref="AI56">MATCH(MIN(IF($AK$501:$AK$525&gt;=IF(G56&gt;1499,E56+7,E56+5), $AK$501:$AK$525)), $AK$501:$AK$525, 0)</f>
        <v>5</v>
      </c>
      <c r="AK56" s="233"/>
      <c r="AL56" s="233"/>
      <c r="AM56" s="155" t="str">
        <f t="shared" si="51"/>
        <v/>
      </c>
      <c r="AN56" s="155" t="str">
        <f t="shared" si="52"/>
        <v/>
      </c>
      <c r="AX56" s="155" t="str">
        <f t="shared" si="53"/>
        <v/>
      </c>
    </row>
    <row r="57" spans="1:50" s="155" customFormat="1" ht="30" hidden="1" customHeight="1">
      <c r="A57" s="141" t="str">
        <f t="shared" si="39"/>
        <v/>
      </c>
      <c r="B57" s="141" t="str">
        <f t="shared" si="40"/>
        <v/>
      </c>
      <c r="C57" s="157" t="str">
        <f>IF(D57="","",
    IF(ISERR(SEARCH("_",D57)),
        IFERROR(_xlfn.AGGREGATE(14,6,$C$12:C56,1),0)+1,
        IFERROR(
            VALUE(TRIM(MID(SUBSTITUTE(D57,"_",REPT(" ",LEN(D57))), (LEN(D57)-LEN(SUBSTITUTE(D57,"_",""))-1)*LEN(D57)+1, LEN(D57))))
            &amp; "." &amp;
            VALUE(TRIM(RIGHT(SUBSTITUTE(D57,"_",REPT(" ",LEN(D57))),LEN(D57)))),
            "")))</f>
        <v/>
      </c>
      <c r="D57" s="158"/>
      <c r="E57" s="159"/>
      <c r="F57" s="163"/>
      <c r="G57" s="163"/>
      <c r="H57" s="163"/>
      <c r="I57" s="158"/>
      <c r="J57" s="257"/>
      <c r="K57" s="159"/>
      <c r="L57" s="160"/>
      <c r="M57" s="159"/>
      <c r="N57" s="159"/>
      <c r="O57" s="161"/>
      <c r="P57" s="162" t="str">
        <f t="shared" si="54"/>
        <v/>
      </c>
      <c r="Q57" s="163" t="str">
        <f t="shared" si="41"/>
        <v/>
      </c>
      <c r="R57" s="164">
        <f t="shared" si="42"/>
        <v>0</v>
      </c>
      <c r="S57" s="165">
        <f t="shared" si="43"/>
        <v>0</v>
      </c>
      <c r="T57" s="165">
        <f t="shared" si="44"/>
        <v>0</v>
      </c>
      <c r="U57" s="166">
        <f t="shared" si="45"/>
        <v>0</v>
      </c>
      <c r="V57" s="153" t="str">
        <f t="shared" si="46"/>
        <v/>
      </c>
      <c r="W57" s="153" t="str">
        <f t="shared" si="47"/>
        <v/>
      </c>
      <c r="X57" s="244"/>
      <c r="Y57" s="154">
        <f t="shared" si="48"/>
        <v>0</v>
      </c>
      <c r="Z57" s="154" t="str">
        <f t="shared" si="7"/>
        <v>1000</v>
      </c>
      <c r="AA57" s="153" t="str">
        <f t="shared" si="49"/>
        <v/>
      </c>
      <c r="AD57" s="155" t="str">
        <f t="shared" si="50"/>
        <v/>
      </c>
      <c r="AI57" s="155">
        <f t="array" ref="AI57">MATCH(MIN(IF($AK$501:$AK$525&gt;=IF(G57&gt;1499,E57+7,E57+5), $AK$501:$AK$525)), $AK$501:$AK$525, 0)</f>
        <v>5</v>
      </c>
      <c r="AK57" s="233"/>
      <c r="AL57" s="233"/>
      <c r="AM57" s="155" t="str">
        <f t="shared" si="51"/>
        <v/>
      </c>
      <c r="AN57" s="155" t="str">
        <f t="shared" si="52"/>
        <v/>
      </c>
      <c r="AX57" s="155" t="str">
        <f t="shared" si="53"/>
        <v/>
      </c>
    </row>
    <row r="58" spans="1:50" s="155" customFormat="1" ht="30" hidden="1" customHeight="1">
      <c r="A58" s="141" t="str">
        <f t="shared" si="39"/>
        <v/>
      </c>
      <c r="B58" s="141" t="str">
        <f t="shared" si="40"/>
        <v/>
      </c>
      <c r="C58" s="157" t="str">
        <f>IF(D58="","",
    IF(ISERR(SEARCH("_",D58)),
        IFERROR(_xlfn.AGGREGATE(14,6,$C$12:C57,1),0)+1,
        IFERROR(
            VALUE(TRIM(MID(SUBSTITUTE(D58,"_",REPT(" ",LEN(D58))), (LEN(D58)-LEN(SUBSTITUTE(D58,"_",""))-1)*LEN(D58)+1, LEN(D58))))
            &amp; "." &amp;
            VALUE(TRIM(RIGHT(SUBSTITUTE(D58,"_",REPT(" ",LEN(D58))),LEN(D58)))),
            "")))</f>
        <v/>
      </c>
      <c r="D58" s="158"/>
      <c r="E58" s="159"/>
      <c r="F58" s="163"/>
      <c r="G58" s="163"/>
      <c r="H58" s="163"/>
      <c r="I58" s="158"/>
      <c r="J58" s="257"/>
      <c r="K58" s="159"/>
      <c r="L58" s="160"/>
      <c r="M58" s="159"/>
      <c r="N58" s="159"/>
      <c r="O58" s="161"/>
      <c r="P58" s="162" t="str">
        <f t="shared" si="54"/>
        <v/>
      </c>
      <c r="Q58" s="163" t="str">
        <f t="shared" si="41"/>
        <v/>
      </c>
      <c r="R58" s="164">
        <f t="shared" si="42"/>
        <v>0</v>
      </c>
      <c r="S58" s="165">
        <f t="shared" si="43"/>
        <v>0</v>
      </c>
      <c r="T58" s="165">
        <f t="shared" si="44"/>
        <v>0</v>
      </c>
      <c r="U58" s="166">
        <f t="shared" si="45"/>
        <v>0</v>
      </c>
      <c r="V58" s="153" t="str">
        <f t="shared" si="46"/>
        <v/>
      </c>
      <c r="W58" s="153" t="str">
        <f t="shared" si="47"/>
        <v/>
      </c>
      <c r="X58" s="244"/>
      <c r="Y58" s="154">
        <f t="shared" si="48"/>
        <v>0</v>
      </c>
      <c r="Z58" s="154" t="str">
        <f t="shared" si="7"/>
        <v>1000</v>
      </c>
      <c r="AA58" s="153" t="str">
        <f t="shared" si="49"/>
        <v/>
      </c>
      <c r="AD58" s="155" t="str">
        <f t="shared" si="50"/>
        <v/>
      </c>
      <c r="AI58" s="155">
        <f t="array" ref="AI58">MATCH(MIN(IF($AK$501:$AK$525&gt;=IF(G58&gt;1499,E58+7,E58+5), $AK$501:$AK$525)), $AK$501:$AK$525, 0)</f>
        <v>5</v>
      </c>
      <c r="AK58" s="233"/>
      <c r="AL58" s="233"/>
      <c r="AM58" s="155" t="str">
        <f t="shared" si="51"/>
        <v/>
      </c>
      <c r="AN58" s="155" t="str">
        <f t="shared" si="52"/>
        <v/>
      </c>
      <c r="AX58" s="155" t="str">
        <f t="shared" si="53"/>
        <v/>
      </c>
    </row>
    <row r="59" spans="1:50" s="155" customFormat="1" ht="30" hidden="1" customHeight="1">
      <c r="A59" s="141" t="str">
        <f t="shared" si="39"/>
        <v/>
      </c>
      <c r="B59" s="141" t="str">
        <f t="shared" si="40"/>
        <v/>
      </c>
      <c r="C59" s="157" t="str">
        <f>IF(D59="","",
    IF(ISERR(SEARCH("_",D59)),
        IFERROR(_xlfn.AGGREGATE(14,6,$C$12:C58,1),0)+1,
        IFERROR(
            VALUE(TRIM(MID(SUBSTITUTE(D59,"_",REPT(" ",LEN(D59))), (LEN(D59)-LEN(SUBSTITUTE(D59,"_",""))-1)*LEN(D59)+1, LEN(D59))))
            &amp; "." &amp;
            VALUE(TRIM(RIGHT(SUBSTITUTE(D59,"_",REPT(" ",LEN(D59))),LEN(D59)))),
            "")))</f>
        <v/>
      </c>
      <c r="D59" s="158"/>
      <c r="E59" s="159"/>
      <c r="F59" s="163"/>
      <c r="G59" s="163"/>
      <c r="H59" s="163"/>
      <c r="I59" s="158"/>
      <c r="J59" s="257"/>
      <c r="K59" s="159"/>
      <c r="L59" s="160"/>
      <c r="M59" s="159"/>
      <c r="N59" s="159"/>
      <c r="O59" s="161"/>
      <c r="P59" s="162" t="str">
        <f t="shared" si="54"/>
        <v/>
      </c>
      <c r="Q59" s="163" t="str">
        <f t="shared" si="41"/>
        <v/>
      </c>
      <c r="R59" s="164">
        <f t="shared" si="42"/>
        <v>0</v>
      </c>
      <c r="S59" s="165">
        <f t="shared" si="43"/>
        <v>0</v>
      </c>
      <c r="T59" s="165">
        <f t="shared" si="44"/>
        <v>0</v>
      </c>
      <c r="U59" s="166">
        <f t="shared" si="45"/>
        <v>0</v>
      </c>
      <c r="V59" s="153" t="str">
        <f t="shared" si="46"/>
        <v/>
      </c>
      <c r="W59" s="153" t="str">
        <f t="shared" si="47"/>
        <v/>
      </c>
      <c r="X59" s="244"/>
      <c r="Y59" s="154">
        <f t="shared" si="48"/>
        <v>0</v>
      </c>
      <c r="Z59" s="154" t="str">
        <f t="shared" si="7"/>
        <v>1000</v>
      </c>
      <c r="AA59" s="153" t="str">
        <f t="shared" si="49"/>
        <v/>
      </c>
      <c r="AD59" s="155" t="str">
        <f t="shared" si="50"/>
        <v/>
      </c>
      <c r="AI59" s="155">
        <f t="array" ref="AI59">MATCH(MIN(IF($AK$501:$AK$525&gt;=IF(G59&gt;1499,E59+7,E59+5), $AK$501:$AK$525)), $AK$501:$AK$525, 0)</f>
        <v>5</v>
      </c>
      <c r="AK59" s="233"/>
      <c r="AL59" s="233"/>
      <c r="AM59" s="155" t="str">
        <f t="shared" si="51"/>
        <v/>
      </c>
      <c r="AN59" s="155" t="str">
        <f t="shared" si="52"/>
        <v/>
      </c>
      <c r="AX59" s="155" t="str">
        <f t="shared" si="53"/>
        <v/>
      </c>
    </row>
    <row r="60" spans="1:50" s="155" customFormat="1" ht="30" hidden="1" customHeight="1">
      <c r="A60" s="141" t="str">
        <f t="shared" si="39"/>
        <v/>
      </c>
      <c r="B60" s="141" t="str">
        <f t="shared" si="40"/>
        <v/>
      </c>
      <c r="C60" s="157" t="str">
        <f>IF(D60="","",
    IF(ISERR(SEARCH("_",D60)),
        IFERROR(_xlfn.AGGREGATE(14,6,$C$12:C59,1),0)+1,
        IFERROR(
            VALUE(TRIM(MID(SUBSTITUTE(D60,"_",REPT(" ",LEN(D60))), (LEN(D60)-LEN(SUBSTITUTE(D60,"_",""))-1)*LEN(D60)+1, LEN(D60))))
            &amp; "." &amp;
            VALUE(TRIM(RIGHT(SUBSTITUTE(D60,"_",REPT(" ",LEN(D60))),LEN(D60)))),
            "")))</f>
        <v/>
      </c>
      <c r="D60" s="158"/>
      <c r="E60" s="159"/>
      <c r="F60" s="163"/>
      <c r="G60" s="163"/>
      <c r="H60" s="163"/>
      <c r="I60" s="158"/>
      <c r="J60" s="257"/>
      <c r="K60" s="159"/>
      <c r="L60" s="160"/>
      <c r="M60" s="159"/>
      <c r="N60" s="159"/>
      <c r="O60" s="161"/>
      <c r="P60" s="162" t="str">
        <f t="shared" si="54"/>
        <v/>
      </c>
      <c r="Q60" s="163" t="str">
        <f t="shared" si="41"/>
        <v/>
      </c>
      <c r="R60" s="164">
        <f t="shared" si="42"/>
        <v>0</v>
      </c>
      <c r="S60" s="165">
        <f t="shared" si="43"/>
        <v>0</v>
      </c>
      <c r="T60" s="165">
        <f t="shared" si="44"/>
        <v>0</v>
      </c>
      <c r="U60" s="166">
        <f t="shared" si="45"/>
        <v>0</v>
      </c>
      <c r="V60" s="153" t="str">
        <f t="shared" si="46"/>
        <v/>
      </c>
      <c r="W60" s="153" t="str">
        <f t="shared" si="47"/>
        <v/>
      </c>
      <c r="X60" s="244"/>
      <c r="Y60" s="154">
        <f t="shared" si="48"/>
        <v>0</v>
      </c>
      <c r="Z60" s="154" t="str">
        <f t="shared" si="7"/>
        <v>1000</v>
      </c>
      <c r="AA60" s="153" t="str">
        <f t="shared" si="49"/>
        <v/>
      </c>
      <c r="AD60" s="155" t="str">
        <f t="shared" si="50"/>
        <v/>
      </c>
      <c r="AI60" s="155">
        <f t="array" ref="AI60">MATCH(MIN(IF($AK$501:$AK$525&gt;=IF(G60&gt;1499,E60+7,E60+5), $AK$501:$AK$525)), $AK$501:$AK$525, 0)</f>
        <v>5</v>
      </c>
      <c r="AK60" s="233"/>
      <c r="AL60" s="233"/>
      <c r="AM60" s="155" t="str">
        <f t="shared" si="51"/>
        <v/>
      </c>
      <c r="AN60" s="155" t="str">
        <f t="shared" si="52"/>
        <v/>
      </c>
      <c r="AX60" s="155" t="str">
        <f t="shared" si="53"/>
        <v/>
      </c>
    </row>
    <row r="61" spans="1:50" s="155" customFormat="1" ht="30" hidden="1" customHeight="1">
      <c r="A61" s="141" t="str">
        <f t="shared" si="39"/>
        <v/>
      </c>
      <c r="B61" s="141" t="str">
        <f t="shared" si="40"/>
        <v/>
      </c>
      <c r="C61" s="157" t="str">
        <f>IF(D61="","",
    IF(ISERR(SEARCH("_",D61)),
        IFERROR(_xlfn.AGGREGATE(14,6,$C$12:C60,1),0)+1,
        IFERROR(
            VALUE(TRIM(MID(SUBSTITUTE(D61,"_",REPT(" ",LEN(D61))), (LEN(D61)-LEN(SUBSTITUTE(D61,"_",""))-1)*LEN(D61)+1, LEN(D61))))
            &amp; "." &amp;
            VALUE(TRIM(RIGHT(SUBSTITUTE(D61,"_",REPT(" ",LEN(D61))),LEN(D61)))),
            "")))</f>
        <v/>
      </c>
      <c r="D61" s="158"/>
      <c r="E61" s="159"/>
      <c r="F61" s="163"/>
      <c r="G61" s="163"/>
      <c r="H61" s="163"/>
      <c r="I61" s="158"/>
      <c r="J61" s="257"/>
      <c r="K61" s="159"/>
      <c r="L61" s="160"/>
      <c r="M61" s="159"/>
      <c r="N61" s="159"/>
      <c r="O61" s="161"/>
      <c r="P61" s="162" t="str">
        <f t="shared" si="54"/>
        <v/>
      </c>
      <c r="Q61" s="163" t="str">
        <f t="shared" si="41"/>
        <v/>
      </c>
      <c r="R61" s="164">
        <f t="shared" si="42"/>
        <v>0</v>
      </c>
      <c r="S61" s="165">
        <f t="shared" si="43"/>
        <v>0</v>
      </c>
      <c r="T61" s="165">
        <f t="shared" si="44"/>
        <v>0</v>
      </c>
      <c r="U61" s="166">
        <f t="shared" si="45"/>
        <v>0</v>
      </c>
      <c r="V61" s="153" t="str">
        <f t="shared" si="46"/>
        <v/>
      </c>
      <c r="W61" s="153" t="str">
        <f t="shared" si="47"/>
        <v/>
      </c>
      <c r="X61" s="244"/>
      <c r="Y61" s="154">
        <f t="shared" si="48"/>
        <v>0</v>
      </c>
      <c r="Z61" s="154" t="str">
        <f t="shared" si="7"/>
        <v>1000</v>
      </c>
      <c r="AA61" s="153" t="str">
        <f t="shared" si="49"/>
        <v/>
      </c>
      <c r="AD61" s="155" t="str">
        <f t="shared" si="50"/>
        <v/>
      </c>
      <c r="AI61" s="155">
        <f t="array" ref="AI61">MATCH(MIN(IF($AK$501:$AK$525&gt;=IF(G61&gt;1499,E61+7,E61+5), $AK$501:$AK$525)), $AK$501:$AK$525, 0)</f>
        <v>5</v>
      </c>
      <c r="AK61" s="233"/>
      <c r="AL61" s="233"/>
      <c r="AM61" s="155" t="str">
        <f t="shared" si="51"/>
        <v/>
      </c>
      <c r="AN61" s="155" t="str">
        <f t="shared" si="52"/>
        <v/>
      </c>
      <c r="AX61" s="155" t="str">
        <f t="shared" si="53"/>
        <v/>
      </c>
    </row>
    <row r="62" spans="1:50" s="155" customFormat="1" ht="30" hidden="1" customHeight="1">
      <c r="A62" s="141" t="str">
        <f t="shared" si="39"/>
        <v/>
      </c>
      <c r="B62" s="141" t="str">
        <f t="shared" si="40"/>
        <v/>
      </c>
      <c r="C62" s="157" t="str">
        <f>IF(D62="","",
    IF(ISERR(SEARCH("_",D62)),
        IFERROR(_xlfn.AGGREGATE(14,6,$C$12:C61,1),0)+1,
        IFERROR(
            VALUE(TRIM(MID(SUBSTITUTE(D62,"_",REPT(" ",LEN(D62))), (LEN(D62)-LEN(SUBSTITUTE(D62,"_",""))-1)*LEN(D62)+1, LEN(D62))))
            &amp; "." &amp;
            VALUE(TRIM(RIGHT(SUBSTITUTE(D62,"_",REPT(" ",LEN(D62))),LEN(D62)))),
            "")))</f>
        <v/>
      </c>
      <c r="D62" s="158"/>
      <c r="E62" s="159"/>
      <c r="F62" s="163"/>
      <c r="G62" s="163"/>
      <c r="H62" s="163"/>
      <c r="I62" s="158"/>
      <c r="J62" s="257"/>
      <c r="K62" s="159"/>
      <c r="L62" s="160"/>
      <c r="M62" s="159"/>
      <c r="N62" s="159"/>
      <c r="O62" s="161"/>
      <c r="P62" s="162" t="str">
        <f t="shared" si="54"/>
        <v/>
      </c>
      <c r="Q62" s="163" t="str">
        <f t="shared" si="41"/>
        <v/>
      </c>
      <c r="R62" s="164">
        <f t="shared" si="42"/>
        <v>0</v>
      </c>
      <c r="S62" s="165">
        <f t="shared" si="43"/>
        <v>0</v>
      </c>
      <c r="T62" s="165">
        <f t="shared" si="44"/>
        <v>0</v>
      </c>
      <c r="U62" s="166">
        <f t="shared" si="45"/>
        <v>0</v>
      </c>
      <c r="V62" s="153" t="str">
        <f t="shared" si="46"/>
        <v/>
      </c>
      <c r="W62" s="153" t="str">
        <f t="shared" si="47"/>
        <v/>
      </c>
      <c r="X62" s="244"/>
      <c r="Y62" s="154">
        <f t="shared" si="48"/>
        <v>0</v>
      </c>
      <c r="Z62" s="154" t="str">
        <f t="shared" si="7"/>
        <v>1000</v>
      </c>
      <c r="AA62" s="153" t="str">
        <f t="shared" si="49"/>
        <v/>
      </c>
      <c r="AD62" s="155" t="str">
        <f t="shared" si="50"/>
        <v/>
      </c>
      <c r="AI62" s="155">
        <f t="array" ref="AI62">MATCH(MIN(IF($AK$501:$AK$525&gt;=IF(G62&gt;1499,E62+7,E62+5), $AK$501:$AK$525)), $AK$501:$AK$525, 0)</f>
        <v>5</v>
      </c>
      <c r="AK62" s="233"/>
      <c r="AL62" s="233"/>
      <c r="AM62" s="155" t="str">
        <f t="shared" si="51"/>
        <v/>
      </c>
      <c r="AN62" s="155" t="str">
        <f t="shared" si="52"/>
        <v/>
      </c>
      <c r="AX62" s="155" t="str">
        <f t="shared" si="53"/>
        <v/>
      </c>
    </row>
    <row r="63" spans="1:50" s="155" customFormat="1" ht="30" hidden="1" customHeight="1">
      <c r="A63" s="141" t="str">
        <f t="shared" si="39"/>
        <v/>
      </c>
      <c r="B63" s="141" t="str">
        <f t="shared" si="40"/>
        <v/>
      </c>
      <c r="C63" s="157" t="str">
        <f>IF(D63="","",
    IF(ISERR(SEARCH("_",D63)),
        IFERROR(_xlfn.AGGREGATE(14,6,$C$12:C62,1),0)+1,
        IFERROR(
            VALUE(TRIM(MID(SUBSTITUTE(D63,"_",REPT(" ",LEN(D63))), (LEN(D63)-LEN(SUBSTITUTE(D63,"_",""))-1)*LEN(D63)+1, LEN(D63))))
            &amp; "." &amp;
            VALUE(TRIM(RIGHT(SUBSTITUTE(D63,"_",REPT(" ",LEN(D63))),LEN(D63)))),
            "")))</f>
        <v/>
      </c>
      <c r="D63" s="158"/>
      <c r="E63" s="159"/>
      <c r="F63" s="163"/>
      <c r="G63" s="163"/>
      <c r="H63" s="163"/>
      <c r="I63" s="158"/>
      <c r="J63" s="257"/>
      <c r="K63" s="159"/>
      <c r="L63" s="160"/>
      <c r="M63" s="159"/>
      <c r="N63" s="159"/>
      <c r="O63" s="161"/>
      <c r="P63" s="162" t="str">
        <f t="shared" si="54"/>
        <v/>
      </c>
      <c r="Q63" s="163" t="str">
        <f t="shared" si="41"/>
        <v/>
      </c>
      <c r="R63" s="164">
        <f t="shared" si="42"/>
        <v>0</v>
      </c>
      <c r="S63" s="165">
        <f t="shared" si="43"/>
        <v>0</v>
      </c>
      <c r="T63" s="165">
        <f t="shared" si="44"/>
        <v>0</v>
      </c>
      <c r="U63" s="166">
        <f t="shared" si="45"/>
        <v>0</v>
      </c>
      <c r="V63" s="153" t="str">
        <f t="shared" si="46"/>
        <v/>
      </c>
      <c r="W63" s="153" t="str">
        <f t="shared" si="47"/>
        <v/>
      </c>
      <c r="X63" s="244"/>
      <c r="Y63" s="154">
        <f t="shared" si="48"/>
        <v>0</v>
      </c>
      <c r="Z63" s="154" t="str">
        <f t="shared" si="7"/>
        <v>1000</v>
      </c>
      <c r="AA63" s="153" t="str">
        <f t="shared" si="49"/>
        <v/>
      </c>
      <c r="AD63" s="155" t="str">
        <f t="shared" si="50"/>
        <v/>
      </c>
      <c r="AI63" s="155">
        <f t="array" ref="AI63">MATCH(MIN(IF($AK$501:$AK$525&gt;=IF(G63&gt;1499,E63+7,E63+5), $AK$501:$AK$525)), $AK$501:$AK$525, 0)</f>
        <v>5</v>
      </c>
      <c r="AK63" s="233"/>
      <c r="AL63" s="233"/>
      <c r="AM63" s="155" t="str">
        <f t="shared" si="51"/>
        <v/>
      </c>
      <c r="AN63" s="155" t="str">
        <f t="shared" si="52"/>
        <v/>
      </c>
      <c r="AX63" s="155" t="str">
        <f t="shared" si="53"/>
        <v/>
      </c>
    </row>
    <row r="64" spans="1:50" s="155" customFormat="1" ht="30" hidden="1" customHeight="1">
      <c r="A64" s="141" t="str">
        <f t="shared" si="39"/>
        <v/>
      </c>
      <c r="B64" s="141" t="str">
        <f t="shared" si="40"/>
        <v/>
      </c>
      <c r="C64" s="157" t="str">
        <f>IF(D64="","",
    IF(ISERR(SEARCH("_",D64)),
        IFERROR(_xlfn.AGGREGATE(14,6,$C$12:C63,1),0)+1,
        IFERROR(
            VALUE(TRIM(MID(SUBSTITUTE(D64,"_",REPT(" ",LEN(D64))), (LEN(D64)-LEN(SUBSTITUTE(D64,"_",""))-1)*LEN(D64)+1, LEN(D64))))
            &amp; "." &amp;
            VALUE(TRIM(RIGHT(SUBSTITUTE(D64,"_",REPT(" ",LEN(D64))),LEN(D64)))),
            "")))</f>
        <v/>
      </c>
      <c r="D64" s="158"/>
      <c r="E64" s="159"/>
      <c r="F64" s="163"/>
      <c r="G64" s="163"/>
      <c r="H64" s="163"/>
      <c r="I64" s="158"/>
      <c r="J64" s="257"/>
      <c r="K64" s="159"/>
      <c r="L64" s="160"/>
      <c r="M64" s="159"/>
      <c r="N64" s="159"/>
      <c r="O64" s="161"/>
      <c r="P64" s="162" t="str">
        <f t="shared" si="54"/>
        <v/>
      </c>
      <c r="Q64" s="163" t="str">
        <f t="shared" si="41"/>
        <v/>
      </c>
      <c r="R64" s="164">
        <f t="shared" si="42"/>
        <v>0</v>
      </c>
      <c r="S64" s="165">
        <f t="shared" si="43"/>
        <v>0</v>
      </c>
      <c r="T64" s="165">
        <f t="shared" si="44"/>
        <v>0</v>
      </c>
      <c r="U64" s="166">
        <f t="shared" si="45"/>
        <v>0</v>
      </c>
      <c r="V64" s="153" t="str">
        <f t="shared" si="46"/>
        <v/>
      </c>
      <c r="W64" s="153" t="str">
        <f t="shared" si="47"/>
        <v/>
      </c>
      <c r="X64" s="244"/>
      <c r="Y64" s="154">
        <f t="shared" si="48"/>
        <v>0</v>
      </c>
      <c r="Z64" s="154" t="str">
        <f t="shared" si="7"/>
        <v>1000</v>
      </c>
      <c r="AA64" s="153" t="str">
        <f t="shared" si="49"/>
        <v/>
      </c>
      <c r="AD64" s="155" t="str">
        <f t="shared" si="50"/>
        <v/>
      </c>
      <c r="AI64" s="155">
        <f t="array" ref="AI64">MATCH(MIN(IF($AK$501:$AK$525&gt;=IF(G64&gt;1499,E64+7,E64+5), $AK$501:$AK$525)), $AK$501:$AK$525, 0)</f>
        <v>5</v>
      </c>
      <c r="AK64" s="233"/>
      <c r="AL64" s="233"/>
      <c r="AM64" s="155" t="str">
        <f t="shared" si="51"/>
        <v/>
      </c>
      <c r="AN64" s="155" t="str">
        <f t="shared" si="52"/>
        <v/>
      </c>
      <c r="AX64" s="155" t="str">
        <f t="shared" si="53"/>
        <v/>
      </c>
    </row>
    <row r="65" spans="1:50" s="155" customFormat="1" ht="30" hidden="1" customHeight="1">
      <c r="A65" s="141" t="str">
        <f t="shared" si="39"/>
        <v/>
      </c>
      <c r="B65" s="141" t="str">
        <f t="shared" si="40"/>
        <v/>
      </c>
      <c r="C65" s="157" t="str">
        <f>IF(D65="","",
    IF(ISERR(SEARCH("_",D65)),
        IFERROR(_xlfn.AGGREGATE(14,6,$C$12:C64,1),0)+1,
        IFERROR(
            VALUE(TRIM(MID(SUBSTITUTE(D65,"_",REPT(" ",LEN(D65))), (LEN(D65)-LEN(SUBSTITUTE(D65,"_",""))-1)*LEN(D65)+1, LEN(D65))))
            &amp; "." &amp;
            VALUE(TRIM(RIGHT(SUBSTITUTE(D65,"_",REPT(" ",LEN(D65))),LEN(D65)))),
            "")))</f>
        <v/>
      </c>
      <c r="D65" s="158"/>
      <c r="E65" s="159"/>
      <c r="F65" s="163"/>
      <c r="G65" s="163"/>
      <c r="H65" s="163"/>
      <c r="I65" s="158"/>
      <c r="J65" s="257"/>
      <c r="K65" s="159"/>
      <c r="L65" s="160"/>
      <c r="M65" s="159"/>
      <c r="N65" s="159"/>
      <c r="O65" s="161"/>
      <c r="P65" s="162" t="str">
        <f t="shared" si="54"/>
        <v/>
      </c>
      <c r="Q65" s="163" t="str">
        <f t="shared" si="41"/>
        <v/>
      </c>
      <c r="R65" s="164">
        <f t="shared" si="42"/>
        <v>0</v>
      </c>
      <c r="S65" s="165">
        <f t="shared" si="43"/>
        <v>0</v>
      </c>
      <c r="T65" s="165">
        <f t="shared" si="44"/>
        <v>0</v>
      </c>
      <c r="U65" s="166">
        <f t="shared" si="45"/>
        <v>0</v>
      </c>
      <c r="V65" s="153" t="str">
        <f t="shared" si="46"/>
        <v/>
      </c>
      <c r="W65" s="153" t="str">
        <f t="shared" si="47"/>
        <v/>
      </c>
      <c r="X65" s="244"/>
      <c r="Y65" s="154">
        <f t="shared" si="48"/>
        <v>0</v>
      </c>
      <c r="Z65" s="154" t="str">
        <f t="shared" si="7"/>
        <v>1000</v>
      </c>
      <c r="AA65" s="153" t="str">
        <f t="shared" si="49"/>
        <v/>
      </c>
      <c r="AD65" s="155" t="str">
        <f t="shared" si="50"/>
        <v/>
      </c>
      <c r="AI65" s="155">
        <f t="array" ref="AI65">MATCH(MIN(IF($AK$501:$AK$525&gt;=IF(G65&gt;1499,E65+7,E65+5), $AK$501:$AK$525)), $AK$501:$AK$525, 0)</f>
        <v>5</v>
      </c>
      <c r="AK65" s="233"/>
      <c r="AL65" s="233"/>
      <c r="AM65" s="155" t="str">
        <f t="shared" si="51"/>
        <v/>
      </c>
      <c r="AN65" s="155" t="str">
        <f t="shared" si="52"/>
        <v/>
      </c>
      <c r="AX65" s="155" t="str">
        <f t="shared" si="53"/>
        <v/>
      </c>
    </row>
    <row r="66" spans="1:50" s="155" customFormat="1" ht="30" hidden="1" customHeight="1">
      <c r="A66" s="141" t="str">
        <f t="shared" si="39"/>
        <v/>
      </c>
      <c r="B66" s="141" t="str">
        <f t="shared" si="40"/>
        <v/>
      </c>
      <c r="C66" s="157" t="str">
        <f>IF(D66="","",
    IF(ISERR(SEARCH("_",D66)),
        IFERROR(_xlfn.AGGREGATE(14,6,$C$12:C65,1),0)+1,
        IFERROR(
            VALUE(TRIM(MID(SUBSTITUTE(D66,"_",REPT(" ",LEN(D66))), (LEN(D66)-LEN(SUBSTITUTE(D66,"_",""))-1)*LEN(D66)+1, LEN(D66))))
            &amp; "." &amp;
            VALUE(TRIM(RIGHT(SUBSTITUTE(D66,"_",REPT(" ",LEN(D66))),LEN(D66)))),
            "")))</f>
        <v/>
      </c>
      <c r="D66" s="158"/>
      <c r="E66" s="159"/>
      <c r="F66" s="163"/>
      <c r="G66" s="163"/>
      <c r="H66" s="163"/>
      <c r="I66" s="158"/>
      <c r="J66" s="257"/>
      <c r="K66" s="159"/>
      <c r="L66" s="160"/>
      <c r="M66" s="159"/>
      <c r="N66" s="159"/>
      <c r="O66" s="161"/>
      <c r="P66" s="162" t="str">
        <f t="shared" si="54"/>
        <v/>
      </c>
      <c r="Q66" s="163" t="str">
        <f t="shared" si="41"/>
        <v/>
      </c>
      <c r="R66" s="164">
        <f t="shared" si="42"/>
        <v>0</v>
      </c>
      <c r="S66" s="165">
        <f t="shared" si="43"/>
        <v>0</v>
      </c>
      <c r="T66" s="165">
        <f t="shared" si="44"/>
        <v>0</v>
      </c>
      <c r="U66" s="166">
        <f t="shared" si="45"/>
        <v>0</v>
      </c>
      <c r="V66" s="153" t="str">
        <f t="shared" si="46"/>
        <v/>
      </c>
      <c r="W66" s="153" t="str">
        <f t="shared" si="47"/>
        <v/>
      </c>
      <c r="X66" s="244"/>
      <c r="Y66" s="154">
        <f t="shared" si="48"/>
        <v>0</v>
      </c>
      <c r="Z66" s="154" t="str">
        <f t="shared" si="7"/>
        <v>1000</v>
      </c>
      <c r="AA66" s="153" t="str">
        <f t="shared" si="49"/>
        <v/>
      </c>
      <c r="AD66" s="155" t="str">
        <f t="shared" si="50"/>
        <v/>
      </c>
      <c r="AI66" s="155">
        <f t="array" ref="AI66">MATCH(MIN(IF($AK$501:$AK$525&gt;=IF(G66&gt;1499,E66+7,E66+5), $AK$501:$AK$525)), $AK$501:$AK$525, 0)</f>
        <v>5</v>
      </c>
      <c r="AK66" s="233"/>
      <c r="AL66" s="233"/>
      <c r="AM66" s="155" t="str">
        <f t="shared" si="51"/>
        <v/>
      </c>
      <c r="AN66" s="155" t="str">
        <f t="shared" si="52"/>
        <v/>
      </c>
      <c r="AX66" s="155" t="str">
        <f t="shared" si="53"/>
        <v/>
      </c>
    </row>
    <row r="67" spans="1:50" s="155" customFormat="1" ht="30" hidden="1" customHeight="1">
      <c r="A67" s="141" t="str">
        <f t="shared" si="39"/>
        <v/>
      </c>
      <c r="B67" s="141" t="str">
        <f t="shared" si="40"/>
        <v/>
      </c>
      <c r="C67" s="157" t="str">
        <f>IF(D67="","",
    IF(ISERR(SEARCH("_",D67)),
        IFERROR(_xlfn.AGGREGATE(14,6,$C$12:C66,1),0)+1,
        IFERROR(
            VALUE(TRIM(MID(SUBSTITUTE(D67,"_",REPT(" ",LEN(D67))), (LEN(D67)-LEN(SUBSTITUTE(D67,"_",""))-1)*LEN(D67)+1, LEN(D67))))
            &amp; "." &amp;
            VALUE(TRIM(RIGHT(SUBSTITUTE(D67,"_",REPT(" ",LEN(D67))),LEN(D67)))),
            "")))</f>
        <v/>
      </c>
      <c r="D67" s="158"/>
      <c r="E67" s="159"/>
      <c r="F67" s="163"/>
      <c r="G67" s="163"/>
      <c r="H67" s="163"/>
      <c r="I67" s="158"/>
      <c r="J67" s="257"/>
      <c r="K67" s="159"/>
      <c r="L67" s="160"/>
      <c r="M67" s="159"/>
      <c r="N67" s="159"/>
      <c r="O67" s="161"/>
      <c r="P67" s="162" t="str">
        <f t="shared" si="54"/>
        <v/>
      </c>
      <c r="Q67" s="163" t="str">
        <f t="shared" si="41"/>
        <v/>
      </c>
      <c r="R67" s="164">
        <f t="shared" si="42"/>
        <v>0</v>
      </c>
      <c r="S67" s="165">
        <f t="shared" si="43"/>
        <v>0</v>
      </c>
      <c r="T67" s="165">
        <f t="shared" si="44"/>
        <v>0</v>
      </c>
      <c r="U67" s="166">
        <f t="shared" si="45"/>
        <v>0</v>
      </c>
      <c r="V67" s="153" t="str">
        <f t="shared" si="46"/>
        <v/>
      </c>
      <c r="W67" s="153" t="str">
        <f t="shared" si="47"/>
        <v/>
      </c>
      <c r="X67" s="244"/>
      <c r="Y67" s="154">
        <f t="shared" si="48"/>
        <v>0</v>
      </c>
      <c r="Z67" s="154" t="str">
        <f t="shared" si="7"/>
        <v>1000</v>
      </c>
      <c r="AA67" s="153" t="str">
        <f t="shared" si="49"/>
        <v/>
      </c>
      <c r="AD67" s="155" t="str">
        <f t="shared" si="50"/>
        <v/>
      </c>
      <c r="AI67" s="155">
        <f t="array" ref="AI67">MATCH(MIN(IF($AK$501:$AK$525&gt;=IF(G67&gt;1499,E67+7,E67+5), $AK$501:$AK$525)), $AK$501:$AK$525, 0)</f>
        <v>5</v>
      </c>
      <c r="AK67" s="233"/>
      <c r="AL67" s="233"/>
      <c r="AM67" s="155" t="str">
        <f t="shared" si="51"/>
        <v/>
      </c>
      <c r="AN67" s="155" t="str">
        <f t="shared" si="52"/>
        <v/>
      </c>
      <c r="AX67" s="155" t="str">
        <f t="shared" si="53"/>
        <v/>
      </c>
    </row>
    <row r="68" spans="1:50" s="155" customFormat="1" ht="30" hidden="1" customHeight="1">
      <c r="A68" s="141" t="str">
        <f t="shared" si="39"/>
        <v/>
      </c>
      <c r="B68" s="141" t="str">
        <f t="shared" si="40"/>
        <v/>
      </c>
      <c r="C68" s="157" t="str">
        <f>IF(D68="","",
    IF(ISERR(SEARCH("_",D68)),
        IFERROR(_xlfn.AGGREGATE(14,6,$C$12:C67,1),0)+1,
        IFERROR(
            VALUE(TRIM(MID(SUBSTITUTE(D68,"_",REPT(" ",LEN(D68))), (LEN(D68)-LEN(SUBSTITUTE(D68,"_",""))-1)*LEN(D68)+1, LEN(D68))))
            &amp; "." &amp;
            VALUE(TRIM(RIGHT(SUBSTITUTE(D68,"_",REPT(" ",LEN(D68))),LEN(D68)))),
            "")))</f>
        <v/>
      </c>
      <c r="D68" s="158"/>
      <c r="E68" s="159"/>
      <c r="F68" s="163"/>
      <c r="G68" s="163"/>
      <c r="H68" s="163"/>
      <c r="I68" s="158"/>
      <c r="J68" s="257"/>
      <c r="K68" s="159"/>
      <c r="L68" s="160"/>
      <c r="M68" s="159"/>
      <c r="N68" s="159"/>
      <c r="O68" s="161"/>
      <c r="P68" s="162" t="str">
        <f t="shared" si="54"/>
        <v/>
      </c>
      <c r="Q68" s="163" t="str">
        <f t="shared" si="41"/>
        <v/>
      </c>
      <c r="R68" s="164">
        <f t="shared" si="42"/>
        <v>0</v>
      </c>
      <c r="S68" s="165">
        <f t="shared" si="43"/>
        <v>0</v>
      </c>
      <c r="T68" s="165">
        <f t="shared" si="44"/>
        <v>0</v>
      </c>
      <c r="U68" s="166">
        <f t="shared" si="45"/>
        <v>0</v>
      </c>
      <c r="V68" s="153" t="str">
        <f t="shared" si="46"/>
        <v/>
      </c>
      <c r="W68" s="153" t="str">
        <f t="shared" si="47"/>
        <v/>
      </c>
      <c r="X68" s="244"/>
      <c r="Y68" s="154">
        <f t="shared" si="48"/>
        <v>0</v>
      </c>
      <c r="Z68" s="154" t="str">
        <f t="shared" si="7"/>
        <v>1000</v>
      </c>
      <c r="AA68" s="153" t="str">
        <f t="shared" si="49"/>
        <v/>
      </c>
      <c r="AD68" s="155" t="str">
        <f t="shared" si="50"/>
        <v/>
      </c>
      <c r="AI68" s="155">
        <f t="array" ref="AI68">MATCH(MIN(IF($AK$501:$AK$525&gt;=IF(G68&gt;1499,E68+7,E68+5), $AK$501:$AK$525)), $AK$501:$AK$525, 0)</f>
        <v>5</v>
      </c>
      <c r="AK68" s="233"/>
      <c r="AL68" s="233"/>
      <c r="AM68" s="155" t="str">
        <f t="shared" si="51"/>
        <v/>
      </c>
      <c r="AN68" s="155" t="str">
        <f t="shared" si="52"/>
        <v/>
      </c>
      <c r="AX68" s="155" t="str">
        <f t="shared" si="53"/>
        <v/>
      </c>
    </row>
    <row r="69" spans="1:50" s="155" customFormat="1" ht="30" hidden="1" customHeight="1">
      <c r="A69" s="141" t="str">
        <f t="shared" si="39"/>
        <v/>
      </c>
      <c r="B69" s="141" t="str">
        <f t="shared" si="40"/>
        <v/>
      </c>
      <c r="C69" s="157" t="str">
        <f>IF(D69="","",
    IF(ISERR(SEARCH("_",D69)),
        IFERROR(_xlfn.AGGREGATE(14,6,$C$12:C68,1),0)+1,
        IFERROR(
            VALUE(TRIM(MID(SUBSTITUTE(D69,"_",REPT(" ",LEN(D69))), (LEN(D69)-LEN(SUBSTITUTE(D69,"_",""))-1)*LEN(D69)+1, LEN(D69))))
            &amp; "." &amp;
            VALUE(TRIM(RIGHT(SUBSTITUTE(D69,"_",REPT(" ",LEN(D69))),LEN(D69)))),
            "")))</f>
        <v/>
      </c>
      <c r="D69" s="158"/>
      <c r="E69" s="159"/>
      <c r="F69" s="163"/>
      <c r="G69" s="163"/>
      <c r="H69" s="163"/>
      <c r="I69" s="158"/>
      <c r="J69" s="257"/>
      <c r="K69" s="159"/>
      <c r="L69" s="160"/>
      <c r="M69" s="159"/>
      <c r="N69" s="159"/>
      <c r="O69" s="161"/>
      <c r="P69" s="162" t="str">
        <f t="shared" si="54"/>
        <v/>
      </c>
      <c r="Q69" s="163" t="str">
        <f t="shared" si="41"/>
        <v/>
      </c>
      <c r="R69" s="164">
        <f t="shared" si="42"/>
        <v>0</v>
      </c>
      <c r="S69" s="165">
        <f t="shared" si="43"/>
        <v>0</v>
      </c>
      <c r="T69" s="165">
        <f t="shared" si="44"/>
        <v>0</v>
      </c>
      <c r="U69" s="166">
        <f t="shared" si="45"/>
        <v>0</v>
      </c>
      <c r="V69" s="153" t="str">
        <f t="shared" si="46"/>
        <v/>
      </c>
      <c r="W69" s="153" t="str">
        <f t="shared" si="47"/>
        <v/>
      </c>
      <c r="X69" s="244"/>
      <c r="Y69" s="154">
        <f t="shared" si="48"/>
        <v>0</v>
      </c>
      <c r="Z69" s="154" t="str">
        <f t="shared" si="7"/>
        <v>1000</v>
      </c>
      <c r="AA69" s="153" t="str">
        <f t="shared" si="49"/>
        <v/>
      </c>
      <c r="AD69" s="155" t="str">
        <f t="shared" si="50"/>
        <v/>
      </c>
      <c r="AI69" s="155">
        <f t="array" ref="AI69">MATCH(MIN(IF($AK$501:$AK$525&gt;=IF(G69&gt;1499,E69+7,E69+5), $AK$501:$AK$525)), $AK$501:$AK$525, 0)</f>
        <v>5</v>
      </c>
      <c r="AK69" s="233"/>
      <c r="AL69" s="233"/>
      <c r="AM69" s="155" t="str">
        <f t="shared" si="51"/>
        <v/>
      </c>
      <c r="AN69" s="155" t="str">
        <f t="shared" si="52"/>
        <v/>
      </c>
      <c r="AX69" s="155" t="str">
        <f t="shared" si="53"/>
        <v/>
      </c>
    </row>
    <row r="70" spans="1:50" s="155" customFormat="1" ht="30" hidden="1" customHeight="1">
      <c r="A70" s="141" t="str">
        <f t="shared" si="39"/>
        <v/>
      </c>
      <c r="B70" s="141" t="str">
        <f t="shared" si="40"/>
        <v/>
      </c>
      <c r="C70" s="157" t="str">
        <f>IF(D70="","",
    IF(ISERR(SEARCH("_",D70)),
        IFERROR(_xlfn.AGGREGATE(14,6,$C$12:C69,1),0)+1,
        IFERROR(
            VALUE(TRIM(MID(SUBSTITUTE(D70,"_",REPT(" ",LEN(D70))), (LEN(D70)-LEN(SUBSTITUTE(D70,"_",""))-1)*LEN(D70)+1, LEN(D70))))
            &amp; "." &amp;
            VALUE(TRIM(RIGHT(SUBSTITUTE(D70,"_",REPT(" ",LEN(D70))),LEN(D70)))),
            "")))</f>
        <v/>
      </c>
      <c r="D70" s="158"/>
      <c r="E70" s="159"/>
      <c r="F70" s="163"/>
      <c r="G70" s="163"/>
      <c r="H70" s="163"/>
      <c r="I70" s="158"/>
      <c r="J70" s="257"/>
      <c r="K70" s="159"/>
      <c r="L70" s="160"/>
      <c r="M70" s="159"/>
      <c r="N70" s="159"/>
      <c r="O70" s="161"/>
      <c r="P70" s="162" t="str">
        <f t="shared" si="54"/>
        <v/>
      </c>
      <c r="Q70" s="163" t="str">
        <f t="shared" si="41"/>
        <v/>
      </c>
      <c r="R70" s="164">
        <f t="shared" si="42"/>
        <v>0</v>
      </c>
      <c r="S70" s="165">
        <f t="shared" si="43"/>
        <v>0</v>
      </c>
      <c r="T70" s="165">
        <f t="shared" si="44"/>
        <v>0</v>
      </c>
      <c r="U70" s="166">
        <f t="shared" si="45"/>
        <v>0</v>
      </c>
      <c r="V70" s="153" t="str">
        <f t="shared" si="46"/>
        <v/>
      </c>
      <c r="W70" s="153" t="str">
        <f t="shared" si="47"/>
        <v/>
      </c>
      <c r="X70" s="244"/>
      <c r="Y70" s="154">
        <f t="shared" si="48"/>
        <v>0</v>
      </c>
      <c r="Z70" s="154" t="str">
        <f t="shared" si="7"/>
        <v>1000</v>
      </c>
      <c r="AA70" s="153" t="str">
        <f t="shared" si="49"/>
        <v/>
      </c>
      <c r="AD70" s="155" t="str">
        <f t="shared" si="50"/>
        <v/>
      </c>
      <c r="AI70" s="155">
        <f t="array" ref="AI70">MATCH(MIN(IF($AK$501:$AK$525&gt;=IF(G70&gt;1499,E70+7,E70+5), $AK$501:$AK$525)), $AK$501:$AK$525, 0)</f>
        <v>5</v>
      </c>
      <c r="AK70" s="233"/>
      <c r="AL70" s="233"/>
      <c r="AM70" s="155" t="str">
        <f t="shared" si="51"/>
        <v/>
      </c>
      <c r="AN70" s="155" t="str">
        <f t="shared" si="52"/>
        <v/>
      </c>
      <c r="AX70" s="155" t="str">
        <f t="shared" si="53"/>
        <v/>
      </c>
    </row>
    <row r="71" spans="1:50" s="155" customFormat="1" ht="30" hidden="1" customHeight="1">
      <c r="A71" s="141" t="str">
        <f t="shared" si="39"/>
        <v/>
      </c>
      <c r="B71" s="141" t="str">
        <f t="shared" si="40"/>
        <v/>
      </c>
      <c r="C71" s="157" t="str">
        <f>IF(D71="","",
    IF(ISERR(SEARCH("_",D71)),
        IFERROR(_xlfn.AGGREGATE(14,6,$C$12:C70,1),0)+1,
        IFERROR(
            VALUE(TRIM(MID(SUBSTITUTE(D71,"_",REPT(" ",LEN(D71))), (LEN(D71)-LEN(SUBSTITUTE(D71,"_",""))-1)*LEN(D71)+1, LEN(D71))))
            &amp; "." &amp;
            VALUE(TRIM(RIGHT(SUBSTITUTE(D71,"_",REPT(" ",LEN(D71))),LEN(D71)))),
            "")))</f>
        <v/>
      </c>
      <c r="D71" s="158"/>
      <c r="E71" s="159"/>
      <c r="F71" s="163"/>
      <c r="G71" s="163"/>
      <c r="H71" s="163"/>
      <c r="I71" s="158"/>
      <c r="J71" s="257"/>
      <c r="K71" s="159"/>
      <c r="L71" s="160"/>
      <c r="M71" s="159"/>
      <c r="N71" s="159"/>
      <c r="O71" s="161"/>
      <c r="P71" s="162" t="str">
        <f t="shared" si="54"/>
        <v/>
      </c>
      <c r="Q71" s="163" t="str">
        <f t="shared" si="41"/>
        <v/>
      </c>
      <c r="R71" s="164">
        <f t="shared" si="42"/>
        <v>0</v>
      </c>
      <c r="S71" s="165">
        <f t="shared" si="43"/>
        <v>0</v>
      </c>
      <c r="T71" s="165">
        <f t="shared" si="44"/>
        <v>0</v>
      </c>
      <c r="U71" s="166">
        <f t="shared" si="45"/>
        <v>0</v>
      </c>
      <c r="V71" s="153" t="str">
        <f t="shared" si="46"/>
        <v/>
      </c>
      <c r="W71" s="153" t="str">
        <f t="shared" si="47"/>
        <v/>
      </c>
      <c r="X71" s="244"/>
      <c r="Y71" s="154">
        <f t="shared" si="48"/>
        <v>0</v>
      </c>
      <c r="Z71" s="154" t="str">
        <f t="shared" si="7"/>
        <v>1000</v>
      </c>
      <c r="AA71" s="153" t="str">
        <f t="shared" si="49"/>
        <v/>
      </c>
      <c r="AD71" s="155" t="str">
        <f t="shared" si="50"/>
        <v/>
      </c>
      <c r="AI71" s="155">
        <f t="array" ref="AI71">MATCH(MIN(IF($AK$501:$AK$525&gt;=IF(G71&gt;1499,E71+7,E71+5), $AK$501:$AK$525)), $AK$501:$AK$525, 0)</f>
        <v>5</v>
      </c>
      <c r="AK71" s="233"/>
      <c r="AL71" s="233"/>
      <c r="AM71" s="155" t="str">
        <f t="shared" si="51"/>
        <v/>
      </c>
      <c r="AN71" s="155" t="str">
        <f t="shared" si="52"/>
        <v/>
      </c>
      <c r="AX71" s="155" t="str">
        <f t="shared" si="53"/>
        <v/>
      </c>
    </row>
    <row r="72" spans="1:50" s="155" customFormat="1" ht="30" hidden="1" customHeight="1">
      <c r="A72" s="141" t="str">
        <f t="shared" si="39"/>
        <v/>
      </c>
      <c r="B72" s="141" t="str">
        <f t="shared" si="40"/>
        <v/>
      </c>
      <c r="C72" s="157" t="str">
        <f>IF(D72="","",
    IF(ISERR(SEARCH("_",D72)),
        IFERROR(_xlfn.AGGREGATE(14,6,$C$12:C71,1),0)+1,
        IFERROR(
            VALUE(TRIM(MID(SUBSTITUTE(D72,"_",REPT(" ",LEN(D72))), (LEN(D72)-LEN(SUBSTITUTE(D72,"_",""))-1)*LEN(D72)+1, LEN(D72))))
            &amp; "." &amp;
            VALUE(TRIM(RIGHT(SUBSTITUTE(D72,"_",REPT(" ",LEN(D72))),LEN(D72)))),
            "")))</f>
        <v/>
      </c>
      <c r="D72" s="158"/>
      <c r="E72" s="159"/>
      <c r="F72" s="163"/>
      <c r="G72" s="163"/>
      <c r="H72" s="163"/>
      <c r="I72" s="158"/>
      <c r="J72" s="257"/>
      <c r="K72" s="159"/>
      <c r="L72" s="160"/>
      <c r="M72" s="159"/>
      <c r="N72" s="159"/>
      <c r="O72" s="161"/>
      <c r="P72" s="162" t="str">
        <f t="shared" si="54"/>
        <v/>
      </c>
      <c r="Q72" s="163" t="str">
        <f t="shared" si="41"/>
        <v/>
      </c>
      <c r="R72" s="164">
        <f t="shared" si="42"/>
        <v>0</v>
      </c>
      <c r="S72" s="165">
        <f t="shared" si="43"/>
        <v>0</v>
      </c>
      <c r="T72" s="165">
        <f t="shared" si="44"/>
        <v>0</v>
      </c>
      <c r="U72" s="166">
        <f t="shared" si="45"/>
        <v>0</v>
      </c>
      <c r="V72" s="153" t="str">
        <f t="shared" si="46"/>
        <v/>
      </c>
      <c r="W72" s="153" t="str">
        <f t="shared" si="47"/>
        <v/>
      </c>
      <c r="X72" s="244"/>
      <c r="Y72" s="154">
        <f t="shared" si="48"/>
        <v>0</v>
      </c>
      <c r="Z72" s="154" t="str">
        <f t="shared" si="7"/>
        <v>1000</v>
      </c>
      <c r="AA72" s="153" t="str">
        <f t="shared" si="49"/>
        <v/>
      </c>
      <c r="AD72" s="155" t="str">
        <f t="shared" si="50"/>
        <v/>
      </c>
      <c r="AI72" s="155">
        <f t="array" ref="AI72">MATCH(MIN(IF($AK$501:$AK$525&gt;=IF(G72&gt;1499,E72+7,E72+5), $AK$501:$AK$525)), $AK$501:$AK$525, 0)</f>
        <v>5</v>
      </c>
      <c r="AK72" s="233"/>
      <c r="AL72" s="233"/>
      <c r="AM72" s="155" t="str">
        <f t="shared" si="51"/>
        <v/>
      </c>
      <c r="AN72" s="155" t="str">
        <f t="shared" si="52"/>
        <v/>
      </c>
      <c r="AX72" s="155" t="str">
        <f t="shared" si="53"/>
        <v/>
      </c>
    </row>
    <row r="73" spans="1:50" s="155" customFormat="1" ht="30" hidden="1" customHeight="1">
      <c r="A73" s="141" t="str">
        <f t="shared" si="39"/>
        <v/>
      </c>
      <c r="B73" s="141" t="str">
        <f t="shared" si="40"/>
        <v/>
      </c>
      <c r="C73" s="157" t="str">
        <f>IF(D73="","",
    IF(ISERR(SEARCH("_",D73)),
        IFERROR(_xlfn.AGGREGATE(14,6,$C$12:C72,1),0)+1,
        IFERROR(
            VALUE(TRIM(MID(SUBSTITUTE(D73,"_",REPT(" ",LEN(D73))), (LEN(D73)-LEN(SUBSTITUTE(D73,"_",""))-1)*LEN(D73)+1, LEN(D73))))
            &amp; "." &amp;
            VALUE(TRIM(RIGHT(SUBSTITUTE(D73,"_",REPT(" ",LEN(D73))),LEN(D73)))),
            "")))</f>
        <v/>
      </c>
      <c r="D73" s="158"/>
      <c r="E73" s="159"/>
      <c r="F73" s="163"/>
      <c r="G73" s="163"/>
      <c r="H73" s="163"/>
      <c r="I73" s="158"/>
      <c r="J73" s="257"/>
      <c r="K73" s="159"/>
      <c r="L73" s="160"/>
      <c r="M73" s="159"/>
      <c r="N73" s="159"/>
      <c r="O73" s="161"/>
      <c r="P73" s="162" t="str">
        <f t="shared" si="54"/>
        <v/>
      </c>
      <c r="Q73" s="163" t="str">
        <f t="shared" si="41"/>
        <v/>
      </c>
      <c r="R73" s="164">
        <f t="shared" si="42"/>
        <v>0</v>
      </c>
      <c r="S73" s="165">
        <f t="shared" si="43"/>
        <v>0</v>
      </c>
      <c r="T73" s="165">
        <f t="shared" si="44"/>
        <v>0</v>
      </c>
      <c r="U73" s="166">
        <f t="shared" si="45"/>
        <v>0</v>
      </c>
      <c r="V73" s="153" t="str">
        <f t="shared" si="46"/>
        <v/>
      </c>
      <c r="W73" s="153" t="str">
        <f t="shared" si="47"/>
        <v/>
      </c>
      <c r="X73" s="244"/>
      <c r="Y73" s="154">
        <f t="shared" si="48"/>
        <v>0</v>
      </c>
      <c r="Z73" s="154" t="str">
        <f t="shared" si="7"/>
        <v>1000</v>
      </c>
      <c r="AA73" s="153" t="str">
        <f t="shared" si="49"/>
        <v/>
      </c>
      <c r="AD73" s="155" t="str">
        <f t="shared" si="50"/>
        <v/>
      </c>
      <c r="AI73" s="155">
        <f t="array" ref="AI73">MATCH(MIN(IF($AK$501:$AK$525&gt;=IF(G73&gt;1499,E73+7,E73+5), $AK$501:$AK$525)), $AK$501:$AK$525, 0)</f>
        <v>5</v>
      </c>
      <c r="AK73" s="233"/>
      <c r="AL73" s="233"/>
      <c r="AM73" s="155" t="str">
        <f t="shared" si="51"/>
        <v/>
      </c>
      <c r="AN73" s="155" t="str">
        <f t="shared" si="52"/>
        <v/>
      </c>
      <c r="AX73" s="155" t="str">
        <f t="shared" si="53"/>
        <v/>
      </c>
    </row>
    <row r="74" spans="1:50" s="155" customFormat="1" ht="30" hidden="1" customHeight="1">
      <c r="A74" s="141" t="str">
        <f t="shared" si="39"/>
        <v/>
      </c>
      <c r="B74" s="141" t="str">
        <f t="shared" si="40"/>
        <v/>
      </c>
      <c r="C74" s="157" t="str">
        <f>IF(D74="","",
    IF(ISERR(SEARCH("_",D74)),
        IFERROR(_xlfn.AGGREGATE(14,6,$C$12:C73,1),0)+1,
        IFERROR(
            VALUE(TRIM(MID(SUBSTITUTE(D74,"_",REPT(" ",LEN(D74))), (LEN(D74)-LEN(SUBSTITUTE(D74,"_",""))-1)*LEN(D74)+1, LEN(D74))))
            &amp; "." &amp;
            VALUE(TRIM(RIGHT(SUBSTITUTE(D74,"_",REPT(" ",LEN(D74))),LEN(D74)))),
            "")))</f>
        <v/>
      </c>
      <c r="D74" s="158"/>
      <c r="E74" s="159"/>
      <c r="F74" s="163"/>
      <c r="G74" s="163"/>
      <c r="H74" s="163"/>
      <c r="I74" s="158"/>
      <c r="J74" s="257"/>
      <c r="K74" s="159"/>
      <c r="L74" s="160"/>
      <c r="M74" s="159"/>
      <c r="N74" s="159"/>
      <c r="O74" s="161"/>
      <c r="P74" s="162" t="str">
        <f t="shared" si="54"/>
        <v/>
      </c>
      <c r="Q74" s="163" t="str">
        <f t="shared" si="41"/>
        <v/>
      </c>
      <c r="R74" s="164">
        <f t="shared" si="42"/>
        <v>0</v>
      </c>
      <c r="S74" s="165">
        <f t="shared" si="43"/>
        <v>0</v>
      </c>
      <c r="T74" s="165">
        <f t="shared" si="44"/>
        <v>0</v>
      </c>
      <c r="U74" s="166">
        <f t="shared" si="45"/>
        <v>0</v>
      </c>
      <c r="V74" s="153" t="str">
        <f t="shared" si="46"/>
        <v/>
      </c>
      <c r="W74" s="153" t="str">
        <f t="shared" si="47"/>
        <v/>
      </c>
      <c r="X74" s="244"/>
      <c r="Y74" s="154">
        <f t="shared" si="48"/>
        <v>0</v>
      </c>
      <c r="Z74" s="154" t="str">
        <f t="shared" si="7"/>
        <v>1000</v>
      </c>
      <c r="AA74" s="153" t="str">
        <f t="shared" si="49"/>
        <v/>
      </c>
      <c r="AD74" s="155" t="str">
        <f t="shared" si="50"/>
        <v/>
      </c>
      <c r="AI74" s="155">
        <f t="array" ref="AI74">MATCH(MIN(IF($AK$501:$AK$525&gt;=IF(G74&gt;1499,E74+7,E74+5), $AK$501:$AK$525)), $AK$501:$AK$525, 0)</f>
        <v>5</v>
      </c>
      <c r="AK74" s="233"/>
      <c r="AL74" s="233"/>
      <c r="AM74" s="155" t="str">
        <f t="shared" si="51"/>
        <v/>
      </c>
      <c r="AN74" s="155" t="str">
        <f t="shared" si="52"/>
        <v/>
      </c>
      <c r="AX74" s="155" t="str">
        <f t="shared" si="53"/>
        <v/>
      </c>
    </row>
    <row r="75" spans="1:50" s="155" customFormat="1" ht="30" hidden="1" customHeight="1">
      <c r="A75" s="141" t="str">
        <f t="shared" si="39"/>
        <v/>
      </c>
      <c r="B75" s="141" t="str">
        <f t="shared" si="40"/>
        <v/>
      </c>
      <c r="C75" s="157" t="str">
        <f>IF(D75="","",
    IF(ISERR(SEARCH("_",D75)),
        IFERROR(_xlfn.AGGREGATE(14,6,$C$12:C74,1),0)+1,
        IFERROR(
            VALUE(TRIM(MID(SUBSTITUTE(D75,"_",REPT(" ",LEN(D75))), (LEN(D75)-LEN(SUBSTITUTE(D75,"_",""))-1)*LEN(D75)+1, LEN(D75))))
            &amp; "." &amp;
            VALUE(TRIM(RIGHT(SUBSTITUTE(D75,"_",REPT(" ",LEN(D75))),LEN(D75)))),
            "")))</f>
        <v/>
      </c>
      <c r="D75" s="158"/>
      <c r="E75" s="159"/>
      <c r="F75" s="163"/>
      <c r="G75" s="163"/>
      <c r="H75" s="163"/>
      <c r="I75" s="158"/>
      <c r="J75" s="257"/>
      <c r="K75" s="159"/>
      <c r="L75" s="160"/>
      <c r="M75" s="159"/>
      <c r="N75" s="159"/>
      <c r="O75" s="161"/>
      <c r="P75" s="162" t="str">
        <f t="shared" si="54"/>
        <v/>
      </c>
      <c r="Q75" s="163" t="str">
        <f t="shared" si="41"/>
        <v/>
      </c>
      <c r="R75" s="164">
        <f t="shared" si="42"/>
        <v>0</v>
      </c>
      <c r="S75" s="165">
        <f t="shared" si="43"/>
        <v>0</v>
      </c>
      <c r="T75" s="165">
        <f t="shared" si="44"/>
        <v>0</v>
      </c>
      <c r="U75" s="166">
        <f t="shared" si="45"/>
        <v>0</v>
      </c>
      <c r="V75" s="153" t="str">
        <f t="shared" si="46"/>
        <v/>
      </c>
      <c r="W75" s="153" t="str">
        <f t="shared" si="47"/>
        <v/>
      </c>
      <c r="X75" s="244"/>
      <c r="Y75" s="154">
        <f t="shared" si="48"/>
        <v>0</v>
      </c>
      <c r="Z75" s="154" t="str">
        <f t="shared" si="7"/>
        <v>1000</v>
      </c>
      <c r="AA75" s="153" t="str">
        <f t="shared" si="49"/>
        <v/>
      </c>
      <c r="AD75" s="155" t="str">
        <f t="shared" si="50"/>
        <v/>
      </c>
      <c r="AI75" s="155">
        <f t="array" ref="AI75">MATCH(MIN(IF($AK$501:$AK$525&gt;=IF(G75&gt;1499,E75+7,E75+5), $AK$501:$AK$525)), $AK$501:$AK$525, 0)</f>
        <v>5</v>
      </c>
      <c r="AK75" s="233"/>
      <c r="AL75" s="233"/>
      <c r="AM75" s="155" t="str">
        <f t="shared" si="51"/>
        <v/>
      </c>
      <c r="AN75" s="155" t="str">
        <f t="shared" si="52"/>
        <v/>
      </c>
      <c r="AX75" s="155" t="str">
        <f t="shared" si="53"/>
        <v/>
      </c>
    </row>
    <row r="76" spans="1:50" s="155" customFormat="1" ht="30" hidden="1" customHeight="1">
      <c r="A76" s="141" t="str">
        <f t="shared" si="39"/>
        <v/>
      </c>
      <c r="B76" s="141" t="str">
        <f t="shared" si="40"/>
        <v/>
      </c>
      <c r="C76" s="157" t="str">
        <f>IF(D76="","",
    IF(ISERR(SEARCH("_",D76)),
        IFERROR(_xlfn.AGGREGATE(14,6,$C$12:C75,1),0)+1,
        IFERROR(
            VALUE(TRIM(MID(SUBSTITUTE(D76,"_",REPT(" ",LEN(D76))), (LEN(D76)-LEN(SUBSTITUTE(D76,"_",""))-1)*LEN(D76)+1, LEN(D76))))
            &amp; "." &amp;
            VALUE(TRIM(RIGHT(SUBSTITUTE(D76,"_",REPT(" ",LEN(D76))),LEN(D76)))),
            "")))</f>
        <v/>
      </c>
      <c r="D76" s="158"/>
      <c r="E76" s="159"/>
      <c r="F76" s="163"/>
      <c r="G76" s="163"/>
      <c r="H76" s="163"/>
      <c r="I76" s="158"/>
      <c r="J76" s="257"/>
      <c r="K76" s="159"/>
      <c r="L76" s="160"/>
      <c r="M76" s="159"/>
      <c r="N76" s="159"/>
      <c r="O76" s="161"/>
      <c r="P76" s="162" t="str">
        <f t="shared" si="54"/>
        <v/>
      </c>
      <c r="Q76" s="163" t="str">
        <f t="shared" si="41"/>
        <v/>
      </c>
      <c r="R76" s="164">
        <f t="shared" si="42"/>
        <v>0</v>
      </c>
      <c r="S76" s="165">
        <f t="shared" si="43"/>
        <v>0</v>
      </c>
      <c r="T76" s="165">
        <f t="shared" si="44"/>
        <v>0</v>
      </c>
      <c r="U76" s="166">
        <f t="shared" si="45"/>
        <v>0</v>
      </c>
      <c r="V76" s="153" t="str">
        <f t="shared" si="46"/>
        <v/>
      </c>
      <c r="W76" s="153" t="str">
        <f t="shared" si="47"/>
        <v/>
      </c>
      <c r="X76" s="244"/>
      <c r="Y76" s="154">
        <f t="shared" si="48"/>
        <v>0</v>
      </c>
      <c r="Z76" s="154" t="str">
        <f t="shared" si="7"/>
        <v>1000</v>
      </c>
      <c r="AA76" s="153" t="str">
        <f t="shared" si="49"/>
        <v/>
      </c>
      <c r="AD76" s="155" t="str">
        <f t="shared" si="50"/>
        <v/>
      </c>
      <c r="AI76" s="155">
        <f t="array" ref="AI76">MATCH(MIN(IF($AK$501:$AK$525&gt;=IF(G76&gt;1499,E76+7,E76+5), $AK$501:$AK$525)), $AK$501:$AK$525, 0)</f>
        <v>5</v>
      </c>
      <c r="AK76" s="233"/>
      <c r="AL76" s="233"/>
      <c r="AM76" s="155" t="str">
        <f t="shared" si="51"/>
        <v/>
      </c>
      <c r="AN76" s="155" t="str">
        <f t="shared" si="52"/>
        <v/>
      </c>
      <c r="AX76" s="155" t="str">
        <f t="shared" si="53"/>
        <v/>
      </c>
    </row>
    <row r="77" spans="1:50" s="155" customFormat="1" ht="30" hidden="1" customHeight="1">
      <c r="A77" s="141" t="str">
        <f t="shared" si="39"/>
        <v/>
      </c>
      <c r="B77" s="141" t="str">
        <f t="shared" si="40"/>
        <v/>
      </c>
      <c r="C77" s="157" t="str">
        <f>IF(D77="","",
    IF(ISERR(SEARCH("_",D77)),
        IFERROR(_xlfn.AGGREGATE(14,6,$C$12:C76,1),0)+1,
        IFERROR(
            VALUE(TRIM(MID(SUBSTITUTE(D77,"_",REPT(" ",LEN(D77))), (LEN(D77)-LEN(SUBSTITUTE(D77,"_",""))-1)*LEN(D77)+1, LEN(D77))))
            &amp; "." &amp;
            VALUE(TRIM(RIGHT(SUBSTITUTE(D77,"_",REPT(" ",LEN(D77))),LEN(D77)))),
            "")))</f>
        <v/>
      </c>
      <c r="D77" s="158"/>
      <c r="E77" s="159"/>
      <c r="F77" s="163"/>
      <c r="G77" s="163"/>
      <c r="H77" s="163"/>
      <c r="I77" s="158"/>
      <c r="J77" s="257"/>
      <c r="K77" s="159"/>
      <c r="L77" s="160"/>
      <c r="M77" s="159"/>
      <c r="N77" s="159"/>
      <c r="O77" s="161"/>
      <c r="P77" s="162" t="str">
        <f t="shared" si="54"/>
        <v/>
      </c>
      <c r="Q77" s="163" t="str">
        <f t="shared" si="41"/>
        <v/>
      </c>
      <c r="R77" s="164">
        <f t="shared" si="42"/>
        <v>0</v>
      </c>
      <c r="S77" s="165">
        <f t="shared" si="43"/>
        <v>0</v>
      </c>
      <c r="T77" s="165">
        <f t="shared" si="44"/>
        <v>0</v>
      </c>
      <c r="U77" s="166">
        <f t="shared" si="45"/>
        <v>0</v>
      </c>
      <c r="V77" s="153" t="str">
        <f t="shared" si="46"/>
        <v/>
      </c>
      <c r="W77" s="153" t="str">
        <f t="shared" si="47"/>
        <v/>
      </c>
      <c r="X77" s="244"/>
      <c r="Y77" s="154">
        <f t="shared" si="48"/>
        <v>0</v>
      </c>
      <c r="Z77" s="154" t="str">
        <f t="shared" si="7"/>
        <v>1000</v>
      </c>
      <c r="AA77" s="153" t="str">
        <f t="shared" si="49"/>
        <v/>
      </c>
      <c r="AD77" s="155" t="str">
        <f t="shared" si="50"/>
        <v/>
      </c>
      <c r="AI77" s="155">
        <f t="array" ref="AI77">MATCH(MIN(IF($AK$501:$AK$525&gt;=IF(G77&gt;1499,E77+7,E77+5), $AK$501:$AK$525)), $AK$501:$AK$525, 0)</f>
        <v>5</v>
      </c>
      <c r="AK77" s="233"/>
      <c r="AL77" s="233"/>
      <c r="AM77" s="155" t="str">
        <f t="shared" si="51"/>
        <v/>
      </c>
      <c r="AN77" s="155" t="str">
        <f t="shared" si="52"/>
        <v/>
      </c>
      <c r="AX77" s="155" t="str">
        <f t="shared" si="53"/>
        <v/>
      </c>
    </row>
    <row r="78" spans="1:50" s="155" customFormat="1" ht="30" hidden="1" customHeight="1">
      <c r="A78" s="141" t="str">
        <f t="shared" si="39"/>
        <v/>
      </c>
      <c r="B78" s="141" t="str">
        <f t="shared" si="40"/>
        <v/>
      </c>
      <c r="C78" s="157" t="str">
        <f>IF(D78="","",
    IF(ISERR(SEARCH("_",D78)),
        IFERROR(_xlfn.AGGREGATE(14,6,$C$12:C77,1),0)+1,
        IFERROR(
            VALUE(TRIM(MID(SUBSTITUTE(D78,"_",REPT(" ",LEN(D78))), (LEN(D78)-LEN(SUBSTITUTE(D78,"_",""))-1)*LEN(D78)+1, LEN(D78))))
            &amp; "." &amp;
            VALUE(TRIM(RIGHT(SUBSTITUTE(D78,"_",REPT(" ",LEN(D78))),LEN(D78)))),
            "")))</f>
        <v/>
      </c>
      <c r="D78" s="158"/>
      <c r="E78" s="159"/>
      <c r="F78" s="163"/>
      <c r="G78" s="163"/>
      <c r="H78" s="163"/>
      <c r="I78" s="158"/>
      <c r="J78" s="257"/>
      <c r="K78" s="159"/>
      <c r="L78" s="160"/>
      <c r="M78" s="159"/>
      <c r="N78" s="159"/>
      <c r="O78" s="161"/>
      <c r="P78" s="162" t="str">
        <f t="shared" si="54"/>
        <v/>
      </c>
      <c r="Q78" s="163" t="str">
        <f t="shared" si="41"/>
        <v/>
      </c>
      <c r="R78" s="164">
        <f t="shared" si="42"/>
        <v>0</v>
      </c>
      <c r="S78" s="165">
        <f t="shared" si="43"/>
        <v>0</v>
      </c>
      <c r="T78" s="165">
        <f t="shared" si="44"/>
        <v>0</v>
      </c>
      <c r="U78" s="166">
        <f t="shared" si="45"/>
        <v>0</v>
      </c>
      <c r="V78" s="153" t="str">
        <f t="shared" si="46"/>
        <v/>
      </c>
      <c r="W78" s="153" t="str">
        <f t="shared" si="47"/>
        <v/>
      </c>
      <c r="X78" s="244"/>
      <c r="Y78" s="154">
        <f t="shared" si="48"/>
        <v>0</v>
      </c>
      <c r="Z78" s="154" t="str">
        <f t="shared" si="7"/>
        <v>1000</v>
      </c>
      <c r="AA78" s="153" t="str">
        <f t="shared" si="49"/>
        <v/>
      </c>
      <c r="AD78" s="155" t="str">
        <f t="shared" si="50"/>
        <v/>
      </c>
      <c r="AI78" s="155">
        <f t="array" ref="AI78">MATCH(MIN(IF($AK$501:$AK$525&gt;=IF(G78&gt;1499,E78+7,E78+5), $AK$501:$AK$525)), $AK$501:$AK$525, 0)</f>
        <v>5</v>
      </c>
      <c r="AK78" s="233"/>
      <c r="AL78" s="233"/>
      <c r="AM78" s="155" t="str">
        <f t="shared" si="51"/>
        <v/>
      </c>
      <c r="AN78" s="155" t="str">
        <f t="shared" si="52"/>
        <v/>
      </c>
      <c r="AX78" s="155" t="str">
        <f t="shared" si="53"/>
        <v/>
      </c>
    </row>
    <row r="79" spans="1:50" s="155" customFormat="1" ht="30" hidden="1" customHeight="1">
      <c r="A79" s="141" t="str">
        <f t="shared" si="39"/>
        <v/>
      </c>
      <c r="B79" s="141" t="str">
        <f t="shared" si="40"/>
        <v/>
      </c>
      <c r="C79" s="157" t="str">
        <f>IF(D79="","",
    IF(ISERR(SEARCH("_",D79)),
        IFERROR(_xlfn.AGGREGATE(14,6,$C$12:C78,1),0)+1,
        IFERROR(
            VALUE(TRIM(MID(SUBSTITUTE(D79,"_",REPT(" ",LEN(D79))), (LEN(D79)-LEN(SUBSTITUTE(D79,"_",""))-1)*LEN(D79)+1, LEN(D79))))
            &amp; "." &amp;
            VALUE(TRIM(RIGHT(SUBSTITUTE(D79,"_",REPT(" ",LEN(D79))),LEN(D79)))),
            "")))</f>
        <v/>
      </c>
      <c r="D79" s="158"/>
      <c r="E79" s="159"/>
      <c r="F79" s="163"/>
      <c r="G79" s="163"/>
      <c r="H79" s="163"/>
      <c r="I79" s="158"/>
      <c r="J79" s="257"/>
      <c r="K79" s="159"/>
      <c r="L79" s="160"/>
      <c r="M79" s="159"/>
      <c r="N79" s="159"/>
      <c r="O79" s="161"/>
      <c r="P79" s="162" t="str">
        <f t="shared" si="54"/>
        <v/>
      </c>
      <c r="Q79" s="163" t="str">
        <f t="shared" si="41"/>
        <v/>
      </c>
      <c r="R79" s="164">
        <f t="shared" si="42"/>
        <v>0</v>
      </c>
      <c r="S79" s="165">
        <f t="shared" si="43"/>
        <v>0</v>
      </c>
      <c r="T79" s="165">
        <f t="shared" si="44"/>
        <v>0</v>
      </c>
      <c r="U79" s="166">
        <f t="shared" si="45"/>
        <v>0</v>
      </c>
      <c r="V79" s="153" t="str">
        <f t="shared" si="46"/>
        <v/>
      </c>
      <c r="W79" s="153" t="str">
        <f t="shared" si="47"/>
        <v/>
      </c>
      <c r="X79" s="244"/>
      <c r="Y79" s="154">
        <f t="shared" si="48"/>
        <v>0</v>
      </c>
      <c r="Z79" s="154" t="str">
        <f t="shared" si="7"/>
        <v>1000</v>
      </c>
      <c r="AA79" s="153" t="str">
        <f t="shared" si="49"/>
        <v/>
      </c>
      <c r="AD79" s="155" t="str">
        <f t="shared" si="50"/>
        <v/>
      </c>
      <c r="AI79" s="155">
        <f t="array" ref="AI79">MATCH(MIN(IF($AK$501:$AK$525&gt;=IF(G79&gt;1499,E79+7,E79+5), $AK$501:$AK$525)), $AK$501:$AK$525, 0)</f>
        <v>5</v>
      </c>
      <c r="AK79" s="233"/>
      <c r="AL79" s="233"/>
      <c r="AM79" s="155" t="str">
        <f t="shared" si="51"/>
        <v/>
      </c>
      <c r="AN79" s="155" t="str">
        <f t="shared" si="52"/>
        <v/>
      </c>
      <c r="AX79" s="155" t="str">
        <f t="shared" si="53"/>
        <v/>
      </c>
    </row>
    <row r="80" spans="1:50" s="155" customFormat="1" ht="30" hidden="1" customHeight="1">
      <c r="A80" s="141" t="str">
        <f t="shared" ref="A80:A86" si="55">IF(W80="IN",$E$6,"")</f>
        <v/>
      </c>
      <c r="B80" s="141" t="str">
        <f t="shared" ref="B80:B86" si="56">IF(W80="IN","Muc "&amp;$E$7,"")</f>
        <v/>
      </c>
      <c r="C80" s="157" t="str">
        <f>IF(D80="","",
    IF(ISERR(SEARCH("_",D80)),
        IFERROR(_xlfn.AGGREGATE(14,6,$C$12:C79,1),0)+1,
        IFERROR(
            VALUE(TRIM(MID(SUBSTITUTE(D80,"_",REPT(" ",LEN(D80))), (LEN(D80)-LEN(SUBSTITUTE(D80,"_",""))-1)*LEN(D80)+1, LEN(D80))))
            &amp; "." &amp;
            VALUE(TRIM(RIGHT(SUBSTITUTE(D80,"_",REPT(" ",LEN(D80))),LEN(D80)))),
            "")))</f>
        <v/>
      </c>
      <c r="D80" s="158"/>
      <c r="E80" s="159"/>
      <c r="F80" s="163"/>
      <c r="G80" s="163"/>
      <c r="H80" s="163"/>
      <c r="I80" s="158"/>
      <c r="J80" s="257"/>
      <c r="K80" s="159"/>
      <c r="L80" s="160"/>
      <c r="M80" s="159"/>
      <c r="N80" s="159"/>
      <c r="O80" s="161"/>
      <c r="P80" s="162" t="str">
        <f t="shared" ref="P80:P86" si="57">IF(AND(LEFT(I80,2)="gỗ",M80&lt;&gt;""),IF(LEFT(RIGHT(IF(E80="","",INDEX($AL$501:$AL$525,VALUE(AI80),1)),3),2)="/4",AM80,AN80)&amp;" "&amp;IF(E80="","",INDEX($AL$501:$AL$525,VALUE(AI80),1)),IF(AND(LEFT(I80,2)="gỗ",M80=""),"loại BC"&amp;" "&amp;IF(E80="","",INDEX($AL$501:$AL$525,VALUE(AI80),1)),""))</f>
        <v/>
      </c>
      <c r="Q80" s="163" t="str">
        <f t="shared" ref="Q80:Q86" si="58">IF(I80="","",IF(LEFT(I80,2)="gỗ","m3","Tấm"))</f>
        <v/>
      </c>
      <c r="R80" s="164">
        <f t="shared" ref="R80:R86" si="59">IF(OR(Q80="Con",Q80="Cụm",Q80="Hệ",Q80="Thanh"),H80,IF(Q80="Tấm",(F80*G80*H80)/(1220*2440),IF(Q80="Md",G80*H80/1000,IF(Q80="M2",F80*G80*H80/10^6,IF(Q80="M3",E80*F80*G80*H80/10^9,0)))))</f>
        <v>0</v>
      </c>
      <c r="S80" s="165">
        <f t="shared" ref="S80:S86" si="60">IF(ISERR(SEARCH("2d",K80)),IF(ISERR(SEARCH("1d",K80)),0,1),2)*($G80+40)*$H80/10^3+IF(ISERR(SEARCH("2r",K80)),IF(ISERR(SEARCH("1r",K80)),0,1),2)*($F80+40)*$H80/10^3</f>
        <v>0</v>
      </c>
      <c r="T80" s="165">
        <f t="shared" ref="T80:T86" si="61">IF(ISERR(SEARCH("2m",M80)),IF(ISERR(SEARCH("1m",M80)),0,1),2)*$G80*$F80*$H80/10^6+IF(ISERR(SEARCH("2d",M80)),IF(ISERR(SEARCH("1d",M80)),0,1),2)*$G80*$E80*$H80/10^6+IF(ISERR(SEARCH("2r",M80)),IF(ISERR(SEARCH("1r",M80)),0,1),2)*$F80*$E80*$H80/10^6</f>
        <v>0</v>
      </c>
      <c r="U80" s="166">
        <f t="shared" ref="U80:U86" si="62">IF(ISERR(SEARCH("2m",N80)),IF(ISERR(SEARCH("1m",N80)),0,1),2)*$G80*$F80*$H80/10^6+IF(ISERR(SEARCH("2d",N80)),IF(ISERR(SEARCH("1d",N80)),0,1),2)*$G80*$E80*$H80/10^6+IF(ISERR(SEARCH("2r",N80)),IF(ISERR(SEARCH("1r",N80)),0,1),2)*$F80*$E80*$H80/10^6</f>
        <v>0</v>
      </c>
      <c r="V80" s="153" t="str">
        <f t="shared" ref="V80:V86" si="63">IF(W80="IN",$Y$3,"")</f>
        <v/>
      </c>
      <c r="W80" s="153" t="str">
        <f t="shared" ref="W80:W86" si="64">IF(OR(C80&lt;&gt;"",D80&lt;&gt;""),"IN","")</f>
        <v/>
      </c>
      <c r="X80" s="244"/>
      <c r="Y80" s="154">
        <f t="shared" ref="Y80:Y86" si="65">IFERROR((E80*F80*G80*H80*10^-9)*750,"")</f>
        <v>0</v>
      </c>
      <c r="Z80" s="154" t="str">
        <f t="shared" si="7"/>
        <v>1000</v>
      </c>
      <c r="AA80" s="153" t="str">
        <f t="shared" ref="AA80:AA86" si="66">IFERROR(MATCH(J80,$J$13:$J$482,0)&amp;",","")</f>
        <v/>
      </c>
      <c r="AD80" s="155" t="str">
        <f t="shared" ref="AD80:AD86" si="67">IF(OR(I80="_",LEFT(I80,4)="KTHT"),"",IF(C80="","",1))</f>
        <v/>
      </c>
      <c r="AI80" s="155">
        <f t="array" ref="AI80">MATCH(MIN(IF($AK$501:$AK$525&gt;=IF(G80&gt;1499,E80+7,E80+5), $AK$501:$AK$525)), $AK$501:$AK$525, 0)</f>
        <v>5</v>
      </c>
      <c r="AK80" s="233"/>
      <c r="AL80" s="233"/>
      <c r="AM80" s="155" t="str">
        <f t="shared" ref="AM80:AM86" si="68">IF(M80="","",IF(F80&gt;99,"FAS",IF(LEFT(I80,2)="Gỗ",IF(LEFT(M80,4)="2M2D","loại 1common",IF(AND(G80&gt;1699,LEFT(M80,4)&lt;&gt;"2M2D"),"loại 1common","loại 2common")),"")))</f>
        <v/>
      </c>
      <c r="AN80" s="155" t="str">
        <f t="shared" ref="AN80:AN86" si="69">IF(AM80="","",IF(AM80="loại 1common","loại A",IF(AM80="loại 2common","loại AB","loại FAS")))</f>
        <v/>
      </c>
      <c r="AX80" s="155" t="str">
        <f t="shared" ref="AX80:AX86" si="70">W80</f>
        <v/>
      </c>
    </row>
    <row r="81" spans="1:50" s="155" customFormat="1" ht="30" hidden="1" customHeight="1">
      <c r="A81" s="141" t="str">
        <f t="shared" si="55"/>
        <v/>
      </c>
      <c r="B81" s="141" t="str">
        <f t="shared" si="56"/>
        <v/>
      </c>
      <c r="C81" s="157" t="str">
        <f>IF(D81="","",
    IF(ISERR(SEARCH("_",D81)),
        IFERROR(_xlfn.AGGREGATE(14,6,$C$12:C80,1),0)+1,
        IFERROR(
            VALUE(TRIM(MID(SUBSTITUTE(D81,"_",REPT(" ",LEN(D81))), (LEN(D81)-LEN(SUBSTITUTE(D81,"_",""))-1)*LEN(D81)+1, LEN(D81))))
            &amp; "." &amp;
            VALUE(TRIM(RIGHT(SUBSTITUTE(D81,"_",REPT(" ",LEN(D81))),LEN(D81)))),
            "")))</f>
        <v/>
      </c>
      <c r="D81" s="158"/>
      <c r="E81" s="159"/>
      <c r="F81" s="163"/>
      <c r="G81" s="163"/>
      <c r="H81" s="163"/>
      <c r="I81" s="158"/>
      <c r="J81" s="257"/>
      <c r="K81" s="159"/>
      <c r="L81" s="160"/>
      <c r="M81" s="159"/>
      <c r="N81" s="159"/>
      <c r="O81" s="161"/>
      <c r="P81" s="162" t="str">
        <f t="shared" si="57"/>
        <v/>
      </c>
      <c r="Q81" s="163" t="str">
        <f t="shared" si="58"/>
        <v/>
      </c>
      <c r="R81" s="164">
        <f t="shared" si="59"/>
        <v>0</v>
      </c>
      <c r="S81" s="165">
        <f t="shared" si="60"/>
        <v>0</v>
      </c>
      <c r="T81" s="165">
        <f t="shared" si="61"/>
        <v>0</v>
      </c>
      <c r="U81" s="166">
        <f t="shared" si="62"/>
        <v>0</v>
      </c>
      <c r="V81" s="153" t="str">
        <f t="shared" si="63"/>
        <v/>
      </c>
      <c r="W81" s="153" t="str">
        <f t="shared" si="64"/>
        <v/>
      </c>
      <c r="X81" s="244"/>
      <c r="Y81" s="154">
        <f t="shared" si="65"/>
        <v>0</v>
      </c>
      <c r="Z81" s="154" t="str">
        <f t="shared" si="7"/>
        <v>1000</v>
      </c>
      <c r="AA81" s="153" t="str">
        <f t="shared" si="66"/>
        <v/>
      </c>
      <c r="AD81" s="155" t="str">
        <f t="shared" si="67"/>
        <v/>
      </c>
      <c r="AI81" s="155">
        <f t="array" ref="AI81">MATCH(MIN(IF($AK$501:$AK$525&gt;=IF(G81&gt;1499,E81+7,E81+5), $AK$501:$AK$525)), $AK$501:$AK$525, 0)</f>
        <v>5</v>
      </c>
      <c r="AK81" s="233"/>
      <c r="AL81" s="233"/>
      <c r="AM81" s="155" t="str">
        <f t="shared" si="68"/>
        <v/>
      </c>
      <c r="AN81" s="155" t="str">
        <f t="shared" si="69"/>
        <v/>
      </c>
      <c r="AX81" s="155" t="str">
        <f t="shared" si="70"/>
        <v/>
      </c>
    </row>
    <row r="82" spans="1:50" s="155" customFormat="1" ht="30" hidden="1" customHeight="1">
      <c r="A82" s="141" t="str">
        <f t="shared" si="55"/>
        <v/>
      </c>
      <c r="B82" s="141" t="str">
        <f t="shared" si="56"/>
        <v/>
      </c>
      <c r="C82" s="157" t="str">
        <f>IF(D82="","",
    IF(ISERR(SEARCH("_",D82)),
        IFERROR(_xlfn.AGGREGATE(14,6,$C$12:C81,1),0)+1,
        IFERROR(
            VALUE(TRIM(MID(SUBSTITUTE(D82,"_",REPT(" ",LEN(D82))), (LEN(D82)-LEN(SUBSTITUTE(D82,"_",""))-1)*LEN(D82)+1, LEN(D82))))
            &amp; "." &amp;
            VALUE(TRIM(RIGHT(SUBSTITUTE(D82,"_",REPT(" ",LEN(D82))),LEN(D82)))),
            "")))</f>
        <v/>
      </c>
      <c r="D82" s="158"/>
      <c r="E82" s="159"/>
      <c r="F82" s="163"/>
      <c r="G82" s="163"/>
      <c r="H82" s="163"/>
      <c r="I82" s="158"/>
      <c r="J82" s="257"/>
      <c r="K82" s="159"/>
      <c r="L82" s="160"/>
      <c r="M82" s="159"/>
      <c r="N82" s="159"/>
      <c r="O82" s="161"/>
      <c r="P82" s="162" t="str">
        <f t="shared" si="57"/>
        <v/>
      </c>
      <c r="Q82" s="163" t="str">
        <f t="shared" si="58"/>
        <v/>
      </c>
      <c r="R82" s="164">
        <f t="shared" si="59"/>
        <v>0</v>
      </c>
      <c r="S82" s="165">
        <f t="shared" si="60"/>
        <v>0</v>
      </c>
      <c r="T82" s="165">
        <f t="shared" si="61"/>
        <v>0</v>
      </c>
      <c r="U82" s="166">
        <f t="shared" si="62"/>
        <v>0</v>
      </c>
      <c r="V82" s="153" t="str">
        <f t="shared" si="63"/>
        <v/>
      </c>
      <c r="W82" s="153" t="str">
        <f t="shared" si="64"/>
        <v/>
      </c>
      <c r="X82" s="244"/>
      <c r="Y82" s="154">
        <f t="shared" si="65"/>
        <v>0</v>
      </c>
      <c r="Z82" s="154" t="str">
        <f t="shared" si="7"/>
        <v>1000</v>
      </c>
      <c r="AA82" s="153" t="str">
        <f t="shared" si="66"/>
        <v/>
      </c>
      <c r="AD82" s="155" t="str">
        <f t="shared" si="67"/>
        <v/>
      </c>
      <c r="AI82" s="155">
        <f t="array" ref="AI82">MATCH(MIN(IF($AK$501:$AK$525&gt;=IF(G82&gt;1499,E82+7,E82+5), $AK$501:$AK$525)), $AK$501:$AK$525, 0)</f>
        <v>5</v>
      </c>
      <c r="AK82" s="233"/>
      <c r="AL82" s="233"/>
      <c r="AM82" s="155" t="str">
        <f t="shared" si="68"/>
        <v/>
      </c>
      <c r="AN82" s="155" t="str">
        <f t="shared" si="69"/>
        <v/>
      </c>
      <c r="AX82" s="155" t="str">
        <f t="shared" si="70"/>
        <v/>
      </c>
    </row>
    <row r="83" spans="1:50" s="155" customFormat="1" ht="30" hidden="1" customHeight="1">
      <c r="A83" s="141" t="str">
        <f t="shared" si="55"/>
        <v/>
      </c>
      <c r="B83" s="141" t="str">
        <f t="shared" si="56"/>
        <v/>
      </c>
      <c r="C83" s="157" t="str">
        <f>IF(D83="","",
    IF(ISERR(SEARCH("_",D83)),
        IFERROR(_xlfn.AGGREGATE(14,6,$C$12:C82,1),0)+1,
        IFERROR(
            VALUE(TRIM(MID(SUBSTITUTE(D83,"_",REPT(" ",LEN(D83))), (LEN(D83)-LEN(SUBSTITUTE(D83,"_",""))-1)*LEN(D83)+1, LEN(D83))))
            &amp; "." &amp;
            VALUE(TRIM(RIGHT(SUBSTITUTE(D83,"_",REPT(" ",LEN(D83))),LEN(D83)))),
            "")))</f>
        <v/>
      </c>
      <c r="D83" s="158"/>
      <c r="E83" s="159"/>
      <c r="F83" s="163"/>
      <c r="G83" s="163"/>
      <c r="H83" s="163"/>
      <c r="I83" s="158"/>
      <c r="J83" s="257"/>
      <c r="K83" s="159"/>
      <c r="L83" s="160"/>
      <c r="M83" s="159"/>
      <c r="N83" s="159"/>
      <c r="O83" s="161"/>
      <c r="P83" s="162" t="str">
        <f t="shared" si="57"/>
        <v/>
      </c>
      <c r="Q83" s="163" t="str">
        <f t="shared" si="58"/>
        <v/>
      </c>
      <c r="R83" s="164">
        <f t="shared" si="59"/>
        <v>0</v>
      </c>
      <c r="S83" s="165">
        <f t="shared" si="60"/>
        <v>0</v>
      </c>
      <c r="T83" s="165">
        <f t="shared" si="61"/>
        <v>0</v>
      </c>
      <c r="U83" s="166">
        <f t="shared" si="62"/>
        <v>0</v>
      </c>
      <c r="V83" s="153" t="str">
        <f t="shared" si="63"/>
        <v/>
      </c>
      <c r="W83" s="153" t="str">
        <f t="shared" si="64"/>
        <v/>
      </c>
      <c r="X83" s="244"/>
      <c r="Y83" s="154">
        <f t="shared" si="65"/>
        <v>0</v>
      </c>
      <c r="Z83" s="154" t="str">
        <f t="shared" si="7"/>
        <v>1000</v>
      </c>
      <c r="AA83" s="153" t="str">
        <f t="shared" si="66"/>
        <v/>
      </c>
      <c r="AD83" s="155" t="str">
        <f t="shared" si="67"/>
        <v/>
      </c>
      <c r="AI83" s="155">
        <f t="array" ref="AI83">MATCH(MIN(IF($AK$501:$AK$525&gt;=IF(G83&gt;1499,E83+7,E83+5), $AK$501:$AK$525)), $AK$501:$AK$525, 0)</f>
        <v>5</v>
      </c>
      <c r="AK83" s="233"/>
      <c r="AL83" s="233"/>
      <c r="AM83" s="155" t="str">
        <f t="shared" si="68"/>
        <v/>
      </c>
      <c r="AN83" s="155" t="str">
        <f t="shared" si="69"/>
        <v/>
      </c>
      <c r="AX83" s="155" t="str">
        <f t="shared" si="70"/>
        <v/>
      </c>
    </row>
    <row r="84" spans="1:50" s="155" customFormat="1" ht="30" hidden="1" customHeight="1">
      <c r="A84" s="141" t="str">
        <f t="shared" si="55"/>
        <v/>
      </c>
      <c r="B84" s="141" t="str">
        <f t="shared" si="56"/>
        <v/>
      </c>
      <c r="C84" s="157" t="str">
        <f>IF(D84="","",
    IF(ISERR(SEARCH("_",D84)),
        IFERROR(_xlfn.AGGREGATE(14,6,$C$12:C83,1),0)+1,
        IFERROR(
            VALUE(TRIM(MID(SUBSTITUTE(D84,"_",REPT(" ",LEN(D84))), (LEN(D84)-LEN(SUBSTITUTE(D84,"_",""))-1)*LEN(D84)+1, LEN(D84))))
            &amp; "." &amp;
            VALUE(TRIM(RIGHT(SUBSTITUTE(D84,"_",REPT(" ",LEN(D84))),LEN(D84)))),
            "")))</f>
        <v/>
      </c>
      <c r="D84" s="158"/>
      <c r="E84" s="159"/>
      <c r="F84" s="163"/>
      <c r="G84" s="163"/>
      <c r="H84" s="163"/>
      <c r="I84" s="158"/>
      <c r="J84" s="257"/>
      <c r="K84" s="159"/>
      <c r="L84" s="160"/>
      <c r="M84" s="159"/>
      <c r="N84" s="159"/>
      <c r="O84" s="161"/>
      <c r="P84" s="162" t="str">
        <f t="shared" si="57"/>
        <v/>
      </c>
      <c r="Q84" s="163" t="str">
        <f t="shared" si="58"/>
        <v/>
      </c>
      <c r="R84" s="164">
        <f t="shared" si="59"/>
        <v>0</v>
      </c>
      <c r="S84" s="165">
        <f t="shared" si="60"/>
        <v>0</v>
      </c>
      <c r="T84" s="165">
        <f t="shared" si="61"/>
        <v>0</v>
      </c>
      <c r="U84" s="166">
        <f t="shared" si="62"/>
        <v>0</v>
      </c>
      <c r="V84" s="153" t="str">
        <f t="shared" si="63"/>
        <v/>
      </c>
      <c r="W84" s="153" t="str">
        <f t="shared" si="64"/>
        <v/>
      </c>
      <c r="X84" s="244"/>
      <c r="Y84" s="154">
        <f t="shared" si="65"/>
        <v>0</v>
      </c>
      <c r="Z84" s="154" t="str">
        <f t="shared" si="7"/>
        <v>1000</v>
      </c>
      <c r="AA84" s="153" t="str">
        <f t="shared" si="66"/>
        <v/>
      </c>
      <c r="AD84" s="155" t="str">
        <f t="shared" si="67"/>
        <v/>
      </c>
      <c r="AI84" s="155">
        <f t="array" ref="AI84">MATCH(MIN(IF($AK$501:$AK$525&gt;=IF(G84&gt;1499,E84+7,E84+5), $AK$501:$AK$525)), $AK$501:$AK$525, 0)</f>
        <v>5</v>
      </c>
      <c r="AK84" s="233"/>
      <c r="AL84" s="233"/>
      <c r="AM84" s="155" t="str">
        <f t="shared" si="68"/>
        <v/>
      </c>
      <c r="AN84" s="155" t="str">
        <f t="shared" si="69"/>
        <v/>
      </c>
      <c r="AX84" s="155" t="str">
        <f t="shared" si="70"/>
        <v/>
      </c>
    </row>
    <row r="85" spans="1:50" s="155" customFormat="1" ht="30" hidden="1" customHeight="1">
      <c r="A85" s="141" t="str">
        <f t="shared" si="55"/>
        <v/>
      </c>
      <c r="B85" s="141" t="str">
        <f t="shared" si="56"/>
        <v/>
      </c>
      <c r="C85" s="157" t="str">
        <f>IF(D85="","",
    IF(ISERR(SEARCH("_",D85)),
        IFERROR(_xlfn.AGGREGATE(14,6,$C$12:C84,1),0)+1,
        IFERROR(
            VALUE(TRIM(MID(SUBSTITUTE(D85,"_",REPT(" ",LEN(D85))), (LEN(D85)-LEN(SUBSTITUTE(D85,"_",""))-1)*LEN(D85)+1, LEN(D85))))
            &amp; "." &amp;
            VALUE(TRIM(RIGHT(SUBSTITUTE(D85,"_",REPT(" ",LEN(D85))),LEN(D85)))),
            "")))</f>
        <v/>
      </c>
      <c r="D85" s="158"/>
      <c r="E85" s="159"/>
      <c r="F85" s="163"/>
      <c r="G85" s="163"/>
      <c r="H85" s="163"/>
      <c r="I85" s="158"/>
      <c r="J85" s="257"/>
      <c r="K85" s="159"/>
      <c r="L85" s="160"/>
      <c r="M85" s="159"/>
      <c r="N85" s="159"/>
      <c r="O85" s="161"/>
      <c r="P85" s="162" t="str">
        <f t="shared" si="57"/>
        <v/>
      </c>
      <c r="Q85" s="163" t="str">
        <f t="shared" si="58"/>
        <v/>
      </c>
      <c r="R85" s="164">
        <f t="shared" si="59"/>
        <v>0</v>
      </c>
      <c r="S85" s="165">
        <f t="shared" si="60"/>
        <v>0</v>
      </c>
      <c r="T85" s="165">
        <f t="shared" si="61"/>
        <v>0</v>
      </c>
      <c r="U85" s="166">
        <f t="shared" si="62"/>
        <v>0</v>
      </c>
      <c r="V85" s="153" t="str">
        <f t="shared" si="63"/>
        <v/>
      </c>
      <c r="W85" s="153" t="str">
        <f t="shared" si="64"/>
        <v/>
      </c>
      <c r="X85" s="244"/>
      <c r="Y85" s="154">
        <f t="shared" si="65"/>
        <v>0</v>
      </c>
      <c r="Z85" s="154" t="str">
        <f t="shared" si="7"/>
        <v>1000</v>
      </c>
      <c r="AA85" s="153" t="str">
        <f t="shared" si="66"/>
        <v/>
      </c>
      <c r="AD85" s="155" t="str">
        <f t="shared" si="67"/>
        <v/>
      </c>
      <c r="AI85" s="155">
        <f t="array" ref="AI85">MATCH(MIN(IF($AK$501:$AK$525&gt;=IF(G85&gt;1499,E85+7,E85+5), $AK$501:$AK$525)), $AK$501:$AK$525, 0)</f>
        <v>5</v>
      </c>
      <c r="AK85" s="233"/>
      <c r="AL85" s="233"/>
      <c r="AM85" s="155" t="str">
        <f t="shared" si="68"/>
        <v/>
      </c>
      <c r="AN85" s="155" t="str">
        <f t="shared" si="69"/>
        <v/>
      </c>
      <c r="AX85" s="155" t="str">
        <f t="shared" si="70"/>
        <v/>
      </c>
    </row>
    <row r="86" spans="1:50" s="155" customFormat="1" ht="30" hidden="1" customHeight="1">
      <c r="A86" s="141" t="str">
        <f t="shared" si="55"/>
        <v/>
      </c>
      <c r="B86" s="141" t="str">
        <f t="shared" si="56"/>
        <v/>
      </c>
      <c r="C86" s="157" t="str">
        <f>IF(D86="","",
    IF(ISERR(SEARCH("_",D86)),
        IFERROR(_xlfn.AGGREGATE(14,6,$C$12:C85,1),0)+1,
        IFERROR(
            VALUE(TRIM(MID(SUBSTITUTE(D86,"_",REPT(" ",LEN(D86))), (LEN(D86)-LEN(SUBSTITUTE(D86,"_",""))-1)*LEN(D86)+1, LEN(D86))))
            &amp; "." &amp;
            VALUE(TRIM(RIGHT(SUBSTITUTE(D86,"_",REPT(" ",LEN(D86))),LEN(D86)))),
            "")))</f>
        <v/>
      </c>
      <c r="D86" s="158"/>
      <c r="E86" s="159"/>
      <c r="F86" s="163"/>
      <c r="G86" s="163"/>
      <c r="H86" s="163"/>
      <c r="I86" s="158"/>
      <c r="J86" s="257"/>
      <c r="K86" s="159"/>
      <c r="L86" s="160"/>
      <c r="M86" s="159"/>
      <c r="N86" s="159"/>
      <c r="O86" s="161"/>
      <c r="P86" s="162" t="str">
        <f t="shared" si="57"/>
        <v/>
      </c>
      <c r="Q86" s="163" t="str">
        <f t="shared" si="58"/>
        <v/>
      </c>
      <c r="R86" s="164">
        <f t="shared" si="59"/>
        <v>0</v>
      </c>
      <c r="S86" s="165">
        <f t="shared" si="60"/>
        <v>0</v>
      </c>
      <c r="T86" s="165">
        <f t="shared" si="61"/>
        <v>0</v>
      </c>
      <c r="U86" s="166">
        <f t="shared" si="62"/>
        <v>0</v>
      </c>
      <c r="V86" s="153" t="str">
        <f t="shared" si="63"/>
        <v/>
      </c>
      <c r="W86" s="153" t="str">
        <f t="shared" si="64"/>
        <v/>
      </c>
      <c r="X86" s="244"/>
      <c r="Y86" s="154">
        <f t="shared" si="65"/>
        <v>0</v>
      </c>
      <c r="Z86" s="154" t="str">
        <f t="shared" si="7"/>
        <v>1000</v>
      </c>
      <c r="AA86" s="153" t="str">
        <f t="shared" si="66"/>
        <v/>
      </c>
      <c r="AD86" s="155" t="str">
        <f t="shared" si="67"/>
        <v/>
      </c>
      <c r="AI86" s="155">
        <f t="array" ref="AI86">MATCH(MIN(IF($AK$501:$AK$525&gt;=IF(G86&gt;1499,E86+7,E86+5), $AK$501:$AK$525)), $AK$501:$AK$525, 0)</f>
        <v>5</v>
      </c>
      <c r="AK86" s="233"/>
      <c r="AL86" s="233"/>
      <c r="AM86" s="155" t="str">
        <f t="shared" si="68"/>
        <v/>
      </c>
      <c r="AN86" s="155" t="str">
        <f t="shared" si="69"/>
        <v/>
      </c>
      <c r="AX86" s="155" t="str">
        <f t="shared" si="70"/>
        <v/>
      </c>
    </row>
    <row r="87" spans="1:50" s="155" customFormat="1" ht="30" hidden="1" customHeight="1">
      <c r="A87" s="141" t="str">
        <f t="shared" ref="A87:A143" si="71">IF(W87="IN",$E$6,"")</f>
        <v/>
      </c>
      <c r="B87" s="141" t="str">
        <f t="shared" ref="B87:B143" si="72">IF(W87="IN","Muc "&amp;$E$7,"")</f>
        <v/>
      </c>
      <c r="C87" s="157" t="str">
        <f>IF(D87="","",
    IF(ISERR(SEARCH("_",D87)),
        IFERROR(_xlfn.AGGREGATE(14,6,$C$12:C86,1),0)+1,
        IFERROR(
            VALUE(TRIM(MID(SUBSTITUTE(D87,"_",REPT(" ",LEN(D87))), (LEN(D87)-LEN(SUBSTITUTE(D87,"_",""))-1)*LEN(D87)+1, LEN(D87))))
            &amp; "." &amp;
            VALUE(TRIM(RIGHT(SUBSTITUTE(D87,"_",REPT(" ",LEN(D87))),LEN(D87)))),
            "")))</f>
        <v/>
      </c>
      <c r="D87" s="194"/>
      <c r="E87" s="163"/>
      <c r="F87" s="163"/>
      <c r="G87" s="163"/>
      <c r="H87" s="163"/>
      <c r="I87" s="194"/>
      <c r="J87" s="257"/>
      <c r="K87" s="159"/>
      <c r="L87" s="160"/>
      <c r="M87" s="159"/>
      <c r="N87" s="159"/>
      <c r="O87" s="161"/>
      <c r="P87" s="162" t="str">
        <f t="shared" ref="P87:P143" si="73">IF(AND(LEFT(I87,2)="gỗ",M87&lt;&gt;""),IF(LEFT(RIGHT(IF(E87="","",INDEX($AL$501:$AL$525,VALUE(AI87),1)),3),2)="/4",AM87,AN87)&amp;" "&amp;IF(E87="","",INDEX($AL$501:$AL$525,VALUE(AI87),1)),IF(AND(LEFT(I87,2)="gỗ",M87=""),"loại BC"&amp;" "&amp;IF(E87="","",INDEX($AL$501:$AL$525,VALUE(AI87),1)),""))</f>
        <v/>
      </c>
      <c r="Q87" s="163" t="str">
        <f t="shared" ref="Q87:Q143" si="74">IF(I87="","",IF(LEFT(I87,2)="gỗ","m3","Tấm"))</f>
        <v/>
      </c>
      <c r="R87" s="164">
        <f t="shared" ref="R87:R143" si="75">IF(OR(Q87="Con",Q87="Cụm",Q87="Hệ",Q87="Thanh"),H87,IF(Q87="Tấm",(F87*G87*H87)/(1220*2440),IF(Q87="Md",G87*H87/1000,IF(Q87="M2",F87*G87*H87/10^6,IF(Q87="M3",E87*F87*G87*H87/10^9,0)))))</f>
        <v>0</v>
      </c>
      <c r="S87" s="165">
        <f t="shared" ref="S87:S141" si="76">IF(ISERR(SEARCH("2d",K87)),IF(ISERR(SEARCH("1d",K87)),0,1),2)*($G87+40)*$H87/10^3+IF(ISERR(SEARCH("2r",K87)),IF(ISERR(SEARCH("1r",K87)),0,1),2)*($F87+40)*$H87/10^3</f>
        <v>0</v>
      </c>
      <c r="T87" s="165">
        <f t="shared" ref="T87:T143" si="77">IF(ISERR(SEARCH("2m",M87)),IF(ISERR(SEARCH("1m",M87)),0,1),2)*$G87*$F87*$H87/10^6+IF(ISERR(SEARCH("2d",M87)),IF(ISERR(SEARCH("1d",M87)),0,1),2)*$G87*$E87*$H87/10^6+IF(ISERR(SEARCH("2r",M87)),IF(ISERR(SEARCH("1r",M87)),0,1),2)*$F87*$E87*$H87/10^6</f>
        <v>0</v>
      </c>
      <c r="U87" s="166">
        <f t="shared" ref="U87:U143" si="78">IF(ISERR(SEARCH("2m",N87)),IF(ISERR(SEARCH("1m",N87)),0,1),2)*$G87*$F87*$H87/10^6+IF(ISERR(SEARCH("2d",N87)),IF(ISERR(SEARCH("1d",N87)),0,1),2)*$G87*$E87*$H87/10^6+IF(ISERR(SEARCH("2r",N87)),IF(ISERR(SEARCH("1r",N87)),0,1),2)*$F87*$E87*$H87/10^6</f>
        <v>0</v>
      </c>
      <c r="V87" s="153" t="str">
        <f t="shared" ref="V87:V143" si="79">IF(W87="IN",$Y$3,"")</f>
        <v/>
      </c>
      <c r="W87" s="153" t="str">
        <f t="shared" ref="W87:W143" si="80">IF(OR(C87&lt;&gt;"",D87&lt;&gt;""),"IN","")</f>
        <v/>
      </c>
      <c r="X87" s="244"/>
      <c r="Y87" s="154">
        <f t="shared" ref="Y87:Y141" si="81">IFERROR((E87*F87*G87*H87*10^-9)*750,"")</f>
        <v>0</v>
      </c>
      <c r="Z87" s="154" t="str">
        <f t="shared" si="7"/>
        <v>1000</v>
      </c>
      <c r="AA87" s="153" t="str">
        <f t="shared" ref="AA87:AA143" si="82">IFERROR(MATCH(J87,$J$13:$J$482,0)&amp;",","")</f>
        <v/>
      </c>
      <c r="AD87" s="155" t="str">
        <f t="shared" ref="AD87:AD143" si="83">IF(OR(I87="_",LEFT(I87,4)="KTHT"),"",IF(C87="","",1))</f>
        <v/>
      </c>
      <c r="AI87" s="155">
        <f t="array" ref="AI87">MATCH(MIN(IF($AK$501:$AK$525&gt;=IF(G87&gt;1499,E87+7,E87+5), $AK$501:$AK$525)), $AK$501:$AK$525, 0)</f>
        <v>5</v>
      </c>
      <c r="AK87" s="233"/>
      <c r="AL87" s="233"/>
      <c r="AM87" s="155" t="str">
        <f t="shared" ref="AM87:AM143" si="84">IF(M87="","",IF(F87&gt;99,"FAS",IF(LEFT(I87,2)="Gỗ",IF(LEFT(M87,4)="2M2D","loại 1common",IF(AND(G87&gt;1699,LEFT(M87,4)&lt;&gt;"2M2D"),"loại 1common","loại 2common")),"")))</f>
        <v/>
      </c>
      <c r="AN87" s="155" t="str">
        <f t="shared" ref="AN87:AN143" si="85">IF(AM87="","",IF(AM87="loại 1common","loại A",IF(AM87="loại 2common","loại AB","loại FAS")))</f>
        <v/>
      </c>
      <c r="AX87" s="155" t="str">
        <f t="shared" ref="AX87:AX143" si="86">W87</f>
        <v/>
      </c>
    </row>
    <row r="88" spans="1:50" s="155" customFormat="1" ht="30" hidden="1" customHeight="1">
      <c r="A88" s="141" t="str">
        <f t="shared" si="71"/>
        <v/>
      </c>
      <c r="B88" s="141" t="str">
        <f t="shared" si="72"/>
        <v/>
      </c>
      <c r="C88" s="157" t="str">
        <f>IF(D88="","",
    IF(ISERR(SEARCH("_",D88)),
        IFERROR(_xlfn.AGGREGATE(14,6,$C$12:C87,1),0)+1,
        IFERROR(
            VALUE(TRIM(MID(SUBSTITUTE(D88,"_",REPT(" ",LEN(D88))), (LEN(D88)-LEN(SUBSTITUTE(D88,"_",""))-1)*LEN(D88)+1, LEN(D88))))
            &amp; "." &amp;
            VALUE(TRIM(RIGHT(SUBSTITUTE(D88,"_",REPT(" ",LEN(D88))),LEN(D88)))),
            "")))</f>
        <v/>
      </c>
      <c r="D88" s="194"/>
      <c r="E88" s="163"/>
      <c r="F88" s="163"/>
      <c r="G88" s="163"/>
      <c r="H88" s="163"/>
      <c r="I88" s="194"/>
      <c r="J88" s="257"/>
      <c r="K88" s="159"/>
      <c r="L88" s="160"/>
      <c r="M88" s="159"/>
      <c r="N88" s="159"/>
      <c r="O88" s="161"/>
      <c r="P88" s="162" t="str">
        <f t="shared" si="73"/>
        <v/>
      </c>
      <c r="Q88" s="163" t="str">
        <f t="shared" si="74"/>
        <v/>
      </c>
      <c r="R88" s="164">
        <f t="shared" si="75"/>
        <v>0</v>
      </c>
      <c r="S88" s="165">
        <f t="shared" si="76"/>
        <v>0</v>
      </c>
      <c r="T88" s="165">
        <f t="shared" si="77"/>
        <v>0</v>
      </c>
      <c r="U88" s="166">
        <f t="shared" si="78"/>
        <v>0</v>
      </c>
      <c r="V88" s="153" t="str">
        <f t="shared" si="79"/>
        <v/>
      </c>
      <c r="W88" s="153" t="str">
        <f t="shared" si="80"/>
        <v/>
      </c>
      <c r="X88" s="244"/>
      <c r="Y88" s="154">
        <f t="shared" si="81"/>
        <v>0</v>
      </c>
      <c r="Z88" s="154" t="str">
        <f t="shared" si="7"/>
        <v>1000</v>
      </c>
      <c r="AA88" s="153" t="str">
        <f t="shared" si="82"/>
        <v/>
      </c>
      <c r="AD88" s="155" t="str">
        <f t="shared" si="83"/>
        <v/>
      </c>
      <c r="AI88" s="155">
        <f t="array" ref="AI88">MATCH(MIN(IF($AK$501:$AK$525&gt;=IF(G88&gt;1499,E88+7,E88+5), $AK$501:$AK$525)), $AK$501:$AK$525, 0)</f>
        <v>5</v>
      </c>
      <c r="AK88" s="233"/>
      <c r="AL88" s="233"/>
      <c r="AM88" s="155" t="str">
        <f t="shared" si="84"/>
        <v/>
      </c>
      <c r="AN88" s="155" t="str">
        <f t="shared" si="85"/>
        <v/>
      </c>
      <c r="AX88" s="155" t="str">
        <f t="shared" si="86"/>
        <v/>
      </c>
    </row>
    <row r="89" spans="1:50" s="155" customFormat="1" ht="30" hidden="1" customHeight="1">
      <c r="A89" s="141" t="str">
        <f t="shared" si="71"/>
        <v/>
      </c>
      <c r="B89" s="141" t="str">
        <f t="shared" si="72"/>
        <v/>
      </c>
      <c r="C89" s="157" t="str">
        <f>IF(D89="","",
    IF(ISERR(SEARCH("_",D89)),
        IFERROR(_xlfn.AGGREGATE(14,6,$C$12:C88,1),0)+1,
        IFERROR(
            VALUE(TRIM(MID(SUBSTITUTE(D89,"_",REPT(" ",LEN(D89))), (LEN(D89)-LEN(SUBSTITUTE(D89,"_",""))-1)*LEN(D89)+1, LEN(D89))))
            &amp; "." &amp;
            VALUE(TRIM(RIGHT(SUBSTITUTE(D89,"_",REPT(" ",LEN(D89))),LEN(D89)))),
            "")))</f>
        <v/>
      </c>
      <c r="D89" s="194"/>
      <c r="E89" s="163"/>
      <c r="F89" s="163"/>
      <c r="G89" s="163"/>
      <c r="H89" s="163"/>
      <c r="I89" s="194"/>
      <c r="J89" s="257"/>
      <c r="K89" s="159"/>
      <c r="L89" s="160"/>
      <c r="M89" s="159"/>
      <c r="N89" s="159"/>
      <c r="O89" s="161"/>
      <c r="P89" s="162" t="str">
        <f t="shared" si="73"/>
        <v/>
      </c>
      <c r="Q89" s="163" t="str">
        <f t="shared" si="74"/>
        <v/>
      </c>
      <c r="R89" s="164">
        <f t="shared" si="75"/>
        <v>0</v>
      </c>
      <c r="S89" s="165">
        <f t="shared" si="76"/>
        <v>0</v>
      </c>
      <c r="T89" s="165">
        <f t="shared" si="77"/>
        <v>0</v>
      </c>
      <c r="U89" s="166">
        <f t="shared" si="78"/>
        <v>0</v>
      </c>
      <c r="V89" s="153" t="str">
        <f t="shared" si="79"/>
        <v/>
      </c>
      <c r="W89" s="153" t="str">
        <f t="shared" si="80"/>
        <v/>
      </c>
      <c r="X89" s="244"/>
      <c r="Y89" s="154">
        <f t="shared" si="81"/>
        <v>0</v>
      </c>
      <c r="Z89" s="154" t="str">
        <f t="shared" si="7"/>
        <v>1000</v>
      </c>
      <c r="AA89" s="153" t="str">
        <f t="shared" si="82"/>
        <v/>
      </c>
      <c r="AD89" s="155" t="str">
        <f t="shared" si="83"/>
        <v/>
      </c>
      <c r="AI89" s="155">
        <f t="array" ref="AI89">MATCH(MIN(IF($AK$501:$AK$525&gt;=IF(G89&gt;1499,E89+7,E89+5), $AK$501:$AK$525)), $AK$501:$AK$525, 0)</f>
        <v>5</v>
      </c>
      <c r="AK89" s="233"/>
      <c r="AL89" s="233"/>
      <c r="AM89" s="155" t="str">
        <f t="shared" si="84"/>
        <v/>
      </c>
      <c r="AN89" s="155" t="str">
        <f t="shared" si="85"/>
        <v/>
      </c>
      <c r="AX89" s="155" t="str">
        <f t="shared" si="86"/>
        <v/>
      </c>
    </row>
    <row r="90" spans="1:50" s="155" customFormat="1" ht="30" hidden="1" customHeight="1">
      <c r="A90" s="141" t="str">
        <f t="shared" si="71"/>
        <v/>
      </c>
      <c r="B90" s="141" t="str">
        <f t="shared" si="72"/>
        <v/>
      </c>
      <c r="C90" s="157" t="str">
        <f>IF(D90="","",
    IF(ISERR(SEARCH("_",D90)),
        IFERROR(_xlfn.AGGREGATE(14,6,$C$12:C89,1),0)+1,
        IFERROR(
            VALUE(TRIM(MID(SUBSTITUTE(D90,"_",REPT(" ",LEN(D90))), (LEN(D90)-LEN(SUBSTITUTE(D90,"_",""))-1)*LEN(D90)+1, LEN(D90))))
            &amp; "." &amp;
            VALUE(TRIM(RIGHT(SUBSTITUTE(D90,"_",REPT(" ",LEN(D90))),LEN(D90)))),
            "")))</f>
        <v/>
      </c>
      <c r="D90" s="194"/>
      <c r="E90" s="163"/>
      <c r="F90" s="163"/>
      <c r="G90" s="163"/>
      <c r="H90" s="163"/>
      <c r="I90" s="194"/>
      <c r="J90" s="257"/>
      <c r="K90" s="159"/>
      <c r="L90" s="160"/>
      <c r="M90" s="159"/>
      <c r="N90" s="159"/>
      <c r="O90" s="161"/>
      <c r="P90" s="162" t="str">
        <f t="shared" si="73"/>
        <v/>
      </c>
      <c r="Q90" s="163" t="str">
        <f t="shared" si="74"/>
        <v/>
      </c>
      <c r="R90" s="164">
        <f t="shared" si="75"/>
        <v>0</v>
      </c>
      <c r="S90" s="165">
        <f t="shared" si="76"/>
        <v>0</v>
      </c>
      <c r="T90" s="165">
        <f t="shared" si="77"/>
        <v>0</v>
      </c>
      <c r="U90" s="166">
        <f t="shared" si="78"/>
        <v>0</v>
      </c>
      <c r="V90" s="153" t="str">
        <f t="shared" si="79"/>
        <v/>
      </c>
      <c r="W90" s="153" t="str">
        <f t="shared" si="80"/>
        <v/>
      </c>
      <c r="X90" s="244"/>
      <c r="Y90" s="154">
        <f t="shared" si="81"/>
        <v>0</v>
      </c>
      <c r="Z90" s="154" t="str">
        <f t="shared" si="7"/>
        <v>1000</v>
      </c>
      <c r="AA90" s="153" t="str">
        <f t="shared" si="82"/>
        <v/>
      </c>
      <c r="AD90" s="155" t="str">
        <f t="shared" si="83"/>
        <v/>
      </c>
      <c r="AI90" s="155">
        <f t="array" ref="AI90">MATCH(MIN(IF($AK$501:$AK$525&gt;=IF(G90&gt;1499,E90+7,E90+5), $AK$501:$AK$525)), $AK$501:$AK$525, 0)</f>
        <v>5</v>
      </c>
      <c r="AK90" s="233"/>
      <c r="AL90" s="233"/>
      <c r="AM90" s="155" t="str">
        <f t="shared" si="84"/>
        <v/>
      </c>
      <c r="AN90" s="155" t="str">
        <f t="shared" si="85"/>
        <v/>
      </c>
      <c r="AX90" s="155" t="str">
        <f t="shared" si="86"/>
        <v/>
      </c>
    </row>
    <row r="91" spans="1:50" s="155" customFormat="1" ht="30" hidden="1" customHeight="1">
      <c r="A91" s="141" t="str">
        <f t="shared" si="71"/>
        <v/>
      </c>
      <c r="B91" s="141" t="str">
        <f t="shared" si="72"/>
        <v/>
      </c>
      <c r="C91" s="157" t="str">
        <f>IF(D91="","",
    IF(ISERR(SEARCH("_",D91)),
        IFERROR(_xlfn.AGGREGATE(14,6,$C$12:C90,1),0)+1,
        IFERROR(
            VALUE(TRIM(MID(SUBSTITUTE(D91,"_",REPT(" ",LEN(D91))), (LEN(D91)-LEN(SUBSTITUTE(D91,"_",""))-1)*LEN(D91)+1, LEN(D91))))
            &amp; "." &amp;
            VALUE(TRIM(RIGHT(SUBSTITUTE(D91,"_",REPT(" ",LEN(D91))),LEN(D91)))),
            "")))</f>
        <v/>
      </c>
      <c r="D91" s="194"/>
      <c r="E91" s="163"/>
      <c r="F91" s="163"/>
      <c r="G91" s="163"/>
      <c r="H91" s="163"/>
      <c r="I91" s="194"/>
      <c r="J91" s="257"/>
      <c r="K91" s="159"/>
      <c r="L91" s="160"/>
      <c r="M91" s="159"/>
      <c r="N91" s="159"/>
      <c r="O91" s="161"/>
      <c r="P91" s="162" t="str">
        <f t="shared" si="73"/>
        <v/>
      </c>
      <c r="Q91" s="163" t="str">
        <f t="shared" si="74"/>
        <v/>
      </c>
      <c r="R91" s="164">
        <f t="shared" si="75"/>
        <v>0</v>
      </c>
      <c r="S91" s="165">
        <f t="shared" si="76"/>
        <v>0</v>
      </c>
      <c r="T91" s="165">
        <f t="shared" si="77"/>
        <v>0</v>
      </c>
      <c r="U91" s="166">
        <f t="shared" si="78"/>
        <v>0</v>
      </c>
      <c r="V91" s="153" t="str">
        <f t="shared" si="79"/>
        <v/>
      </c>
      <c r="W91" s="153" t="str">
        <f t="shared" si="80"/>
        <v/>
      </c>
      <c r="X91" s="244"/>
      <c r="Y91" s="154">
        <f t="shared" si="81"/>
        <v>0</v>
      </c>
      <c r="Z91" s="154" t="str">
        <f t="shared" si="7"/>
        <v>1000</v>
      </c>
      <c r="AA91" s="153" t="str">
        <f t="shared" si="82"/>
        <v/>
      </c>
      <c r="AD91" s="155" t="str">
        <f t="shared" si="83"/>
        <v/>
      </c>
      <c r="AI91" s="155">
        <f t="array" ref="AI91">MATCH(MIN(IF($AK$501:$AK$525&gt;=IF(G91&gt;1499,E91+7,E91+5), $AK$501:$AK$525)), $AK$501:$AK$525, 0)</f>
        <v>5</v>
      </c>
      <c r="AK91" s="233"/>
      <c r="AL91" s="233"/>
      <c r="AM91" s="155" t="str">
        <f t="shared" si="84"/>
        <v/>
      </c>
      <c r="AN91" s="155" t="str">
        <f t="shared" si="85"/>
        <v/>
      </c>
      <c r="AX91" s="155" t="str">
        <f t="shared" si="86"/>
        <v/>
      </c>
    </row>
    <row r="92" spans="1:50" s="155" customFormat="1" ht="30" hidden="1" customHeight="1">
      <c r="A92" s="141" t="str">
        <f t="shared" si="71"/>
        <v/>
      </c>
      <c r="B92" s="141" t="str">
        <f t="shared" si="72"/>
        <v/>
      </c>
      <c r="C92" s="157" t="str">
        <f>IF(D92="","",
    IF(ISERR(SEARCH("_",D92)),
        IFERROR(_xlfn.AGGREGATE(14,6,$C$12:C91,1),0)+1,
        IFERROR(
            VALUE(TRIM(MID(SUBSTITUTE(D92,"_",REPT(" ",LEN(D92))), (LEN(D92)-LEN(SUBSTITUTE(D92,"_",""))-1)*LEN(D92)+1, LEN(D92))))
            &amp; "." &amp;
            VALUE(TRIM(RIGHT(SUBSTITUTE(D92,"_",REPT(" ",LEN(D92))),LEN(D92)))),
            "")))</f>
        <v/>
      </c>
      <c r="D92" s="194"/>
      <c r="E92" s="163"/>
      <c r="F92" s="163"/>
      <c r="G92" s="163"/>
      <c r="H92" s="163"/>
      <c r="I92" s="194"/>
      <c r="J92" s="257"/>
      <c r="K92" s="159"/>
      <c r="L92" s="160"/>
      <c r="M92" s="159"/>
      <c r="N92" s="159"/>
      <c r="O92" s="161"/>
      <c r="P92" s="162" t="str">
        <f t="shared" si="73"/>
        <v/>
      </c>
      <c r="Q92" s="163" t="str">
        <f t="shared" si="74"/>
        <v/>
      </c>
      <c r="R92" s="164">
        <f t="shared" si="75"/>
        <v>0</v>
      </c>
      <c r="S92" s="165">
        <f t="shared" si="76"/>
        <v>0</v>
      </c>
      <c r="T92" s="165">
        <f t="shared" si="77"/>
        <v>0</v>
      </c>
      <c r="U92" s="166">
        <f t="shared" si="78"/>
        <v>0</v>
      </c>
      <c r="V92" s="153" t="str">
        <f t="shared" si="79"/>
        <v/>
      </c>
      <c r="W92" s="153" t="str">
        <f t="shared" si="80"/>
        <v/>
      </c>
      <c r="X92" s="244"/>
      <c r="Y92" s="154">
        <f t="shared" si="81"/>
        <v>0</v>
      </c>
      <c r="Z92" s="154" t="str">
        <f t="shared" si="7"/>
        <v>1000</v>
      </c>
      <c r="AA92" s="153" t="str">
        <f t="shared" si="82"/>
        <v/>
      </c>
      <c r="AD92" s="155" t="str">
        <f t="shared" si="83"/>
        <v/>
      </c>
      <c r="AI92" s="155">
        <f t="array" ref="AI92">MATCH(MIN(IF($AK$501:$AK$525&gt;=IF(G92&gt;1499,E92+7,E92+5), $AK$501:$AK$525)), $AK$501:$AK$525, 0)</f>
        <v>5</v>
      </c>
      <c r="AK92" s="233"/>
      <c r="AL92" s="233"/>
      <c r="AM92" s="155" t="str">
        <f t="shared" si="84"/>
        <v/>
      </c>
      <c r="AN92" s="155" t="str">
        <f t="shared" si="85"/>
        <v/>
      </c>
      <c r="AX92" s="155" t="str">
        <f t="shared" si="86"/>
        <v/>
      </c>
    </row>
    <row r="93" spans="1:50" s="155" customFormat="1" ht="30" hidden="1" customHeight="1">
      <c r="A93" s="141" t="str">
        <f t="shared" si="71"/>
        <v/>
      </c>
      <c r="B93" s="141" t="str">
        <f t="shared" si="72"/>
        <v/>
      </c>
      <c r="C93" s="157" t="str">
        <f>IF(D93="","",
    IF(ISERR(SEARCH("_",D93)),
        IFERROR(_xlfn.AGGREGATE(14,6,$C$12:C92,1),0)+1,
        IFERROR(
            VALUE(TRIM(MID(SUBSTITUTE(D93,"_",REPT(" ",LEN(D93))), (LEN(D93)-LEN(SUBSTITUTE(D93,"_",""))-1)*LEN(D93)+1, LEN(D93))))
            &amp; "." &amp;
            VALUE(TRIM(RIGHT(SUBSTITUTE(D93,"_",REPT(" ",LEN(D93))),LEN(D93)))),
            "")))</f>
        <v/>
      </c>
      <c r="D93" s="194"/>
      <c r="E93" s="163"/>
      <c r="F93" s="163"/>
      <c r="G93" s="163"/>
      <c r="H93" s="163"/>
      <c r="I93" s="194"/>
      <c r="J93" s="257"/>
      <c r="K93" s="159"/>
      <c r="L93" s="160"/>
      <c r="M93" s="159"/>
      <c r="N93" s="159"/>
      <c r="O93" s="161"/>
      <c r="P93" s="162" t="str">
        <f t="shared" si="73"/>
        <v/>
      </c>
      <c r="Q93" s="163" t="str">
        <f t="shared" si="74"/>
        <v/>
      </c>
      <c r="R93" s="164">
        <f t="shared" si="75"/>
        <v>0</v>
      </c>
      <c r="S93" s="165">
        <f t="shared" si="76"/>
        <v>0</v>
      </c>
      <c r="T93" s="165">
        <f t="shared" si="77"/>
        <v>0</v>
      </c>
      <c r="U93" s="166">
        <f t="shared" si="78"/>
        <v>0</v>
      </c>
      <c r="V93" s="153" t="str">
        <f t="shared" si="79"/>
        <v/>
      </c>
      <c r="W93" s="153" t="str">
        <f t="shared" si="80"/>
        <v/>
      </c>
      <c r="X93" s="244"/>
      <c r="Y93" s="154">
        <f t="shared" si="81"/>
        <v>0</v>
      </c>
      <c r="Z93" s="154" t="str">
        <f t="shared" si="7"/>
        <v>1000</v>
      </c>
      <c r="AA93" s="153" t="str">
        <f t="shared" si="82"/>
        <v/>
      </c>
      <c r="AD93" s="155" t="str">
        <f t="shared" si="83"/>
        <v/>
      </c>
      <c r="AI93" s="155">
        <f t="array" ref="AI93">MATCH(MIN(IF($AK$501:$AK$525&gt;=IF(G93&gt;1499,E93+7,E93+5), $AK$501:$AK$525)), $AK$501:$AK$525, 0)</f>
        <v>5</v>
      </c>
      <c r="AK93" s="233"/>
      <c r="AL93" s="233"/>
      <c r="AM93" s="155" t="str">
        <f t="shared" si="84"/>
        <v/>
      </c>
      <c r="AN93" s="155" t="str">
        <f t="shared" si="85"/>
        <v/>
      </c>
      <c r="AX93" s="155" t="str">
        <f t="shared" si="86"/>
        <v/>
      </c>
    </row>
    <row r="94" spans="1:50" s="155" customFormat="1" ht="30" hidden="1" customHeight="1">
      <c r="A94" s="141" t="str">
        <f t="shared" si="71"/>
        <v/>
      </c>
      <c r="B94" s="141" t="str">
        <f t="shared" si="72"/>
        <v/>
      </c>
      <c r="C94" s="157" t="str">
        <f>IF(D94="","",
    IF(ISERR(SEARCH("_",D94)),
        IFERROR(_xlfn.AGGREGATE(14,6,$C$12:C93,1),0)+1,
        IFERROR(
            VALUE(TRIM(MID(SUBSTITUTE(D94,"_",REPT(" ",LEN(D94))), (LEN(D94)-LEN(SUBSTITUTE(D94,"_",""))-1)*LEN(D94)+1, LEN(D94))))
            &amp; "." &amp;
            VALUE(TRIM(RIGHT(SUBSTITUTE(D94,"_",REPT(" ",LEN(D94))),LEN(D94)))),
            "")))</f>
        <v/>
      </c>
      <c r="D94" s="194"/>
      <c r="E94" s="163"/>
      <c r="F94" s="163"/>
      <c r="G94" s="163"/>
      <c r="H94" s="163"/>
      <c r="I94" s="194"/>
      <c r="J94" s="257"/>
      <c r="K94" s="159"/>
      <c r="L94" s="160"/>
      <c r="M94" s="159"/>
      <c r="N94" s="159"/>
      <c r="O94" s="161"/>
      <c r="P94" s="162" t="str">
        <f t="shared" si="73"/>
        <v/>
      </c>
      <c r="Q94" s="163" t="str">
        <f t="shared" si="74"/>
        <v/>
      </c>
      <c r="R94" s="164">
        <f t="shared" si="75"/>
        <v>0</v>
      </c>
      <c r="S94" s="165">
        <f t="shared" si="76"/>
        <v>0</v>
      </c>
      <c r="T94" s="165">
        <f t="shared" si="77"/>
        <v>0</v>
      </c>
      <c r="U94" s="166">
        <f t="shared" si="78"/>
        <v>0</v>
      </c>
      <c r="V94" s="153" t="str">
        <f t="shared" si="79"/>
        <v/>
      </c>
      <c r="W94" s="153" t="str">
        <f t="shared" si="80"/>
        <v/>
      </c>
      <c r="X94" s="244"/>
      <c r="Y94" s="154">
        <f t="shared" si="81"/>
        <v>0</v>
      </c>
      <c r="Z94" s="154" t="str">
        <f t="shared" si="7"/>
        <v>1000</v>
      </c>
      <c r="AA94" s="153" t="str">
        <f t="shared" si="82"/>
        <v/>
      </c>
      <c r="AD94" s="155" t="str">
        <f t="shared" si="83"/>
        <v/>
      </c>
      <c r="AI94" s="155">
        <f t="array" ref="AI94">MATCH(MIN(IF($AK$501:$AK$525&gt;=IF(G94&gt;1499,E94+7,E94+5), $AK$501:$AK$525)), $AK$501:$AK$525, 0)</f>
        <v>5</v>
      </c>
      <c r="AK94" s="233"/>
      <c r="AL94" s="233"/>
      <c r="AM94" s="155" t="str">
        <f t="shared" si="84"/>
        <v/>
      </c>
      <c r="AN94" s="155" t="str">
        <f t="shared" si="85"/>
        <v/>
      </c>
      <c r="AX94" s="155" t="str">
        <f t="shared" si="86"/>
        <v/>
      </c>
    </row>
    <row r="95" spans="1:50" s="155" customFormat="1" ht="30" hidden="1" customHeight="1">
      <c r="A95" s="141" t="str">
        <f t="shared" si="71"/>
        <v/>
      </c>
      <c r="B95" s="141" t="str">
        <f t="shared" si="72"/>
        <v/>
      </c>
      <c r="C95" s="157" t="str">
        <f>IF(D95="","",
    IF(ISERR(SEARCH("_",D95)),
        IFERROR(_xlfn.AGGREGATE(14,6,$C$12:C94,1),0)+1,
        IFERROR(
            VALUE(TRIM(MID(SUBSTITUTE(D95,"_",REPT(" ",LEN(D95))), (LEN(D95)-LEN(SUBSTITUTE(D95,"_",""))-1)*LEN(D95)+1, LEN(D95))))
            &amp; "." &amp;
            VALUE(TRIM(RIGHT(SUBSTITUTE(D95,"_",REPT(" ",LEN(D95))),LEN(D95)))),
            "")))</f>
        <v/>
      </c>
      <c r="D95" s="194"/>
      <c r="E95" s="163"/>
      <c r="F95" s="163"/>
      <c r="G95" s="163"/>
      <c r="H95" s="163"/>
      <c r="I95" s="194"/>
      <c r="J95" s="257"/>
      <c r="K95" s="159"/>
      <c r="L95" s="160"/>
      <c r="M95" s="159"/>
      <c r="N95" s="159"/>
      <c r="O95" s="161"/>
      <c r="P95" s="162" t="str">
        <f t="shared" si="73"/>
        <v/>
      </c>
      <c r="Q95" s="163" t="str">
        <f t="shared" si="74"/>
        <v/>
      </c>
      <c r="R95" s="164">
        <f t="shared" si="75"/>
        <v>0</v>
      </c>
      <c r="S95" s="165">
        <f t="shared" si="76"/>
        <v>0</v>
      </c>
      <c r="T95" s="165">
        <f t="shared" si="77"/>
        <v>0</v>
      </c>
      <c r="U95" s="166">
        <f t="shared" si="78"/>
        <v>0</v>
      </c>
      <c r="V95" s="153" t="str">
        <f t="shared" si="79"/>
        <v/>
      </c>
      <c r="W95" s="153" t="str">
        <f t="shared" si="80"/>
        <v/>
      </c>
      <c r="X95" s="244"/>
      <c r="Y95" s="154">
        <f t="shared" si="81"/>
        <v>0</v>
      </c>
      <c r="Z95" s="154" t="str">
        <f t="shared" si="7"/>
        <v>1000</v>
      </c>
      <c r="AA95" s="153" t="str">
        <f t="shared" si="82"/>
        <v/>
      </c>
      <c r="AD95" s="155" t="str">
        <f t="shared" si="83"/>
        <v/>
      </c>
      <c r="AI95" s="155">
        <f t="array" ref="AI95">MATCH(MIN(IF($AK$501:$AK$525&gt;=IF(G95&gt;1499,E95+7,E95+5), $AK$501:$AK$525)), $AK$501:$AK$525, 0)</f>
        <v>5</v>
      </c>
      <c r="AK95" s="233"/>
      <c r="AL95" s="233"/>
      <c r="AM95" s="155" t="str">
        <f t="shared" si="84"/>
        <v/>
      </c>
      <c r="AN95" s="155" t="str">
        <f t="shared" si="85"/>
        <v/>
      </c>
      <c r="AX95" s="155" t="str">
        <f t="shared" si="86"/>
        <v/>
      </c>
    </row>
    <row r="96" spans="1:50" s="155" customFormat="1" ht="30" hidden="1" customHeight="1">
      <c r="A96" s="141" t="str">
        <f t="shared" si="71"/>
        <v/>
      </c>
      <c r="B96" s="141" t="str">
        <f t="shared" si="72"/>
        <v/>
      </c>
      <c r="C96" s="157" t="str">
        <f>IF(D96="","",
    IF(ISERR(SEARCH("_",D96)),
        IFERROR(_xlfn.AGGREGATE(14,6,$C$12:C95,1),0)+1,
        IFERROR(
            VALUE(TRIM(MID(SUBSTITUTE(D96,"_",REPT(" ",LEN(D96))), (LEN(D96)-LEN(SUBSTITUTE(D96,"_",""))-1)*LEN(D96)+1, LEN(D96))))
            &amp; "." &amp;
            VALUE(TRIM(RIGHT(SUBSTITUTE(D96,"_",REPT(" ",LEN(D96))),LEN(D96)))),
            "")))</f>
        <v/>
      </c>
      <c r="D96" s="194"/>
      <c r="E96" s="163"/>
      <c r="F96" s="163"/>
      <c r="G96" s="163"/>
      <c r="H96" s="163"/>
      <c r="I96" s="194"/>
      <c r="J96" s="257"/>
      <c r="K96" s="159"/>
      <c r="L96" s="160"/>
      <c r="M96" s="159"/>
      <c r="N96" s="159"/>
      <c r="O96" s="161"/>
      <c r="P96" s="162" t="str">
        <f t="shared" si="73"/>
        <v/>
      </c>
      <c r="Q96" s="163" t="str">
        <f t="shared" si="74"/>
        <v/>
      </c>
      <c r="R96" s="164">
        <f t="shared" si="75"/>
        <v>0</v>
      </c>
      <c r="S96" s="165">
        <f t="shared" si="76"/>
        <v>0</v>
      </c>
      <c r="T96" s="165">
        <f t="shared" si="77"/>
        <v>0</v>
      </c>
      <c r="U96" s="166">
        <f t="shared" si="78"/>
        <v>0</v>
      </c>
      <c r="V96" s="153" t="str">
        <f t="shared" si="79"/>
        <v/>
      </c>
      <c r="W96" s="153" t="str">
        <f t="shared" si="80"/>
        <v/>
      </c>
      <c r="X96" s="244"/>
      <c r="Y96" s="154">
        <f t="shared" si="81"/>
        <v>0</v>
      </c>
      <c r="Z96" s="154" t="str">
        <f t="shared" si="7"/>
        <v>1000</v>
      </c>
      <c r="AA96" s="153" t="str">
        <f t="shared" si="82"/>
        <v/>
      </c>
      <c r="AD96" s="155" t="str">
        <f t="shared" si="83"/>
        <v/>
      </c>
      <c r="AI96" s="155">
        <f t="array" ref="AI96">MATCH(MIN(IF($AK$501:$AK$525&gt;=IF(G96&gt;1499,E96+7,E96+5), $AK$501:$AK$525)), $AK$501:$AK$525, 0)</f>
        <v>5</v>
      </c>
      <c r="AK96" s="233"/>
      <c r="AL96" s="233"/>
      <c r="AM96" s="155" t="str">
        <f t="shared" si="84"/>
        <v/>
      </c>
      <c r="AN96" s="155" t="str">
        <f t="shared" si="85"/>
        <v/>
      </c>
      <c r="AX96" s="155" t="str">
        <f t="shared" si="86"/>
        <v/>
      </c>
    </row>
    <row r="97" spans="1:50" s="155" customFormat="1" ht="30" hidden="1" customHeight="1">
      <c r="A97" s="141" t="str">
        <f t="shared" si="71"/>
        <v/>
      </c>
      <c r="B97" s="141" t="str">
        <f t="shared" si="72"/>
        <v/>
      </c>
      <c r="C97" s="157" t="str">
        <f>IF(D97="","",
    IF(ISERR(SEARCH("_",D97)),
        IFERROR(_xlfn.AGGREGATE(14,6,$C$12:C96,1),0)+1,
        IFERROR(
            VALUE(TRIM(MID(SUBSTITUTE(D97,"_",REPT(" ",LEN(D97))), (LEN(D97)-LEN(SUBSTITUTE(D97,"_",""))-1)*LEN(D97)+1, LEN(D97))))
            &amp; "." &amp;
            VALUE(TRIM(RIGHT(SUBSTITUTE(D97,"_",REPT(" ",LEN(D97))),LEN(D97)))),
            "")))</f>
        <v/>
      </c>
      <c r="D97" s="194"/>
      <c r="E97" s="163"/>
      <c r="F97" s="163"/>
      <c r="G97" s="163"/>
      <c r="H97" s="163"/>
      <c r="I97" s="194"/>
      <c r="J97" s="257"/>
      <c r="K97" s="159"/>
      <c r="L97" s="160"/>
      <c r="M97" s="159"/>
      <c r="N97" s="159"/>
      <c r="O97" s="161"/>
      <c r="P97" s="162" t="str">
        <f t="shared" si="73"/>
        <v/>
      </c>
      <c r="Q97" s="163" t="str">
        <f t="shared" si="74"/>
        <v/>
      </c>
      <c r="R97" s="164">
        <f t="shared" si="75"/>
        <v>0</v>
      </c>
      <c r="S97" s="165">
        <f t="shared" si="76"/>
        <v>0</v>
      </c>
      <c r="T97" s="165">
        <f t="shared" si="77"/>
        <v>0</v>
      </c>
      <c r="U97" s="166">
        <f t="shared" si="78"/>
        <v>0</v>
      </c>
      <c r="V97" s="153" t="str">
        <f t="shared" si="79"/>
        <v/>
      </c>
      <c r="W97" s="153" t="str">
        <f t="shared" si="80"/>
        <v/>
      </c>
      <c r="X97" s="244"/>
      <c r="Y97" s="154">
        <f t="shared" si="81"/>
        <v>0</v>
      </c>
      <c r="Z97" s="154" t="str">
        <f t="shared" si="7"/>
        <v>1000</v>
      </c>
      <c r="AA97" s="153" t="str">
        <f t="shared" si="82"/>
        <v/>
      </c>
      <c r="AD97" s="155" t="str">
        <f t="shared" si="83"/>
        <v/>
      </c>
      <c r="AI97" s="155">
        <f t="array" ref="AI97">MATCH(MIN(IF($AK$501:$AK$525&gt;=IF(G97&gt;1499,E97+7,E97+5), $AK$501:$AK$525)), $AK$501:$AK$525, 0)</f>
        <v>5</v>
      </c>
      <c r="AK97" s="233"/>
      <c r="AL97" s="233"/>
      <c r="AM97" s="155" t="str">
        <f t="shared" si="84"/>
        <v/>
      </c>
      <c r="AN97" s="155" t="str">
        <f t="shared" si="85"/>
        <v/>
      </c>
      <c r="AX97" s="155" t="str">
        <f t="shared" si="86"/>
        <v/>
      </c>
    </row>
    <row r="98" spans="1:50" s="155" customFormat="1" ht="30" hidden="1" customHeight="1">
      <c r="A98" s="141" t="str">
        <f t="shared" si="71"/>
        <v/>
      </c>
      <c r="B98" s="141" t="str">
        <f t="shared" si="72"/>
        <v/>
      </c>
      <c r="C98" s="157" t="str">
        <f>IF(D98="","",
    IF(ISERR(SEARCH("_",D98)),
        IFERROR(_xlfn.AGGREGATE(14,6,$C$12:C97,1),0)+1,
        IFERROR(
            VALUE(TRIM(MID(SUBSTITUTE(D98,"_",REPT(" ",LEN(D98))), (LEN(D98)-LEN(SUBSTITUTE(D98,"_",""))-1)*LEN(D98)+1, LEN(D98))))
            &amp; "." &amp;
            VALUE(TRIM(RIGHT(SUBSTITUTE(D98,"_",REPT(" ",LEN(D98))),LEN(D98)))),
            "")))</f>
        <v/>
      </c>
      <c r="D98" s="194"/>
      <c r="E98" s="163"/>
      <c r="F98" s="163"/>
      <c r="G98" s="163"/>
      <c r="H98" s="163"/>
      <c r="I98" s="194"/>
      <c r="J98" s="257"/>
      <c r="K98" s="159"/>
      <c r="L98" s="160"/>
      <c r="M98" s="159"/>
      <c r="N98" s="159"/>
      <c r="O98" s="161"/>
      <c r="P98" s="162" t="str">
        <f t="shared" si="73"/>
        <v/>
      </c>
      <c r="Q98" s="163" t="str">
        <f t="shared" si="74"/>
        <v/>
      </c>
      <c r="R98" s="164">
        <f t="shared" si="75"/>
        <v>0</v>
      </c>
      <c r="S98" s="165">
        <f t="shared" si="76"/>
        <v>0</v>
      </c>
      <c r="T98" s="165">
        <f t="shared" si="77"/>
        <v>0</v>
      </c>
      <c r="U98" s="166">
        <f t="shared" si="78"/>
        <v>0</v>
      </c>
      <c r="V98" s="153" t="str">
        <f t="shared" si="79"/>
        <v/>
      </c>
      <c r="W98" s="153" t="str">
        <f t="shared" si="80"/>
        <v/>
      </c>
      <c r="X98" s="244"/>
      <c r="Y98" s="154">
        <f t="shared" si="81"/>
        <v>0</v>
      </c>
      <c r="Z98" s="154" t="str">
        <f t="shared" si="7"/>
        <v>1000</v>
      </c>
      <c r="AA98" s="153" t="str">
        <f t="shared" si="82"/>
        <v/>
      </c>
      <c r="AD98" s="155" t="str">
        <f t="shared" si="83"/>
        <v/>
      </c>
      <c r="AI98" s="155">
        <f t="array" ref="AI98">MATCH(MIN(IF($AK$501:$AK$525&gt;=IF(G98&gt;1499,E98+7,E98+5), $AK$501:$AK$525)), $AK$501:$AK$525, 0)</f>
        <v>5</v>
      </c>
      <c r="AK98" s="233"/>
      <c r="AL98" s="233"/>
      <c r="AM98" s="155" t="str">
        <f t="shared" si="84"/>
        <v/>
      </c>
      <c r="AN98" s="155" t="str">
        <f t="shared" si="85"/>
        <v/>
      </c>
      <c r="AX98" s="155" t="str">
        <f t="shared" si="86"/>
        <v/>
      </c>
    </row>
    <row r="99" spans="1:50" s="155" customFormat="1" ht="30" hidden="1" customHeight="1">
      <c r="A99" s="141" t="str">
        <f t="shared" si="71"/>
        <v/>
      </c>
      <c r="B99" s="141" t="str">
        <f t="shared" si="72"/>
        <v/>
      </c>
      <c r="C99" s="157" t="str">
        <f>IF(D99="","",
    IF(ISERR(SEARCH("_",D99)),
        IFERROR(_xlfn.AGGREGATE(14,6,$C$12:C98,1),0)+1,
        IFERROR(
            VALUE(TRIM(MID(SUBSTITUTE(D99,"_",REPT(" ",LEN(D99))), (LEN(D99)-LEN(SUBSTITUTE(D99,"_",""))-1)*LEN(D99)+1, LEN(D99))))
            &amp; "." &amp;
            VALUE(TRIM(RIGHT(SUBSTITUTE(D99,"_",REPT(" ",LEN(D99))),LEN(D99)))),
            "")))</f>
        <v/>
      </c>
      <c r="D99" s="194"/>
      <c r="E99" s="163"/>
      <c r="F99" s="163"/>
      <c r="G99" s="163"/>
      <c r="H99" s="163"/>
      <c r="I99" s="194"/>
      <c r="J99" s="257"/>
      <c r="K99" s="159"/>
      <c r="L99" s="160"/>
      <c r="M99" s="159"/>
      <c r="N99" s="159"/>
      <c r="O99" s="161"/>
      <c r="P99" s="162" t="str">
        <f t="shared" si="73"/>
        <v/>
      </c>
      <c r="Q99" s="163" t="str">
        <f t="shared" si="74"/>
        <v/>
      </c>
      <c r="R99" s="164">
        <f t="shared" si="75"/>
        <v>0</v>
      </c>
      <c r="S99" s="165">
        <f t="shared" si="76"/>
        <v>0</v>
      </c>
      <c r="T99" s="165">
        <f t="shared" si="77"/>
        <v>0</v>
      </c>
      <c r="U99" s="166">
        <f t="shared" si="78"/>
        <v>0</v>
      </c>
      <c r="V99" s="153" t="str">
        <f t="shared" si="79"/>
        <v/>
      </c>
      <c r="W99" s="153" t="str">
        <f t="shared" si="80"/>
        <v/>
      </c>
      <c r="X99" s="244"/>
      <c r="Y99" s="154">
        <f t="shared" si="81"/>
        <v>0</v>
      </c>
      <c r="Z99" s="154" t="str">
        <f t="shared" si="7"/>
        <v>1000</v>
      </c>
      <c r="AA99" s="153" t="str">
        <f t="shared" si="82"/>
        <v/>
      </c>
      <c r="AD99" s="155" t="str">
        <f t="shared" si="83"/>
        <v/>
      </c>
      <c r="AI99" s="155">
        <f t="array" ref="AI99">MATCH(MIN(IF($AK$501:$AK$525&gt;=IF(G99&gt;1499,E99+7,E99+5), $AK$501:$AK$525)), $AK$501:$AK$525, 0)</f>
        <v>5</v>
      </c>
      <c r="AK99" s="233"/>
      <c r="AL99" s="233"/>
      <c r="AM99" s="155" t="str">
        <f t="shared" si="84"/>
        <v/>
      </c>
      <c r="AN99" s="155" t="str">
        <f t="shared" si="85"/>
        <v/>
      </c>
      <c r="AX99" s="155" t="str">
        <f t="shared" si="86"/>
        <v/>
      </c>
    </row>
    <row r="100" spans="1:50" s="155" customFormat="1" ht="30" hidden="1" customHeight="1">
      <c r="A100" s="141" t="str">
        <f t="shared" si="71"/>
        <v/>
      </c>
      <c r="B100" s="141" t="str">
        <f t="shared" si="72"/>
        <v/>
      </c>
      <c r="C100" s="157" t="str">
        <f>IF(D100="","",
    IF(ISERR(SEARCH("_",D100)),
        IFERROR(_xlfn.AGGREGATE(14,6,$C$12:C99,1),0)+1,
        IFERROR(
            VALUE(TRIM(MID(SUBSTITUTE(D100,"_",REPT(" ",LEN(D100))), (LEN(D100)-LEN(SUBSTITUTE(D100,"_",""))-1)*LEN(D100)+1, LEN(D100))))
            &amp; "." &amp;
            VALUE(TRIM(RIGHT(SUBSTITUTE(D100,"_",REPT(" ",LEN(D100))),LEN(D100)))),
            "")))</f>
        <v/>
      </c>
      <c r="D100" s="194"/>
      <c r="E100" s="163"/>
      <c r="F100" s="163"/>
      <c r="G100" s="163"/>
      <c r="H100" s="163"/>
      <c r="I100" s="194"/>
      <c r="J100" s="257"/>
      <c r="K100" s="159"/>
      <c r="L100" s="160"/>
      <c r="M100" s="159"/>
      <c r="N100" s="159"/>
      <c r="O100" s="161"/>
      <c r="P100" s="162" t="str">
        <f t="shared" si="73"/>
        <v/>
      </c>
      <c r="Q100" s="163" t="str">
        <f t="shared" si="74"/>
        <v/>
      </c>
      <c r="R100" s="164">
        <f t="shared" si="75"/>
        <v>0</v>
      </c>
      <c r="S100" s="165">
        <f t="shared" si="76"/>
        <v>0</v>
      </c>
      <c r="T100" s="165">
        <f t="shared" si="77"/>
        <v>0</v>
      </c>
      <c r="U100" s="166">
        <f t="shared" si="78"/>
        <v>0</v>
      </c>
      <c r="V100" s="153" t="str">
        <f t="shared" si="79"/>
        <v/>
      </c>
      <c r="W100" s="153" t="str">
        <f t="shared" si="80"/>
        <v/>
      </c>
      <c r="X100" s="244"/>
      <c r="Y100" s="154">
        <f t="shared" si="81"/>
        <v>0</v>
      </c>
      <c r="Z100" s="154" t="str">
        <f t="shared" si="7"/>
        <v>1000</v>
      </c>
      <c r="AA100" s="153" t="str">
        <f t="shared" si="82"/>
        <v/>
      </c>
      <c r="AD100" s="155" t="str">
        <f t="shared" si="83"/>
        <v/>
      </c>
      <c r="AI100" s="155">
        <f t="array" ref="AI100">MATCH(MIN(IF($AK$501:$AK$525&gt;=IF(G100&gt;1499,E100+7,E100+5), $AK$501:$AK$525)), $AK$501:$AK$525, 0)</f>
        <v>5</v>
      </c>
      <c r="AK100" s="233"/>
      <c r="AL100" s="233"/>
      <c r="AM100" s="155" t="str">
        <f t="shared" si="84"/>
        <v/>
      </c>
      <c r="AN100" s="155" t="str">
        <f t="shared" si="85"/>
        <v/>
      </c>
      <c r="AX100" s="155" t="str">
        <f t="shared" si="86"/>
        <v/>
      </c>
    </row>
    <row r="101" spans="1:50" s="155" customFormat="1" ht="30" hidden="1" customHeight="1">
      <c r="A101" s="141" t="str">
        <f t="shared" si="71"/>
        <v/>
      </c>
      <c r="B101" s="141" t="str">
        <f t="shared" si="72"/>
        <v/>
      </c>
      <c r="C101" s="157" t="str">
        <f>IF(D101="","",
    IF(ISERR(SEARCH("_",D101)),
        IFERROR(_xlfn.AGGREGATE(14,6,$C$12:C100,1),0)+1,
        IFERROR(
            VALUE(TRIM(MID(SUBSTITUTE(D101,"_",REPT(" ",LEN(D101))), (LEN(D101)-LEN(SUBSTITUTE(D101,"_",""))-1)*LEN(D101)+1, LEN(D101))))
            &amp; "." &amp;
            VALUE(TRIM(RIGHT(SUBSTITUTE(D101,"_",REPT(" ",LEN(D101))),LEN(D101)))),
            "")))</f>
        <v/>
      </c>
      <c r="D101" s="194"/>
      <c r="E101" s="163"/>
      <c r="F101" s="163"/>
      <c r="G101" s="163"/>
      <c r="H101" s="163"/>
      <c r="I101" s="194"/>
      <c r="J101" s="257"/>
      <c r="K101" s="159"/>
      <c r="L101" s="160"/>
      <c r="M101" s="159"/>
      <c r="N101" s="159"/>
      <c r="O101" s="161"/>
      <c r="P101" s="162" t="str">
        <f t="shared" si="73"/>
        <v/>
      </c>
      <c r="Q101" s="163" t="str">
        <f t="shared" si="74"/>
        <v/>
      </c>
      <c r="R101" s="164">
        <f t="shared" si="75"/>
        <v>0</v>
      </c>
      <c r="S101" s="165">
        <f t="shared" si="76"/>
        <v>0</v>
      </c>
      <c r="T101" s="165">
        <f t="shared" si="77"/>
        <v>0</v>
      </c>
      <c r="U101" s="166">
        <f t="shared" si="78"/>
        <v>0</v>
      </c>
      <c r="V101" s="153" t="str">
        <f t="shared" si="79"/>
        <v/>
      </c>
      <c r="W101" s="153" t="str">
        <f t="shared" si="80"/>
        <v/>
      </c>
      <c r="X101" s="244"/>
      <c r="Y101" s="154">
        <f t="shared" si="81"/>
        <v>0</v>
      </c>
      <c r="Z101" s="154" t="str">
        <f t="shared" si="7"/>
        <v>1000</v>
      </c>
      <c r="AA101" s="153" t="str">
        <f t="shared" si="82"/>
        <v/>
      </c>
      <c r="AD101" s="155" t="str">
        <f t="shared" si="83"/>
        <v/>
      </c>
      <c r="AI101" s="155">
        <f t="array" ref="AI101">MATCH(MIN(IF($AK$501:$AK$525&gt;=IF(G101&gt;1499,E101+7,E101+5), $AK$501:$AK$525)), $AK$501:$AK$525, 0)</f>
        <v>5</v>
      </c>
      <c r="AK101" s="233"/>
      <c r="AL101" s="233"/>
      <c r="AM101" s="155" t="str">
        <f t="shared" si="84"/>
        <v/>
      </c>
      <c r="AN101" s="155" t="str">
        <f t="shared" si="85"/>
        <v/>
      </c>
      <c r="AX101" s="155" t="str">
        <f t="shared" si="86"/>
        <v/>
      </c>
    </row>
    <row r="102" spans="1:50" s="155" customFormat="1" ht="30" hidden="1" customHeight="1">
      <c r="A102" s="141" t="str">
        <f t="shared" si="71"/>
        <v/>
      </c>
      <c r="B102" s="141" t="str">
        <f t="shared" si="72"/>
        <v/>
      </c>
      <c r="C102" s="157" t="str">
        <f>IF(D102="","",
    IF(ISERR(SEARCH("_",D102)),
        IFERROR(_xlfn.AGGREGATE(14,6,$C$12:C101,1),0)+1,
        IFERROR(
            VALUE(TRIM(MID(SUBSTITUTE(D102,"_",REPT(" ",LEN(D102))), (LEN(D102)-LEN(SUBSTITUTE(D102,"_",""))-1)*LEN(D102)+1, LEN(D102))))
            &amp; "." &amp;
            VALUE(TRIM(RIGHT(SUBSTITUTE(D102,"_",REPT(" ",LEN(D102))),LEN(D102)))),
            "")))</f>
        <v/>
      </c>
      <c r="D102" s="194"/>
      <c r="E102" s="163"/>
      <c r="F102" s="163"/>
      <c r="G102" s="163"/>
      <c r="H102" s="163"/>
      <c r="I102" s="194"/>
      <c r="J102" s="257"/>
      <c r="K102" s="159"/>
      <c r="L102" s="160"/>
      <c r="M102" s="159"/>
      <c r="N102" s="159"/>
      <c r="O102" s="161"/>
      <c r="P102" s="162" t="str">
        <f t="shared" si="73"/>
        <v/>
      </c>
      <c r="Q102" s="163" t="str">
        <f t="shared" si="74"/>
        <v/>
      </c>
      <c r="R102" s="164">
        <f t="shared" si="75"/>
        <v>0</v>
      </c>
      <c r="S102" s="165">
        <f t="shared" si="76"/>
        <v>0</v>
      </c>
      <c r="T102" s="165">
        <f t="shared" si="77"/>
        <v>0</v>
      </c>
      <c r="U102" s="166">
        <f t="shared" si="78"/>
        <v>0</v>
      </c>
      <c r="V102" s="153" t="str">
        <f t="shared" si="79"/>
        <v/>
      </c>
      <c r="W102" s="153" t="str">
        <f t="shared" si="80"/>
        <v/>
      </c>
      <c r="X102" s="244"/>
      <c r="Y102" s="154">
        <f t="shared" si="81"/>
        <v>0</v>
      </c>
      <c r="Z102" s="154" t="str">
        <f t="shared" si="7"/>
        <v>1000</v>
      </c>
      <c r="AA102" s="153" t="str">
        <f t="shared" si="82"/>
        <v/>
      </c>
      <c r="AD102" s="155" t="str">
        <f t="shared" si="83"/>
        <v/>
      </c>
      <c r="AI102" s="155">
        <f t="array" ref="AI102">MATCH(MIN(IF($AK$501:$AK$525&gt;=IF(G102&gt;1499,E102+7,E102+5), $AK$501:$AK$525)), $AK$501:$AK$525, 0)</f>
        <v>5</v>
      </c>
      <c r="AK102" s="233"/>
      <c r="AL102" s="233"/>
      <c r="AM102" s="155" t="str">
        <f t="shared" si="84"/>
        <v/>
      </c>
      <c r="AN102" s="155" t="str">
        <f t="shared" si="85"/>
        <v/>
      </c>
      <c r="AX102" s="155" t="str">
        <f t="shared" si="86"/>
        <v/>
      </c>
    </row>
    <row r="103" spans="1:50" s="155" customFormat="1" ht="30" hidden="1" customHeight="1">
      <c r="A103" s="141" t="str">
        <f t="shared" si="71"/>
        <v/>
      </c>
      <c r="B103" s="141" t="str">
        <f t="shared" si="72"/>
        <v/>
      </c>
      <c r="C103" s="157" t="str">
        <f>IF(D103="","",
    IF(ISERR(SEARCH("_",D103)),
        IFERROR(_xlfn.AGGREGATE(14,6,$C$12:C102,1),0)+1,
        IFERROR(
            VALUE(TRIM(MID(SUBSTITUTE(D103,"_",REPT(" ",LEN(D103))), (LEN(D103)-LEN(SUBSTITUTE(D103,"_",""))-1)*LEN(D103)+1, LEN(D103))))
            &amp; "." &amp;
            VALUE(TRIM(RIGHT(SUBSTITUTE(D103,"_",REPT(" ",LEN(D103))),LEN(D103)))),
            "")))</f>
        <v/>
      </c>
      <c r="D103" s="194"/>
      <c r="E103" s="163"/>
      <c r="F103" s="163"/>
      <c r="G103" s="163"/>
      <c r="H103" s="163"/>
      <c r="I103" s="194"/>
      <c r="J103" s="257"/>
      <c r="K103" s="159"/>
      <c r="L103" s="160"/>
      <c r="M103" s="159"/>
      <c r="N103" s="159"/>
      <c r="O103" s="161"/>
      <c r="P103" s="162" t="str">
        <f t="shared" si="73"/>
        <v/>
      </c>
      <c r="Q103" s="163" t="str">
        <f t="shared" si="74"/>
        <v/>
      </c>
      <c r="R103" s="164">
        <f t="shared" si="75"/>
        <v>0</v>
      </c>
      <c r="S103" s="165">
        <f t="shared" si="76"/>
        <v>0</v>
      </c>
      <c r="T103" s="165">
        <f t="shared" si="77"/>
        <v>0</v>
      </c>
      <c r="U103" s="166">
        <f t="shared" si="78"/>
        <v>0</v>
      </c>
      <c r="V103" s="153" t="str">
        <f t="shared" si="79"/>
        <v/>
      </c>
      <c r="W103" s="153" t="str">
        <f t="shared" si="80"/>
        <v/>
      </c>
      <c r="X103" s="244"/>
      <c r="Y103" s="154">
        <f t="shared" si="81"/>
        <v>0</v>
      </c>
      <c r="Z103" s="154" t="str">
        <f t="shared" si="7"/>
        <v>1000</v>
      </c>
      <c r="AA103" s="153" t="str">
        <f t="shared" si="82"/>
        <v/>
      </c>
      <c r="AD103" s="155" t="str">
        <f t="shared" si="83"/>
        <v/>
      </c>
      <c r="AI103" s="155">
        <f t="array" ref="AI103">MATCH(MIN(IF($AK$501:$AK$525&gt;=IF(G103&gt;1499,E103+7,E103+5), $AK$501:$AK$525)), $AK$501:$AK$525, 0)</f>
        <v>5</v>
      </c>
      <c r="AK103" s="233"/>
      <c r="AL103" s="233"/>
      <c r="AM103" s="155" t="str">
        <f t="shared" si="84"/>
        <v/>
      </c>
      <c r="AN103" s="155" t="str">
        <f t="shared" si="85"/>
        <v/>
      </c>
      <c r="AX103" s="155" t="str">
        <f t="shared" si="86"/>
        <v/>
      </c>
    </row>
    <row r="104" spans="1:50" s="155" customFormat="1" ht="30" hidden="1" customHeight="1">
      <c r="A104" s="141" t="str">
        <f t="shared" si="71"/>
        <v/>
      </c>
      <c r="B104" s="141" t="str">
        <f t="shared" si="72"/>
        <v/>
      </c>
      <c r="C104" s="157" t="str">
        <f>IF(D104="","",
    IF(ISERR(SEARCH("_",D104)),
        IFERROR(_xlfn.AGGREGATE(14,6,$C$12:C103,1),0)+1,
        IFERROR(
            VALUE(TRIM(MID(SUBSTITUTE(D104,"_",REPT(" ",LEN(D104))), (LEN(D104)-LEN(SUBSTITUTE(D104,"_",""))-1)*LEN(D104)+1, LEN(D104))))
            &amp; "." &amp;
            VALUE(TRIM(RIGHT(SUBSTITUTE(D104,"_",REPT(" ",LEN(D104))),LEN(D104)))),
            "")))</f>
        <v/>
      </c>
      <c r="D104" s="194"/>
      <c r="E104" s="163"/>
      <c r="F104" s="163"/>
      <c r="G104" s="163"/>
      <c r="H104" s="163"/>
      <c r="I104" s="194"/>
      <c r="J104" s="257"/>
      <c r="K104" s="159"/>
      <c r="L104" s="160"/>
      <c r="M104" s="159"/>
      <c r="N104" s="159"/>
      <c r="O104" s="161"/>
      <c r="P104" s="162" t="str">
        <f t="shared" si="73"/>
        <v/>
      </c>
      <c r="Q104" s="163" t="str">
        <f t="shared" si="74"/>
        <v/>
      </c>
      <c r="R104" s="164">
        <f t="shared" si="75"/>
        <v>0</v>
      </c>
      <c r="S104" s="165">
        <f t="shared" si="76"/>
        <v>0</v>
      </c>
      <c r="T104" s="165">
        <f t="shared" si="77"/>
        <v>0</v>
      </c>
      <c r="U104" s="166">
        <f t="shared" si="78"/>
        <v>0</v>
      </c>
      <c r="V104" s="153" t="str">
        <f t="shared" si="79"/>
        <v/>
      </c>
      <c r="W104" s="153" t="str">
        <f t="shared" si="80"/>
        <v/>
      </c>
      <c r="X104" s="244"/>
      <c r="Y104" s="154">
        <f t="shared" si="81"/>
        <v>0</v>
      </c>
      <c r="Z104" s="154" t="str">
        <f t="shared" si="7"/>
        <v>1000</v>
      </c>
      <c r="AA104" s="153" t="str">
        <f t="shared" si="82"/>
        <v/>
      </c>
      <c r="AD104" s="155" t="str">
        <f t="shared" si="83"/>
        <v/>
      </c>
      <c r="AI104" s="155">
        <f t="array" ref="AI104">MATCH(MIN(IF($AK$501:$AK$525&gt;=IF(G104&gt;1499,E104+7,E104+5), $AK$501:$AK$525)), $AK$501:$AK$525, 0)</f>
        <v>5</v>
      </c>
      <c r="AK104" s="233"/>
      <c r="AL104" s="233"/>
      <c r="AM104" s="155" t="str">
        <f t="shared" si="84"/>
        <v/>
      </c>
      <c r="AN104" s="155" t="str">
        <f t="shared" si="85"/>
        <v/>
      </c>
      <c r="AX104" s="155" t="str">
        <f t="shared" si="86"/>
        <v/>
      </c>
    </row>
    <row r="105" spans="1:50" s="155" customFormat="1" ht="30" hidden="1" customHeight="1">
      <c r="A105" s="141" t="str">
        <f t="shared" si="71"/>
        <v/>
      </c>
      <c r="B105" s="141" t="str">
        <f t="shared" si="72"/>
        <v/>
      </c>
      <c r="C105" s="157" t="str">
        <f>IF(D105="","",
    IF(ISERR(SEARCH("_",D105)),
        IFERROR(_xlfn.AGGREGATE(14,6,$C$12:C104,1),0)+1,
        IFERROR(
            VALUE(TRIM(MID(SUBSTITUTE(D105,"_",REPT(" ",LEN(D105))), (LEN(D105)-LEN(SUBSTITUTE(D105,"_",""))-1)*LEN(D105)+1, LEN(D105))))
            &amp; "." &amp;
            VALUE(TRIM(RIGHT(SUBSTITUTE(D105,"_",REPT(" ",LEN(D105))),LEN(D105)))),
            "")))</f>
        <v/>
      </c>
      <c r="D105" s="194"/>
      <c r="E105" s="163"/>
      <c r="F105" s="163"/>
      <c r="G105" s="163"/>
      <c r="H105" s="163"/>
      <c r="I105" s="194"/>
      <c r="J105" s="257"/>
      <c r="K105" s="159"/>
      <c r="L105" s="160"/>
      <c r="M105" s="159"/>
      <c r="N105" s="159"/>
      <c r="O105" s="161"/>
      <c r="P105" s="162" t="str">
        <f t="shared" si="73"/>
        <v/>
      </c>
      <c r="Q105" s="163" t="str">
        <f t="shared" si="74"/>
        <v/>
      </c>
      <c r="R105" s="164">
        <f t="shared" si="75"/>
        <v>0</v>
      </c>
      <c r="S105" s="165">
        <f t="shared" si="76"/>
        <v>0</v>
      </c>
      <c r="T105" s="165">
        <f t="shared" si="77"/>
        <v>0</v>
      </c>
      <c r="U105" s="166">
        <f t="shared" si="78"/>
        <v>0</v>
      </c>
      <c r="V105" s="153" t="str">
        <f t="shared" si="79"/>
        <v/>
      </c>
      <c r="W105" s="153" t="str">
        <f t="shared" si="80"/>
        <v/>
      </c>
      <c r="X105" s="244"/>
      <c r="Y105" s="154">
        <f t="shared" si="81"/>
        <v>0</v>
      </c>
      <c r="Z105" s="154" t="str">
        <f t="shared" si="7"/>
        <v>1000</v>
      </c>
      <c r="AA105" s="153" t="str">
        <f t="shared" si="82"/>
        <v/>
      </c>
      <c r="AD105" s="155" t="str">
        <f t="shared" si="83"/>
        <v/>
      </c>
      <c r="AI105" s="155">
        <f t="array" ref="AI105">MATCH(MIN(IF($AK$501:$AK$525&gt;=IF(G105&gt;1499,E105+7,E105+5), $AK$501:$AK$525)), $AK$501:$AK$525, 0)</f>
        <v>5</v>
      </c>
      <c r="AK105" s="233"/>
      <c r="AL105" s="233"/>
      <c r="AM105" s="155" t="str">
        <f t="shared" si="84"/>
        <v/>
      </c>
      <c r="AN105" s="155" t="str">
        <f t="shared" si="85"/>
        <v/>
      </c>
      <c r="AX105" s="155" t="str">
        <f t="shared" si="86"/>
        <v/>
      </c>
    </row>
    <row r="106" spans="1:50" s="155" customFormat="1" ht="30" hidden="1" customHeight="1">
      <c r="A106" s="141" t="str">
        <f t="shared" si="71"/>
        <v/>
      </c>
      <c r="B106" s="141" t="str">
        <f t="shared" si="72"/>
        <v/>
      </c>
      <c r="C106" s="157" t="str">
        <f>IF(D106="","",
    IF(ISERR(SEARCH("_",D106)),
        IFERROR(_xlfn.AGGREGATE(14,6,$C$12:C105,1),0)+1,
        IFERROR(
            VALUE(TRIM(MID(SUBSTITUTE(D106,"_",REPT(" ",LEN(D106))), (LEN(D106)-LEN(SUBSTITUTE(D106,"_",""))-1)*LEN(D106)+1, LEN(D106))))
            &amp; "." &amp;
            VALUE(TRIM(RIGHT(SUBSTITUTE(D106,"_",REPT(" ",LEN(D106))),LEN(D106)))),
            "")))</f>
        <v/>
      </c>
      <c r="D106" s="194"/>
      <c r="E106" s="163"/>
      <c r="F106" s="163"/>
      <c r="G106" s="163"/>
      <c r="H106" s="163"/>
      <c r="I106" s="194"/>
      <c r="J106" s="257"/>
      <c r="K106" s="159"/>
      <c r="L106" s="160"/>
      <c r="M106" s="159"/>
      <c r="N106" s="159"/>
      <c r="O106" s="161"/>
      <c r="P106" s="162" t="str">
        <f t="shared" si="73"/>
        <v/>
      </c>
      <c r="Q106" s="163" t="str">
        <f t="shared" si="74"/>
        <v/>
      </c>
      <c r="R106" s="164">
        <f t="shared" si="75"/>
        <v>0</v>
      </c>
      <c r="S106" s="165">
        <f t="shared" si="76"/>
        <v>0</v>
      </c>
      <c r="T106" s="165">
        <f t="shared" si="77"/>
        <v>0</v>
      </c>
      <c r="U106" s="166">
        <f t="shared" si="78"/>
        <v>0</v>
      </c>
      <c r="V106" s="153" t="str">
        <f t="shared" si="79"/>
        <v/>
      </c>
      <c r="W106" s="153" t="str">
        <f t="shared" si="80"/>
        <v/>
      </c>
      <c r="X106" s="244"/>
      <c r="Y106" s="154">
        <f t="shared" si="81"/>
        <v>0</v>
      </c>
      <c r="Z106" s="154" t="str">
        <f t="shared" si="7"/>
        <v>1000</v>
      </c>
      <c r="AA106" s="153" t="str">
        <f t="shared" si="82"/>
        <v/>
      </c>
      <c r="AD106" s="155" t="str">
        <f t="shared" si="83"/>
        <v/>
      </c>
      <c r="AI106" s="155">
        <f t="array" ref="AI106">MATCH(MIN(IF($AK$501:$AK$525&gt;=IF(G106&gt;1499,E106+7,E106+5), $AK$501:$AK$525)), $AK$501:$AK$525, 0)</f>
        <v>5</v>
      </c>
      <c r="AK106" s="233"/>
      <c r="AL106" s="233"/>
      <c r="AM106" s="155" t="str">
        <f t="shared" si="84"/>
        <v/>
      </c>
      <c r="AN106" s="155" t="str">
        <f t="shared" si="85"/>
        <v/>
      </c>
      <c r="AX106" s="155" t="str">
        <f t="shared" si="86"/>
        <v/>
      </c>
    </row>
    <row r="107" spans="1:50" s="155" customFormat="1" ht="30" hidden="1" customHeight="1">
      <c r="A107" s="141" t="str">
        <f t="shared" si="71"/>
        <v/>
      </c>
      <c r="B107" s="141" t="str">
        <f t="shared" si="72"/>
        <v/>
      </c>
      <c r="C107" s="157" t="str">
        <f>IF(D107="","",
    IF(ISERR(SEARCH("_",D107)),
        IFERROR(_xlfn.AGGREGATE(14,6,$C$12:C106,1),0)+1,
        IFERROR(
            VALUE(TRIM(MID(SUBSTITUTE(D107,"_",REPT(" ",LEN(D107))), (LEN(D107)-LEN(SUBSTITUTE(D107,"_",""))-1)*LEN(D107)+1, LEN(D107))))
            &amp; "." &amp;
            VALUE(TRIM(RIGHT(SUBSTITUTE(D107,"_",REPT(" ",LEN(D107))),LEN(D107)))),
            "")))</f>
        <v/>
      </c>
      <c r="D107" s="194"/>
      <c r="E107" s="163"/>
      <c r="F107" s="163"/>
      <c r="G107" s="163"/>
      <c r="H107" s="163"/>
      <c r="I107" s="194"/>
      <c r="J107" s="257"/>
      <c r="K107" s="159"/>
      <c r="L107" s="160"/>
      <c r="M107" s="159"/>
      <c r="N107" s="159"/>
      <c r="O107" s="161"/>
      <c r="P107" s="162" t="str">
        <f t="shared" si="73"/>
        <v/>
      </c>
      <c r="Q107" s="163" t="str">
        <f t="shared" si="74"/>
        <v/>
      </c>
      <c r="R107" s="164">
        <f t="shared" si="75"/>
        <v>0</v>
      </c>
      <c r="S107" s="165">
        <f t="shared" si="76"/>
        <v>0</v>
      </c>
      <c r="T107" s="165">
        <f t="shared" si="77"/>
        <v>0</v>
      </c>
      <c r="U107" s="166">
        <f t="shared" si="78"/>
        <v>0</v>
      </c>
      <c r="V107" s="153" t="str">
        <f t="shared" si="79"/>
        <v/>
      </c>
      <c r="W107" s="153" t="str">
        <f t="shared" si="80"/>
        <v/>
      </c>
      <c r="X107" s="244"/>
      <c r="Y107" s="154">
        <f t="shared" si="81"/>
        <v>0</v>
      </c>
      <c r="Z107" s="154" t="str">
        <f t="shared" si="7"/>
        <v>1000</v>
      </c>
      <c r="AA107" s="153" t="str">
        <f t="shared" si="82"/>
        <v/>
      </c>
      <c r="AD107" s="155" t="str">
        <f t="shared" si="83"/>
        <v/>
      </c>
      <c r="AI107" s="155">
        <f t="array" ref="AI107">MATCH(MIN(IF($AK$501:$AK$525&gt;=IF(G107&gt;1499,E107+7,E107+5), $AK$501:$AK$525)), $AK$501:$AK$525, 0)</f>
        <v>5</v>
      </c>
      <c r="AK107" s="233"/>
      <c r="AL107" s="233"/>
      <c r="AM107" s="155" t="str">
        <f t="shared" si="84"/>
        <v/>
      </c>
      <c r="AN107" s="155" t="str">
        <f t="shared" si="85"/>
        <v/>
      </c>
      <c r="AX107" s="155" t="str">
        <f t="shared" si="86"/>
        <v/>
      </c>
    </row>
    <row r="108" spans="1:50" s="155" customFormat="1" ht="30" hidden="1" customHeight="1">
      <c r="A108" s="141" t="str">
        <f t="shared" si="71"/>
        <v/>
      </c>
      <c r="B108" s="141" t="str">
        <f t="shared" si="72"/>
        <v/>
      </c>
      <c r="C108" s="157" t="str">
        <f>IF(D108="","",
    IF(ISERR(SEARCH("_",D108)),
        IFERROR(_xlfn.AGGREGATE(14,6,$C$12:C107,1),0)+1,
        IFERROR(
            VALUE(TRIM(MID(SUBSTITUTE(D108,"_",REPT(" ",LEN(D108))), (LEN(D108)-LEN(SUBSTITUTE(D108,"_",""))-1)*LEN(D108)+1, LEN(D108))))
            &amp; "." &amp;
            VALUE(TRIM(RIGHT(SUBSTITUTE(D108,"_",REPT(" ",LEN(D108))),LEN(D108)))),
            "")))</f>
        <v/>
      </c>
      <c r="D108" s="194"/>
      <c r="E108" s="163"/>
      <c r="F108" s="163"/>
      <c r="G108" s="163"/>
      <c r="H108" s="163"/>
      <c r="I108" s="194"/>
      <c r="J108" s="257"/>
      <c r="K108" s="159"/>
      <c r="L108" s="160"/>
      <c r="M108" s="159"/>
      <c r="N108" s="159"/>
      <c r="O108" s="161"/>
      <c r="P108" s="162" t="str">
        <f t="shared" si="73"/>
        <v/>
      </c>
      <c r="Q108" s="163" t="str">
        <f t="shared" si="74"/>
        <v/>
      </c>
      <c r="R108" s="164">
        <f t="shared" si="75"/>
        <v>0</v>
      </c>
      <c r="S108" s="165">
        <f t="shared" si="76"/>
        <v>0</v>
      </c>
      <c r="T108" s="165">
        <f t="shared" si="77"/>
        <v>0</v>
      </c>
      <c r="U108" s="166">
        <f t="shared" si="78"/>
        <v>0</v>
      </c>
      <c r="V108" s="153" t="str">
        <f t="shared" si="79"/>
        <v/>
      </c>
      <c r="W108" s="153" t="str">
        <f t="shared" si="80"/>
        <v/>
      </c>
      <c r="X108" s="244"/>
      <c r="Y108" s="154">
        <f t="shared" si="81"/>
        <v>0</v>
      </c>
      <c r="Z108" s="154" t="str">
        <f t="shared" si="7"/>
        <v>1000</v>
      </c>
      <c r="AA108" s="153" t="str">
        <f t="shared" si="82"/>
        <v/>
      </c>
      <c r="AD108" s="155" t="str">
        <f t="shared" si="83"/>
        <v/>
      </c>
      <c r="AI108" s="155">
        <f t="array" ref="AI108">MATCH(MIN(IF($AK$501:$AK$525&gt;=IF(G108&gt;1499,E108+7,E108+5), $AK$501:$AK$525)), $AK$501:$AK$525, 0)</f>
        <v>5</v>
      </c>
      <c r="AK108" s="233"/>
      <c r="AL108" s="233"/>
      <c r="AM108" s="155" t="str">
        <f t="shared" si="84"/>
        <v/>
      </c>
      <c r="AN108" s="155" t="str">
        <f t="shared" si="85"/>
        <v/>
      </c>
      <c r="AX108" s="155" t="str">
        <f t="shared" si="86"/>
        <v/>
      </c>
    </row>
    <row r="109" spans="1:50" s="155" customFormat="1" ht="30" hidden="1" customHeight="1">
      <c r="A109" s="141" t="str">
        <f t="shared" si="71"/>
        <v/>
      </c>
      <c r="B109" s="141" t="str">
        <f t="shared" si="72"/>
        <v/>
      </c>
      <c r="C109" s="157" t="str">
        <f>IF(D109="","",
    IF(ISERR(SEARCH("_",D109)),
        IFERROR(_xlfn.AGGREGATE(14,6,$C$12:C108,1),0)+1,
        IFERROR(
            VALUE(TRIM(MID(SUBSTITUTE(D109,"_",REPT(" ",LEN(D109))), (LEN(D109)-LEN(SUBSTITUTE(D109,"_",""))-1)*LEN(D109)+1, LEN(D109))))
            &amp; "." &amp;
            VALUE(TRIM(RIGHT(SUBSTITUTE(D109,"_",REPT(" ",LEN(D109))),LEN(D109)))),
            "")))</f>
        <v/>
      </c>
      <c r="D109" s="194"/>
      <c r="E109" s="163"/>
      <c r="F109" s="163"/>
      <c r="G109" s="163"/>
      <c r="H109" s="163"/>
      <c r="I109" s="194"/>
      <c r="J109" s="257"/>
      <c r="K109" s="159"/>
      <c r="L109" s="160"/>
      <c r="M109" s="159"/>
      <c r="N109" s="159"/>
      <c r="O109" s="161"/>
      <c r="P109" s="162" t="str">
        <f t="shared" si="73"/>
        <v/>
      </c>
      <c r="Q109" s="163" t="str">
        <f t="shared" si="74"/>
        <v/>
      </c>
      <c r="R109" s="164">
        <f t="shared" si="75"/>
        <v>0</v>
      </c>
      <c r="S109" s="165">
        <f t="shared" si="76"/>
        <v>0</v>
      </c>
      <c r="T109" s="165">
        <f t="shared" si="77"/>
        <v>0</v>
      </c>
      <c r="U109" s="166">
        <f t="shared" si="78"/>
        <v>0</v>
      </c>
      <c r="V109" s="153" t="str">
        <f t="shared" si="79"/>
        <v/>
      </c>
      <c r="W109" s="153" t="str">
        <f t="shared" si="80"/>
        <v/>
      </c>
      <c r="X109" s="244"/>
      <c r="Y109" s="154">
        <f t="shared" si="81"/>
        <v>0</v>
      </c>
      <c r="Z109" s="154" t="str">
        <f t="shared" si="7"/>
        <v>1000</v>
      </c>
      <c r="AA109" s="153" t="str">
        <f t="shared" si="82"/>
        <v/>
      </c>
      <c r="AD109" s="155" t="str">
        <f t="shared" si="83"/>
        <v/>
      </c>
      <c r="AI109" s="155">
        <f t="array" ref="AI109">MATCH(MIN(IF($AK$501:$AK$525&gt;=IF(G109&gt;1499,E109+7,E109+5), $AK$501:$AK$525)), $AK$501:$AK$525, 0)</f>
        <v>5</v>
      </c>
      <c r="AK109" s="233"/>
      <c r="AL109" s="233"/>
      <c r="AM109" s="155" t="str">
        <f t="shared" si="84"/>
        <v/>
      </c>
      <c r="AN109" s="155" t="str">
        <f t="shared" si="85"/>
        <v/>
      </c>
      <c r="AX109" s="155" t="str">
        <f t="shared" si="86"/>
        <v/>
      </c>
    </row>
    <row r="110" spans="1:50" s="155" customFormat="1" ht="30" hidden="1" customHeight="1">
      <c r="A110" s="141" t="str">
        <f t="shared" si="71"/>
        <v/>
      </c>
      <c r="B110" s="141" t="str">
        <f t="shared" si="72"/>
        <v/>
      </c>
      <c r="C110" s="157" t="str">
        <f>IF(D110="","",
    IF(ISERR(SEARCH("_",D110)),
        IFERROR(_xlfn.AGGREGATE(14,6,$C$12:C109,1),0)+1,
        IFERROR(
            VALUE(TRIM(MID(SUBSTITUTE(D110,"_",REPT(" ",LEN(D110))), (LEN(D110)-LEN(SUBSTITUTE(D110,"_",""))-1)*LEN(D110)+1, LEN(D110))))
            &amp; "." &amp;
            VALUE(TRIM(RIGHT(SUBSTITUTE(D110,"_",REPT(" ",LEN(D110))),LEN(D110)))),
            "")))</f>
        <v/>
      </c>
      <c r="D110" s="194"/>
      <c r="E110" s="163"/>
      <c r="F110" s="163"/>
      <c r="G110" s="163"/>
      <c r="H110" s="163"/>
      <c r="I110" s="194"/>
      <c r="J110" s="257"/>
      <c r="K110" s="159"/>
      <c r="L110" s="160"/>
      <c r="M110" s="159"/>
      <c r="N110" s="159"/>
      <c r="O110" s="161"/>
      <c r="P110" s="162" t="str">
        <f t="shared" si="73"/>
        <v/>
      </c>
      <c r="Q110" s="163" t="str">
        <f t="shared" si="74"/>
        <v/>
      </c>
      <c r="R110" s="164">
        <f t="shared" si="75"/>
        <v>0</v>
      </c>
      <c r="S110" s="165">
        <f t="shared" si="76"/>
        <v>0</v>
      </c>
      <c r="T110" s="165">
        <f t="shared" si="77"/>
        <v>0</v>
      </c>
      <c r="U110" s="166">
        <f t="shared" si="78"/>
        <v>0</v>
      </c>
      <c r="V110" s="153" t="str">
        <f t="shared" si="79"/>
        <v/>
      </c>
      <c r="W110" s="153" t="str">
        <f t="shared" si="80"/>
        <v/>
      </c>
      <c r="X110" s="244"/>
      <c r="Y110" s="154">
        <f t="shared" si="81"/>
        <v>0</v>
      </c>
      <c r="Z110" s="154" t="str">
        <f t="shared" si="7"/>
        <v>1000</v>
      </c>
      <c r="AA110" s="153" t="str">
        <f t="shared" si="82"/>
        <v/>
      </c>
      <c r="AD110" s="155" t="str">
        <f t="shared" si="83"/>
        <v/>
      </c>
      <c r="AI110" s="155">
        <f t="array" ref="AI110">MATCH(MIN(IF($AK$501:$AK$525&gt;=IF(G110&gt;1499,E110+7,E110+5), $AK$501:$AK$525)), $AK$501:$AK$525, 0)</f>
        <v>5</v>
      </c>
      <c r="AK110" s="233"/>
      <c r="AL110" s="233"/>
      <c r="AM110" s="155" t="str">
        <f t="shared" si="84"/>
        <v/>
      </c>
      <c r="AN110" s="155" t="str">
        <f t="shared" si="85"/>
        <v/>
      </c>
      <c r="AX110" s="155" t="str">
        <f t="shared" si="86"/>
        <v/>
      </c>
    </row>
    <row r="111" spans="1:50" s="155" customFormat="1" ht="30" hidden="1" customHeight="1">
      <c r="A111" s="141" t="str">
        <f t="shared" si="71"/>
        <v/>
      </c>
      <c r="B111" s="141" t="str">
        <f t="shared" si="72"/>
        <v/>
      </c>
      <c r="C111" s="157" t="str">
        <f>IF(D111="","",
    IF(ISERR(SEARCH("_",D111)),
        IFERROR(_xlfn.AGGREGATE(14,6,$C$12:C110,1),0)+1,
        IFERROR(
            VALUE(TRIM(MID(SUBSTITUTE(D111,"_",REPT(" ",LEN(D111))), (LEN(D111)-LEN(SUBSTITUTE(D111,"_",""))-1)*LEN(D111)+1, LEN(D111))))
            &amp; "." &amp;
            VALUE(TRIM(RIGHT(SUBSTITUTE(D111,"_",REPT(" ",LEN(D111))),LEN(D111)))),
            "")))</f>
        <v/>
      </c>
      <c r="D111" s="194"/>
      <c r="E111" s="163"/>
      <c r="F111" s="163"/>
      <c r="G111" s="163"/>
      <c r="H111" s="163"/>
      <c r="I111" s="194"/>
      <c r="J111" s="257"/>
      <c r="K111" s="159"/>
      <c r="L111" s="160"/>
      <c r="M111" s="159"/>
      <c r="N111" s="159"/>
      <c r="O111" s="161"/>
      <c r="P111" s="162" t="str">
        <f t="shared" si="73"/>
        <v/>
      </c>
      <c r="Q111" s="163" t="str">
        <f t="shared" si="74"/>
        <v/>
      </c>
      <c r="R111" s="164">
        <f t="shared" si="75"/>
        <v>0</v>
      </c>
      <c r="S111" s="165">
        <f t="shared" si="76"/>
        <v>0</v>
      </c>
      <c r="T111" s="165">
        <f t="shared" si="77"/>
        <v>0</v>
      </c>
      <c r="U111" s="166">
        <f t="shared" si="78"/>
        <v>0</v>
      </c>
      <c r="V111" s="153" t="str">
        <f t="shared" si="79"/>
        <v/>
      </c>
      <c r="W111" s="153" t="str">
        <f t="shared" si="80"/>
        <v/>
      </c>
      <c r="X111" s="244"/>
      <c r="Y111" s="154">
        <f t="shared" si="81"/>
        <v>0</v>
      </c>
      <c r="Z111" s="154" t="str">
        <f t="shared" si="7"/>
        <v>1000</v>
      </c>
      <c r="AA111" s="153" t="str">
        <f t="shared" si="82"/>
        <v/>
      </c>
      <c r="AD111" s="155" t="str">
        <f t="shared" si="83"/>
        <v/>
      </c>
      <c r="AI111" s="155">
        <f t="array" ref="AI111">MATCH(MIN(IF($AK$501:$AK$525&gt;=IF(G111&gt;1499,E111+7,E111+5), $AK$501:$AK$525)), $AK$501:$AK$525, 0)</f>
        <v>5</v>
      </c>
      <c r="AK111" s="233"/>
      <c r="AL111" s="233"/>
      <c r="AM111" s="155" t="str">
        <f t="shared" si="84"/>
        <v/>
      </c>
      <c r="AN111" s="155" t="str">
        <f t="shared" si="85"/>
        <v/>
      </c>
      <c r="AX111" s="155" t="str">
        <f t="shared" si="86"/>
        <v/>
      </c>
    </row>
    <row r="112" spans="1:50" s="155" customFormat="1" ht="30" hidden="1" customHeight="1">
      <c r="A112" s="141" t="str">
        <f t="shared" si="71"/>
        <v/>
      </c>
      <c r="B112" s="141" t="str">
        <f t="shared" si="72"/>
        <v/>
      </c>
      <c r="C112" s="157" t="str">
        <f>IF(D112="","",
    IF(ISERR(SEARCH("_",D112)),
        IFERROR(_xlfn.AGGREGATE(14,6,$C$12:C111,1),0)+1,
        IFERROR(
            VALUE(TRIM(MID(SUBSTITUTE(D112,"_",REPT(" ",LEN(D112))), (LEN(D112)-LEN(SUBSTITUTE(D112,"_",""))-1)*LEN(D112)+1, LEN(D112))))
            &amp; "." &amp;
            VALUE(TRIM(RIGHT(SUBSTITUTE(D112,"_",REPT(" ",LEN(D112))),LEN(D112)))),
            "")))</f>
        <v/>
      </c>
      <c r="D112" s="194"/>
      <c r="E112" s="163"/>
      <c r="F112" s="163"/>
      <c r="G112" s="163"/>
      <c r="H112" s="163"/>
      <c r="I112" s="194"/>
      <c r="J112" s="257"/>
      <c r="K112" s="159"/>
      <c r="L112" s="160"/>
      <c r="M112" s="159"/>
      <c r="N112" s="159"/>
      <c r="O112" s="161"/>
      <c r="P112" s="162" t="str">
        <f t="shared" si="73"/>
        <v/>
      </c>
      <c r="Q112" s="163" t="str">
        <f t="shared" si="74"/>
        <v/>
      </c>
      <c r="R112" s="164">
        <f t="shared" si="75"/>
        <v>0</v>
      </c>
      <c r="S112" s="165">
        <f t="shared" si="76"/>
        <v>0</v>
      </c>
      <c r="T112" s="165">
        <f t="shared" si="77"/>
        <v>0</v>
      </c>
      <c r="U112" s="166">
        <f t="shared" si="78"/>
        <v>0</v>
      </c>
      <c r="V112" s="153" t="str">
        <f t="shared" si="79"/>
        <v/>
      </c>
      <c r="W112" s="153" t="str">
        <f t="shared" si="80"/>
        <v/>
      </c>
      <c r="X112" s="244"/>
      <c r="Y112" s="154">
        <f t="shared" si="81"/>
        <v>0</v>
      </c>
      <c r="Z112" s="154" t="str">
        <f t="shared" si="7"/>
        <v>1000</v>
      </c>
      <c r="AA112" s="153" t="str">
        <f t="shared" si="82"/>
        <v/>
      </c>
      <c r="AD112" s="155" t="str">
        <f t="shared" si="83"/>
        <v/>
      </c>
      <c r="AI112" s="155">
        <f t="array" ref="AI112">MATCH(MIN(IF($AK$501:$AK$525&gt;=IF(G112&gt;1499,E112+7,E112+5), $AK$501:$AK$525)), $AK$501:$AK$525, 0)</f>
        <v>5</v>
      </c>
      <c r="AK112" s="233"/>
      <c r="AL112" s="233"/>
      <c r="AM112" s="155" t="str">
        <f t="shared" si="84"/>
        <v/>
      </c>
      <c r="AN112" s="155" t="str">
        <f t="shared" si="85"/>
        <v/>
      </c>
      <c r="AX112" s="155" t="str">
        <f t="shared" si="86"/>
        <v/>
      </c>
    </row>
    <row r="113" spans="1:50" s="155" customFormat="1" ht="30" hidden="1" customHeight="1">
      <c r="A113" s="141" t="str">
        <f t="shared" si="71"/>
        <v/>
      </c>
      <c r="B113" s="141" t="str">
        <f t="shared" si="72"/>
        <v/>
      </c>
      <c r="C113" s="157" t="str">
        <f>IF(D113="","",
    IF(ISERR(SEARCH("_",D113)),
        IFERROR(_xlfn.AGGREGATE(14,6,$C$12:C112,1),0)+1,
        IFERROR(
            VALUE(TRIM(MID(SUBSTITUTE(D113,"_",REPT(" ",LEN(D113))), (LEN(D113)-LEN(SUBSTITUTE(D113,"_",""))-1)*LEN(D113)+1, LEN(D113))))
            &amp; "." &amp;
            VALUE(TRIM(RIGHT(SUBSTITUTE(D113,"_",REPT(" ",LEN(D113))),LEN(D113)))),
            "")))</f>
        <v/>
      </c>
      <c r="D113" s="194"/>
      <c r="E113" s="163"/>
      <c r="F113" s="163"/>
      <c r="G113" s="163"/>
      <c r="H113" s="163"/>
      <c r="I113" s="194"/>
      <c r="J113" s="257"/>
      <c r="K113" s="159"/>
      <c r="L113" s="160"/>
      <c r="M113" s="159"/>
      <c r="N113" s="159"/>
      <c r="O113" s="161"/>
      <c r="P113" s="162" t="str">
        <f t="shared" si="73"/>
        <v/>
      </c>
      <c r="Q113" s="163" t="str">
        <f t="shared" si="74"/>
        <v/>
      </c>
      <c r="R113" s="164">
        <f t="shared" si="75"/>
        <v>0</v>
      </c>
      <c r="S113" s="165">
        <f t="shared" si="76"/>
        <v>0</v>
      </c>
      <c r="T113" s="165">
        <f t="shared" si="77"/>
        <v>0</v>
      </c>
      <c r="U113" s="166">
        <f t="shared" si="78"/>
        <v>0</v>
      </c>
      <c r="V113" s="153" t="str">
        <f t="shared" si="79"/>
        <v/>
      </c>
      <c r="W113" s="153" t="str">
        <f t="shared" si="80"/>
        <v/>
      </c>
      <c r="X113" s="244"/>
      <c r="Y113" s="154">
        <f t="shared" si="81"/>
        <v>0</v>
      </c>
      <c r="Z113" s="154" t="str">
        <f t="shared" si="7"/>
        <v>1000</v>
      </c>
      <c r="AA113" s="153" t="str">
        <f t="shared" si="82"/>
        <v/>
      </c>
      <c r="AD113" s="155" t="str">
        <f t="shared" si="83"/>
        <v/>
      </c>
      <c r="AI113" s="155">
        <f t="array" ref="AI113">MATCH(MIN(IF($AK$501:$AK$525&gt;=IF(G113&gt;1499,E113+7,E113+5), $AK$501:$AK$525)), $AK$501:$AK$525, 0)</f>
        <v>5</v>
      </c>
      <c r="AK113" s="233"/>
      <c r="AL113" s="233"/>
      <c r="AM113" s="155" t="str">
        <f t="shared" si="84"/>
        <v/>
      </c>
      <c r="AN113" s="155" t="str">
        <f t="shared" si="85"/>
        <v/>
      </c>
      <c r="AX113" s="155" t="str">
        <f t="shared" si="86"/>
        <v/>
      </c>
    </row>
    <row r="114" spans="1:50" s="155" customFormat="1" ht="30" hidden="1" customHeight="1">
      <c r="A114" s="141" t="str">
        <f t="shared" si="71"/>
        <v/>
      </c>
      <c r="B114" s="141" t="str">
        <f t="shared" si="72"/>
        <v/>
      </c>
      <c r="C114" s="157" t="str">
        <f>IF(D114="","",
    IF(ISERR(SEARCH("_",D114)),
        IFERROR(_xlfn.AGGREGATE(14,6,$C$12:C113,1),0)+1,
        IFERROR(
            VALUE(TRIM(MID(SUBSTITUTE(D114,"_",REPT(" ",LEN(D114))), (LEN(D114)-LEN(SUBSTITUTE(D114,"_",""))-1)*LEN(D114)+1, LEN(D114))))
            &amp; "." &amp;
            VALUE(TRIM(RIGHT(SUBSTITUTE(D114,"_",REPT(" ",LEN(D114))),LEN(D114)))),
            "")))</f>
        <v/>
      </c>
      <c r="D114" s="194"/>
      <c r="E114" s="163"/>
      <c r="F114" s="163"/>
      <c r="G114" s="163"/>
      <c r="H114" s="163"/>
      <c r="I114" s="194"/>
      <c r="J114" s="257"/>
      <c r="K114" s="159"/>
      <c r="L114" s="160"/>
      <c r="M114" s="159"/>
      <c r="N114" s="159"/>
      <c r="O114" s="161"/>
      <c r="P114" s="162" t="str">
        <f t="shared" si="73"/>
        <v/>
      </c>
      <c r="Q114" s="163" t="str">
        <f t="shared" si="74"/>
        <v/>
      </c>
      <c r="R114" s="164">
        <f t="shared" si="75"/>
        <v>0</v>
      </c>
      <c r="S114" s="165">
        <f t="shared" si="76"/>
        <v>0</v>
      </c>
      <c r="T114" s="165">
        <f t="shared" si="77"/>
        <v>0</v>
      </c>
      <c r="U114" s="166">
        <f t="shared" si="78"/>
        <v>0</v>
      </c>
      <c r="V114" s="153" t="str">
        <f t="shared" si="79"/>
        <v/>
      </c>
      <c r="W114" s="153" t="str">
        <f t="shared" si="80"/>
        <v/>
      </c>
      <c r="X114" s="244"/>
      <c r="Y114" s="154">
        <f t="shared" si="81"/>
        <v>0</v>
      </c>
      <c r="Z114" s="154" t="str">
        <f t="shared" si="7"/>
        <v>1000</v>
      </c>
      <c r="AA114" s="153" t="str">
        <f t="shared" si="82"/>
        <v/>
      </c>
      <c r="AD114" s="155" t="str">
        <f t="shared" si="83"/>
        <v/>
      </c>
      <c r="AI114" s="155">
        <f t="array" ref="AI114">MATCH(MIN(IF($AK$501:$AK$525&gt;=IF(G114&gt;1499,E114+7,E114+5), $AK$501:$AK$525)), $AK$501:$AK$525, 0)</f>
        <v>5</v>
      </c>
      <c r="AK114" s="233"/>
      <c r="AL114" s="233"/>
      <c r="AM114" s="155" t="str">
        <f t="shared" si="84"/>
        <v/>
      </c>
      <c r="AN114" s="155" t="str">
        <f t="shared" si="85"/>
        <v/>
      </c>
      <c r="AX114" s="155" t="str">
        <f t="shared" si="86"/>
        <v/>
      </c>
    </row>
    <row r="115" spans="1:50" s="155" customFormat="1" ht="30" hidden="1" customHeight="1">
      <c r="A115" s="141" t="str">
        <f t="shared" si="71"/>
        <v/>
      </c>
      <c r="B115" s="141" t="str">
        <f t="shared" si="72"/>
        <v/>
      </c>
      <c r="C115" s="157" t="str">
        <f>IF(D115="","",
    IF(ISERR(SEARCH("_",D115)),
        IFERROR(_xlfn.AGGREGATE(14,6,$C$12:C114,1),0)+1,
        IFERROR(
            VALUE(TRIM(MID(SUBSTITUTE(D115,"_",REPT(" ",LEN(D115))), (LEN(D115)-LEN(SUBSTITUTE(D115,"_",""))-1)*LEN(D115)+1, LEN(D115))))
            &amp; "." &amp;
            VALUE(TRIM(RIGHT(SUBSTITUTE(D115,"_",REPT(" ",LEN(D115))),LEN(D115)))),
            "")))</f>
        <v/>
      </c>
      <c r="D115" s="194"/>
      <c r="E115" s="163"/>
      <c r="F115" s="163"/>
      <c r="G115" s="163"/>
      <c r="H115" s="163"/>
      <c r="I115" s="194"/>
      <c r="J115" s="257"/>
      <c r="K115" s="159"/>
      <c r="L115" s="160"/>
      <c r="M115" s="159"/>
      <c r="N115" s="159"/>
      <c r="O115" s="161"/>
      <c r="P115" s="162" t="str">
        <f t="shared" si="73"/>
        <v/>
      </c>
      <c r="Q115" s="163" t="str">
        <f t="shared" si="74"/>
        <v/>
      </c>
      <c r="R115" s="164">
        <f t="shared" si="75"/>
        <v>0</v>
      </c>
      <c r="S115" s="165">
        <f t="shared" si="76"/>
        <v>0</v>
      </c>
      <c r="T115" s="165">
        <f t="shared" si="77"/>
        <v>0</v>
      </c>
      <c r="U115" s="166">
        <f t="shared" si="78"/>
        <v>0</v>
      </c>
      <c r="V115" s="153" t="str">
        <f t="shared" si="79"/>
        <v/>
      </c>
      <c r="W115" s="153" t="str">
        <f t="shared" si="80"/>
        <v/>
      </c>
      <c r="X115" s="244"/>
      <c r="Y115" s="154">
        <f t="shared" si="81"/>
        <v>0</v>
      </c>
      <c r="Z115" s="154" t="str">
        <f t="shared" si="7"/>
        <v>1000</v>
      </c>
      <c r="AA115" s="153" t="str">
        <f t="shared" si="82"/>
        <v/>
      </c>
      <c r="AD115" s="155" t="str">
        <f t="shared" si="83"/>
        <v/>
      </c>
      <c r="AI115" s="155">
        <f t="array" ref="AI115">MATCH(MIN(IF($AK$501:$AK$525&gt;=IF(G115&gt;1499,E115+7,E115+5), $AK$501:$AK$525)), $AK$501:$AK$525, 0)</f>
        <v>5</v>
      </c>
      <c r="AK115" s="233"/>
      <c r="AL115" s="233"/>
      <c r="AM115" s="155" t="str">
        <f t="shared" si="84"/>
        <v/>
      </c>
      <c r="AN115" s="155" t="str">
        <f t="shared" si="85"/>
        <v/>
      </c>
      <c r="AX115" s="155" t="str">
        <f t="shared" si="86"/>
        <v/>
      </c>
    </row>
    <row r="116" spans="1:50" s="155" customFormat="1" ht="30" hidden="1" customHeight="1">
      <c r="A116" s="141" t="str">
        <f t="shared" si="71"/>
        <v/>
      </c>
      <c r="B116" s="141" t="str">
        <f t="shared" si="72"/>
        <v/>
      </c>
      <c r="C116" s="157" t="str">
        <f>IF(D116="","",
    IF(ISERR(SEARCH("_",D116)),
        IFERROR(_xlfn.AGGREGATE(14,6,$C$12:C115,1),0)+1,
        IFERROR(
            VALUE(TRIM(MID(SUBSTITUTE(D116,"_",REPT(" ",LEN(D116))), (LEN(D116)-LEN(SUBSTITUTE(D116,"_",""))-1)*LEN(D116)+1, LEN(D116))))
            &amp; "." &amp;
            VALUE(TRIM(RIGHT(SUBSTITUTE(D116,"_",REPT(" ",LEN(D116))),LEN(D116)))),
            "")))</f>
        <v/>
      </c>
      <c r="D116" s="194"/>
      <c r="E116" s="163"/>
      <c r="F116" s="163"/>
      <c r="G116" s="163"/>
      <c r="H116" s="163"/>
      <c r="I116" s="194"/>
      <c r="J116" s="257"/>
      <c r="K116" s="159"/>
      <c r="L116" s="160"/>
      <c r="M116" s="159"/>
      <c r="N116" s="159"/>
      <c r="O116" s="161"/>
      <c r="P116" s="162" t="str">
        <f t="shared" si="73"/>
        <v/>
      </c>
      <c r="Q116" s="163" t="str">
        <f t="shared" si="74"/>
        <v/>
      </c>
      <c r="R116" s="164">
        <f t="shared" si="75"/>
        <v>0</v>
      </c>
      <c r="S116" s="165">
        <f t="shared" si="76"/>
        <v>0</v>
      </c>
      <c r="T116" s="165">
        <f t="shared" si="77"/>
        <v>0</v>
      </c>
      <c r="U116" s="166">
        <f t="shared" si="78"/>
        <v>0</v>
      </c>
      <c r="V116" s="153" t="str">
        <f t="shared" si="79"/>
        <v/>
      </c>
      <c r="W116" s="153" t="str">
        <f t="shared" si="80"/>
        <v/>
      </c>
      <c r="X116" s="244"/>
      <c r="Y116" s="154">
        <f t="shared" si="81"/>
        <v>0</v>
      </c>
      <c r="Z116" s="154" t="str">
        <f t="shared" si="7"/>
        <v>1000</v>
      </c>
      <c r="AA116" s="153" t="str">
        <f t="shared" si="82"/>
        <v/>
      </c>
      <c r="AD116" s="155" t="str">
        <f t="shared" si="83"/>
        <v/>
      </c>
      <c r="AI116" s="155">
        <f t="array" ref="AI116">MATCH(MIN(IF($AK$501:$AK$525&gt;=IF(G116&gt;1499,E116+7,E116+5), $AK$501:$AK$525)), $AK$501:$AK$525, 0)</f>
        <v>5</v>
      </c>
      <c r="AK116" s="233"/>
      <c r="AL116" s="233"/>
      <c r="AM116" s="155" t="str">
        <f t="shared" si="84"/>
        <v/>
      </c>
      <c r="AN116" s="155" t="str">
        <f t="shared" si="85"/>
        <v/>
      </c>
      <c r="AX116" s="155" t="str">
        <f t="shared" si="86"/>
        <v/>
      </c>
    </row>
    <row r="117" spans="1:50" s="155" customFormat="1" ht="30" hidden="1" customHeight="1">
      <c r="A117" s="141" t="str">
        <f t="shared" si="71"/>
        <v/>
      </c>
      <c r="B117" s="141" t="str">
        <f t="shared" si="72"/>
        <v/>
      </c>
      <c r="C117" s="157" t="str">
        <f>IF(D117="","",
    IF(ISERR(SEARCH("_",D117)),
        IFERROR(_xlfn.AGGREGATE(14,6,$C$12:C116,1),0)+1,
        IFERROR(
            VALUE(TRIM(MID(SUBSTITUTE(D117,"_",REPT(" ",LEN(D117))), (LEN(D117)-LEN(SUBSTITUTE(D117,"_",""))-1)*LEN(D117)+1, LEN(D117))))
            &amp; "." &amp;
            VALUE(TRIM(RIGHT(SUBSTITUTE(D117,"_",REPT(" ",LEN(D117))),LEN(D117)))),
            "")))</f>
        <v/>
      </c>
      <c r="D117" s="194"/>
      <c r="E117" s="163"/>
      <c r="F117" s="163"/>
      <c r="G117" s="163"/>
      <c r="H117" s="163"/>
      <c r="I117" s="194"/>
      <c r="J117" s="257"/>
      <c r="K117" s="159"/>
      <c r="L117" s="160"/>
      <c r="M117" s="159"/>
      <c r="N117" s="159"/>
      <c r="O117" s="161"/>
      <c r="P117" s="162" t="str">
        <f t="shared" si="73"/>
        <v/>
      </c>
      <c r="Q117" s="163" t="str">
        <f t="shared" si="74"/>
        <v/>
      </c>
      <c r="R117" s="164">
        <f t="shared" si="75"/>
        <v>0</v>
      </c>
      <c r="S117" s="165">
        <f t="shared" si="76"/>
        <v>0</v>
      </c>
      <c r="T117" s="165">
        <f t="shared" si="77"/>
        <v>0</v>
      </c>
      <c r="U117" s="166">
        <f t="shared" si="78"/>
        <v>0</v>
      </c>
      <c r="V117" s="153" t="str">
        <f t="shared" si="79"/>
        <v/>
      </c>
      <c r="W117" s="153" t="str">
        <f t="shared" si="80"/>
        <v/>
      </c>
      <c r="X117" s="244"/>
      <c r="Y117" s="154">
        <f t="shared" si="81"/>
        <v>0</v>
      </c>
      <c r="Z117" s="154" t="str">
        <f t="shared" si="7"/>
        <v>1000</v>
      </c>
      <c r="AA117" s="153" t="str">
        <f t="shared" si="82"/>
        <v/>
      </c>
      <c r="AD117" s="155" t="str">
        <f t="shared" si="83"/>
        <v/>
      </c>
      <c r="AI117" s="155">
        <f t="array" ref="AI117">MATCH(MIN(IF($AK$501:$AK$525&gt;=IF(G117&gt;1499,E117+7,E117+5), $AK$501:$AK$525)), $AK$501:$AK$525, 0)</f>
        <v>5</v>
      </c>
      <c r="AK117" s="233"/>
      <c r="AL117" s="233"/>
      <c r="AM117" s="155" t="str">
        <f t="shared" si="84"/>
        <v/>
      </c>
      <c r="AN117" s="155" t="str">
        <f t="shared" si="85"/>
        <v/>
      </c>
      <c r="AX117" s="155" t="str">
        <f t="shared" si="86"/>
        <v/>
      </c>
    </row>
    <row r="118" spans="1:50" s="155" customFormat="1" ht="30" hidden="1" customHeight="1">
      <c r="A118" s="141" t="str">
        <f t="shared" si="71"/>
        <v/>
      </c>
      <c r="B118" s="141" t="str">
        <f t="shared" si="72"/>
        <v/>
      </c>
      <c r="C118" s="157" t="str">
        <f>IF(D118="","",
    IF(ISERR(SEARCH("_",D118)),
        IFERROR(_xlfn.AGGREGATE(14,6,$C$12:C117,1),0)+1,
        IFERROR(
            VALUE(TRIM(MID(SUBSTITUTE(D118,"_",REPT(" ",LEN(D118))), (LEN(D118)-LEN(SUBSTITUTE(D118,"_",""))-1)*LEN(D118)+1, LEN(D118))))
            &amp; "." &amp;
            VALUE(TRIM(RIGHT(SUBSTITUTE(D118,"_",REPT(" ",LEN(D118))),LEN(D118)))),
            "")))</f>
        <v/>
      </c>
      <c r="D118" s="194"/>
      <c r="E118" s="163"/>
      <c r="F118" s="163"/>
      <c r="G118" s="163"/>
      <c r="H118" s="163"/>
      <c r="I118" s="194"/>
      <c r="J118" s="257"/>
      <c r="K118" s="159"/>
      <c r="L118" s="160"/>
      <c r="M118" s="159"/>
      <c r="N118" s="159"/>
      <c r="O118" s="161"/>
      <c r="P118" s="162" t="str">
        <f t="shared" si="73"/>
        <v/>
      </c>
      <c r="Q118" s="163" t="str">
        <f t="shared" si="74"/>
        <v/>
      </c>
      <c r="R118" s="164">
        <f t="shared" si="75"/>
        <v>0</v>
      </c>
      <c r="S118" s="165">
        <f t="shared" si="76"/>
        <v>0</v>
      </c>
      <c r="T118" s="165">
        <f t="shared" si="77"/>
        <v>0</v>
      </c>
      <c r="U118" s="166">
        <f t="shared" si="78"/>
        <v>0</v>
      </c>
      <c r="V118" s="153" t="str">
        <f t="shared" si="79"/>
        <v/>
      </c>
      <c r="W118" s="153" t="str">
        <f t="shared" si="80"/>
        <v/>
      </c>
      <c r="X118" s="244"/>
      <c r="Y118" s="154">
        <f t="shared" si="81"/>
        <v>0</v>
      </c>
      <c r="Z118" s="154" t="str">
        <f t="shared" si="7"/>
        <v>1000</v>
      </c>
      <c r="AA118" s="153" t="str">
        <f t="shared" si="82"/>
        <v/>
      </c>
      <c r="AD118" s="155" t="str">
        <f t="shared" si="83"/>
        <v/>
      </c>
      <c r="AI118" s="155">
        <f t="array" ref="AI118">MATCH(MIN(IF($AK$501:$AK$525&gt;=IF(G118&gt;1499,E118+7,E118+5), $AK$501:$AK$525)), $AK$501:$AK$525, 0)</f>
        <v>5</v>
      </c>
      <c r="AK118" s="233"/>
      <c r="AL118" s="233"/>
      <c r="AM118" s="155" t="str">
        <f t="shared" si="84"/>
        <v/>
      </c>
      <c r="AN118" s="155" t="str">
        <f t="shared" si="85"/>
        <v/>
      </c>
      <c r="AX118" s="155" t="str">
        <f t="shared" si="86"/>
        <v/>
      </c>
    </row>
    <row r="119" spans="1:50" s="155" customFormat="1" ht="30" hidden="1" customHeight="1">
      <c r="A119" s="141" t="str">
        <f t="shared" si="71"/>
        <v/>
      </c>
      <c r="B119" s="141" t="str">
        <f t="shared" si="72"/>
        <v/>
      </c>
      <c r="C119" s="157" t="str">
        <f>IF(D119="","",
    IF(ISERR(SEARCH("_",D119)),
        IFERROR(_xlfn.AGGREGATE(14,6,$C$12:C118,1),0)+1,
        IFERROR(
            VALUE(TRIM(MID(SUBSTITUTE(D119,"_",REPT(" ",LEN(D119))), (LEN(D119)-LEN(SUBSTITUTE(D119,"_",""))-1)*LEN(D119)+1, LEN(D119))))
            &amp; "." &amp;
            VALUE(TRIM(RIGHT(SUBSTITUTE(D119,"_",REPT(" ",LEN(D119))),LEN(D119)))),
            "")))</f>
        <v/>
      </c>
      <c r="D119" s="194"/>
      <c r="E119" s="163"/>
      <c r="F119" s="163"/>
      <c r="G119" s="163"/>
      <c r="H119" s="163"/>
      <c r="I119" s="194"/>
      <c r="J119" s="257"/>
      <c r="K119" s="159"/>
      <c r="L119" s="160"/>
      <c r="M119" s="159"/>
      <c r="N119" s="159"/>
      <c r="O119" s="161"/>
      <c r="P119" s="162" t="str">
        <f t="shared" si="73"/>
        <v/>
      </c>
      <c r="Q119" s="163" t="str">
        <f t="shared" si="74"/>
        <v/>
      </c>
      <c r="R119" s="164">
        <f t="shared" si="75"/>
        <v>0</v>
      </c>
      <c r="S119" s="165">
        <f t="shared" si="76"/>
        <v>0</v>
      </c>
      <c r="T119" s="165">
        <f t="shared" si="77"/>
        <v>0</v>
      </c>
      <c r="U119" s="166">
        <f t="shared" si="78"/>
        <v>0</v>
      </c>
      <c r="V119" s="153" t="str">
        <f t="shared" si="79"/>
        <v/>
      </c>
      <c r="W119" s="153" t="str">
        <f t="shared" si="80"/>
        <v/>
      </c>
      <c r="X119" s="244"/>
      <c r="Y119" s="154">
        <f t="shared" si="81"/>
        <v>0</v>
      </c>
      <c r="Z119" s="154" t="str">
        <f t="shared" si="7"/>
        <v>1000</v>
      </c>
      <c r="AA119" s="153" t="str">
        <f t="shared" si="82"/>
        <v/>
      </c>
      <c r="AD119" s="155" t="str">
        <f t="shared" si="83"/>
        <v/>
      </c>
      <c r="AI119" s="155">
        <f t="array" ref="AI119">MATCH(MIN(IF($AK$501:$AK$525&gt;=IF(G119&gt;1499,E119+7,E119+5), $AK$501:$AK$525)), $AK$501:$AK$525, 0)</f>
        <v>5</v>
      </c>
      <c r="AK119" s="233"/>
      <c r="AL119" s="233"/>
      <c r="AM119" s="155" t="str">
        <f t="shared" si="84"/>
        <v/>
      </c>
      <c r="AN119" s="155" t="str">
        <f t="shared" si="85"/>
        <v/>
      </c>
      <c r="AX119" s="155" t="str">
        <f t="shared" si="86"/>
        <v/>
      </c>
    </row>
    <row r="120" spans="1:50" s="155" customFormat="1" ht="30" hidden="1" customHeight="1">
      <c r="A120" s="141" t="str">
        <f t="shared" si="71"/>
        <v/>
      </c>
      <c r="B120" s="141" t="str">
        <f t="shared" si="72"/>
        <v/>
      </c>
      <c r="C120" s="157" t="str">
        <f>IF(D120="","",
    IF(ISERR(SEARCH("_",D120)),
        IFERROR(_xlfn.AGGREGATE(14,6,$C$12:C119,1),0)+1,
        IFERROR(
            VALUE(TRIM(MID(SUBSTITUTE(D120,"_",REPT(" ",LEN(D120))), (LEN(D120)-LEN(SUBSTITUTE(D120,"_",""))-1)*LEN(D120)+1, LEN(D120))))
            &amp; "." &amp;
            VALUE(TRIM(RIGHT(SUBSTITUTE(D120,"_",REPT(" ",LEN(D120))),LEN(D120)))),
            "")))</f>
        <v/>
      </c>
      <c r="D120" s="194"/>
      <c r="E120" s="163"/>
      <c r="F120" s="163"/>
      <c r="G120" s="163"/>
      <c r="H120" s="163"/>
      <c r="I120" s="194"/>
      <c r="J120" s="257"/>
      <c r="K120" s="159"/>
      <c r="L120" s="160"/>
      <c r="M120" s="159"/>
      <c r="N120" s="159"/>
      <c r="O120" s="161"/>
      <c r="P120" s="162" t="str">
        <f t="shared" si="73"/>
        <v/>
      </c>
      <c r="Q120" s="163" t="str">
        <f t="shared" si="74"/>
        <v/>
      </c>
      <c r="R120" s="164">
        <f t="shared" si="75"/>
        <v>0</v>
      </c>
      <c r="S120" s="165">
        <f t="shared" si="76"/>
        <v>0</v>
      </c>
      <c r="T120" s="165">
        <f t="shared" si="77"/>
        <v>0</v>
      </c>
      <c r="U120" s="166">
        <f t="shared" si="78"/>
        <v>0</v>
      </c>
      <c r="V120" s="153" t="str">
        <f t="shared" si="79"/>
        <v/>
      </c>
      <c r="W120" s="153" t="str">
        <f t="shared" si="80"/>
        <v/>
      </c>
      <c r="X120" s="244"/>
      <c r="Y120" s="154">
        <f t="shared" si="81"/>
        <v>0</v>
      </c>
      <c r="Z120" s="154" t="str">
        <f t="shared" si="7"/>
        <v>1000</v>
      </c>
      <c r="AA120" s="153" t="str">
        <f t="shared" si="82"/>
        <v/>
      </c>
      <c r="AD120" s="155" t="str">
        <f t="shared" si="83"/>
        <v/>
      </c>
      <c r="AI120" s="155">
        <f t="array" ref="AI120">MATCH(MIN(IF($AK$501:$AK$525&gt;=IF(G120&gt;1499,E120+7,E120+5), $AK$501:$AK$525)), $AK$501:$AK$525, 0)</f>
        <v>5</v>
      </c>
      <c r="AK120" s="233"/>
      <c r="AL120" s="233"/>
      <c r="AM120" s="155" t="str">
        <f t="shared" si="84"/>
        <v/>
      </c>
      <c r="AN120" s="155" t="str">
        <f t="shared" si="85"/>
        <v/>
      </c>
      <c r="AX120" s="155" t="str">
        <f t="shared" si="86"/>
        <v/>
      </c>
    </row>
    <row r="121" spans="1:50" s="155" customFormat="1" ht="30" hidden="1" customHeight="1">
      <c r="A121" s="141" t="str">
        <f t="shared" si="71"/>
        <v/>
      </c>
      <c r="B121" s="141" t="str">
        <f t="shared" si="72"/>
        <v/>
      </c>
      <c r="C121" s="157" t="str">
        <f>IF(D121="","",
    IF(ISERR(SEARCH("_",D121)),
        IFERROR(_xlfn.AGGREGATE(14,6,$C$12:C120,1),0)+1,
        IFERROR(
            VALUE(TRIM(MID(SUBSTITUTE(D121,"_",REPT(" ",LEN(D121))), (LEN(D121)-LEN(SUBSTITUTE(D121,"_",""))-1)*LEN(D121)+1, LEN(D121))))
            &amp; "." &amp;
            VALUE(TRIM(RIGHT(SUBSTITUTE(D121,"_",REPT(" ",LEN(D121))),LEN(D121)))),
            "")))</f>
        <v/>
      </c>
      <c r="D121" s="194"/>
      <c r="E121" s="163"/>
      <c r="F121" s="163"/>
      <c r="G121" s="163"/>
      <c r="H121" s="163"/>
      <c r="I121" s="194"/>
      <c r="J121" s="257"/>
      <c r="K121" s="159"/>
      <c r="L121" s="160"/>
      <c r="M121" s="159"/>
      <c r="N121" s="159"/>
      <c r="O121" s="161"/>
      <c r="P121" s="162" t="str">
        <f t="shared" si="73"/>
        <v/>
      </c>
      <c r="Q121" s="163" t="str">
        <f t="shared" si="74"/>
        <v/>
      </c>
      <c r="R121" s="164">
        <f t="shared" si="75"/>
        <v>0</v>
      </c>
      <c r="S121" s="165">
        <f t="shared" si="76"/>
        <v>0</v>
      </c>
      <c r="T121" s="165">
        <f t="shared" si="77"/>
        <v>0</v>
      </c>
      <c r="U121" s="166">
        <f t="shared" si="78"/>
        <v>0</v>
      </c>
      <c r="V121" s="153" t="str">
        <f t="shared" si="79"/>
        <v/>
      </c>
      <c r="W121" s="153" t="str">
        <f t="shared" si="80"/>
        <v/>
      </c>
      <c r="X121" s="244"/>
      <c r="Y121" s="154">
        <f t="shared" si="81"/>
        <v>0</v>
      </c>
      <c r="Z121" s="154" t="str">
        <f t="shared" si="7"/>
        <v>1000</v>
      </c>
      <c r="AA121" s="153" t="str">
        <f t="shared" si="82"/>
        <v/>
      </c>
      <c r="AD121" s="155" t="str">
        <f t="shared" si="83"/>
        <v/>
      </c>
      <c r="AI121" s="155">
        <f t="array" ref="AI121">MATCH(MIN(IF($AK$501:$AK$525&gt;=IF(G121&gt;1499,E121+7,E121+5), $AK$501:$AK$525)), $AK$501:$AK$525, 0)</f>
        <v>5</v>
      </c>
      <c r="AK121" s="233"/>
      <c r="AL121" s="233"/>
      <c r="AM121" s="155" t="str">
        <f t="shared" si="84"/>
        <v/>
      </c>
      <c r="AN121" s="155" t="str">
        <f t="shared" si="85"/>
        <v/>
      </c>
      <c r="AX121" s="155" t="str">
        <f t="shared" si="86"/>
        <v/>
      </c>
    </row>
    <row r="122" spans="1:50" s="155" customFormat="1" ht="30" hidden="1" customHeight="1">
      <c r="A122" s="141" t="str">
        <f t="shared" si="71"/>
        <v/>
      </c>
      <c r="B122" s="141" t="str">
        <f t="shared" si="72"/>
        <v/>
      </c>
      <c r="C122" s="157" t="str">
        <f>IF(D122="","",
    IF(ISERR(SEARCH("_",D122)),
        IFERROR(_xlfn.AGGREGATE(14,6,$C$12:C121,1),0)+1,
        IFERROR(
            VALUE(TRIM(MID(SUBSTITUTE(D122,"_",REPT(" ",LEN(D122))), (LEN(D122)-LEN(SUBSTITUTE(D122,"_",""))-1)*LEN(D122)+1, LEN(D122))))
            &amp; "." &amp;
            VALUE(TRIM(RIGHT(SUBSTITUTE(D122,"_",REPT(" ",LEN(D122))),LEN(D122)))),
            "")))</f>
        <v/>
      </c>
      <c r="D122" s="194"/>
      <c r="E122" s="163"/>
      <c r="F122" s="163"/>
      <c r="G122" s="163"/>
      <c r="H122" s="163"/>
      <c r="I122" s="194"/>
      <c r="J122" s="257"/>
      <c r="K122" s="159"/>
      <c r="L122" s="160"/>
      <c r="M122" s="159"/>
      <c r="N122" s="159"/>
      <c r="O122" s="161"/>
      <c r="P122" s="162" t="str">
        <f t="shared" si="73"/>
        <v/>
      </c>
      <c r="Q122" s="163" t="str">
        <f t="shared" si="74"/>
        <v/>
      </c>
      <c r="R122" s="164">
        <f t="shared" si="75"/>
        <v>0</v>
      </c>
      <c r="S122" s="165">
        <f t="shared" si="76"/>
        <v>0</v>
      </c>
      <c r="T122" s="165">
        <f t="shared" si="77"/>
        <v>0</v>
      </c>
      <c r="U122" s="166">
        <f t="shared" si="78"/>
        <v>0</v>
      </c>
      <c r="V122" s="153" t="str">
        <f t="shared" si="79"/>
        <v/>
      </c>
      <c r="W122" s="153" t="str">
        <f t="shared" si="80"/>
        <v/>
      </c>
      <c r="X122" s="244"/>
      <c r="Y122" s="154">
        <f t="shared" si="81"/>
        <v>0</v>
      </c>
      <c r="Z122" s="154" t="str">
        <f t="shared" si="7"/>
        <v>1000</v>
      </c>
      <c r="AA122" s="153" t="str">
        <f t="shared" si="82"/>
        <v/>
      </c>
      <c r="AD122" s="155" t="str">
        <f t="shared" si="83"/>
        <v/>
      </c>
      <c r="AI122" s="155">
        <f t="array" ref="AI122">MATCH(MIN(IF($AK$501:$AK$525&gt;=IF(G122&gt;1499,E122+7,E122+5), $AK$501:$AK$525)), $AK$501:$AK$525, 0)</f>
        <v>5</v>
      </c>
      <c r="AK122" s="233"/>
      <c r="AL122" s="233"/>
      <c r="AM122" s="155" t="str">
        <f t="shared" si="84"/>
        <v/>
      </c>
      <c r="AN122" s="155" t="str">
        <f t="shared" si="85"/>
        <v/>
      </c>
      <c r="AX122" s="155" t="str">
        <f t="shared" si="86"/>
        <v/>
      </c>
    </row>
    <row r="123" spans="1:50" s="155" customFormat="1" ht="30" hidden="1" customHeight="1">
      <c r="A123" s="141" t="str">
        <f t="shared" si="71"/>
        <v/>
      </c>
      <c r="B123" s="141" t="str">
        <f t="shared" si="72"/>
        <v/>
      </c>
      <c r="C123" s="157" t="str">
        <f>IF(D123="","",
    IF(ISERR(SEARCH("_",D123)),
        IFERROR(_xlfn.AGGREGATE(14,6,$C$12:C122,1),0)+1,
        IFERROR(
            VALUE(TRIM(MID(SUBSTITUTE(D123,"_",REPT(" ",LEN(D123))), (LEN(D123)-LEN(SUBSTITUTE(D123,"_",""))-1)*LEN(D123)+1, LEN(D123))))
            &amp; "." &amp;
            VALUE(TRIM(RIGHT(SUBSTITUTE(D123,"_",REPT(" ",LEN(D123))),LEN(D123)))),
            "")))</f>
        <v/>
      </c>
      <c r="D123" s="194"/>
      <c r="E123" s="163"/>
      <c r="F123" s="163"/>
      <c r="G123" s="163"/>
      <c r="H123" s="163"/>
      <c r="I123" s="194"/>
      <c r="J123" s="257"/>
      <c r="K123" s="159"/>
      <c r="L123" s="160"/>
      <c r="M123" s="159"/>
      <c r="N123" s="159"/>
      <c r="O123" s="161"/>
      <c r="P123" s="162" t="str">
        <f t="shared" si="73"/>
        <v/>
      </c>
      <c r="Q123" s="163" t="str">
        <f t="shared" si="74"/>
        <v/>
      </c>
      <c r="R123" s="164">
        <f t="shared" si="75"/>
        <v>0</v>
      </c>
      <c r="S123" s="165">
        <f t="shared" si="76"/>
        <v>0</v>
      </c>
      <c r="T123" s="165">
        <f t="shared" si="77"/>
        <v>0</v>
      </c>
      <c r="U123" s="166">
        <f t="shared" si="78"/>
        <v>0</v>
      </c>
      <c r="V123" s="153" t="str">
        <f t="shared" si="79"/>
        <v/>
      </c>
      <c r="W123" s="153" t="str">
        <f t="shared" si="80"/>
        <v/>
      </c>
      <c r="X123" s="244"/>
      <c r="Y123" s="154">
        <f t="shared" si="81"/>
        <v>0</v>
      </c>
      <c r="Z123" s="154" t="str">
        <f t="shared" si="7"/>
        <v>1000</v>
      </c>
      <c r="AA123" s="153" t="str">
        <f t="shared" si="82"/>
        <v/>
      </c>
      <c r="AD123" s="155" t="str">
        <f t="shared" si="83"/>
        <v/>
      </c>
      <c r="AI123" s="155">
        <f t="array" ref="AI123">MATCH(MIN(IF($AK$501:$AK$525&gt;=IF(G123&gt;1499,E123+7,E123+5), $AK$501:$AK$525)), $AK$501:$AK$525, 0)</f>
        <v>5</v>
      </c>
      <c r="AK123" s="233"/>
      <c r="AL123" s="233"/>
      <c r="AM123" s="155" t="str">
        <f t="shared" si="84"/>
        <v/>
      </c>
      <c r="AN123" s="155" t="str">
        <f t="shared" si="85"/>
        <v/>
      </c>
      <c r="AX123" s="155" t="str">
        <f t="shared" si="86"/>
        <v/>
      </c>
    </row>
    <row r="124" spans="1:50" s="155" customFormat="1" ht="30" hidden="1" customHeight="1">
      <c r="A124" s="141" t="str">
        <f t="shared" si="71"/>
        <v/>
      </c>
      <c r="B124" s="141" t="str">
        <f t="shared" si="72"/>
        <v/>
      </c>
      <c r="C124" s="157" t="str">
        <f>IF(D124="","",
    IF(ISERR(SEARCH("_",D124)),
        IFERROR(_xlfn.AGGREGATE(14,6,$C$12:C123,1),0)+1,
        IFERROR(
            VALUE(TRIM(MID(SUBSTITUTE(D124,"_",REPT(" ",LEN(D124))), (LEN(D124)-LEN(SUBSTITUTE(D124,"_",""))-1)*LEN(D124)+1, LEN(D124))))
            &amp; "." &amp;
            VALUE(TRIM(RIGHT(SUBSTITUTE(D124,"_",REPT(" ",LEN(D124))),LEN(D124)))),
            "")))</f>
        <v/>
      </c>
      <c r="D124" s="194"/>
      <c r="E124" s="163"/>
      <c r="F124" s="163"/>
      <c r="G124" s="163"/>
      <c r="H124" s="163"/>
      <c r="I124" s="194"/>
      <c r="J124" s="257"/>
      <c r="K124" s="159"/>
      <c r="L124" s="160"/>
      <c r="M124" s="159"/>
      <c r="N124" s="159"/>
      <c r="O124" s="161"/>
      <c r="P124" s="162" t="str">
        <f t="shared" si="73"/>
        <v/>
      </c>
      <c r="Q124" s="163" t="str">
        <f t="shared" si="74"/>
        <v/>
      </c>
      <c r="R124" s="164">
        <f t="shared" si="75"/>
        <v>0</v>
      </c>
      <c r="S124" s="165">
        <f t="shared" si="76"/>
        <v>0</v>
      </c>
      <c r="T124" s="165">
        <f t="shared" si="77"/>
        <v>0</v>
      </c>
      <c r="U124" s="166">
        <f t="shared" si="78"/>
        <v>0</v>
      </c>
      <c r="V124" s="153" t="str">
        <f t="shared" si="79"/>
        <v/>
      </c>
      <c r="W124" s="153" t="str">
        <f t="shared" si="80"/>
        <v/>
      </c>
      <c r="X124" s="244"/>
      <c r="Y124" s="154">
        <f t="shared" si="81"/>
        <v>0</v>
      </c>
      <c r="Z124" s="154" t="str">
        <f t="shared" si="7"/>
        <v>1000</v>
      </c>
      <c r="AA124" s="153" t="str">
        <f t="shared" si="82"/>
        <v/>
      </c>
      <c r="AD124" s="155" t="str">
        <f t="shared" si="83"/>
        <v/>
      </c>
      <c r="AI124" s="155">
        <f t="array" ref="AI124">MATCH(MIN(IF($AK$501:$AK$525&gt;=IF(G124&gt;1499,E124+7,E124+5), $AK$501:$AK$525)), $AK$501:$AK$525, 0)</f>
        <v>5</v>
      </c>
      <c r="AK124" s="233"/>
      <c r="AL124" s="233"/>
      <c r="AM124" s="155" t="str">
        <f t="shared" si="84"/>
        <v/>
      </c>
      <c r="AN124" s="155" t="str">
        <f t="shared" si="85"/>
        <v/>
      </c>
      <c r="AX124" s="155" t="str">
        <f t="shared" si="86"/>
        <v/>
      </c>
    </row>
    <row r="125" spans="1:50" s="155" customFormat="1" ht="30" hidden="1" customHeight="1">
      <c r="A125" s="141" t="str">
        <f t="shared" si="71"/>
        <v/>
      </c>
      <c r="B125" s="141" t="str">
        <f t="shared" si="72"/>
        <v/>
      </c>
      <c r="C125" s="157" t="str">
        <f>IF(D125="","",
    IF(ISERR(SEARCH("_",D125)),
        IFERROR(_xlfn.AGGREGATE(14,6,$C$12:C124,1),0)+1,
        IFERROR(
            VALUE(TRIM(MID(SUBSTITUTE(D125,"_",REPT(" ",LEN(D125))), (LEN(D125)-LEN(SUBSTITUTE(D125,"_",""))-1)*LEN(D125)+1, LEN(D125))))
            &amp; "." &amp;
            VALUE(TRIM(RIGHT(SUBSTITUTE(D125,"_",REPT(" ",LEN(D125))),LEN(D125)))),
            "")))</f>
        <v/>
      </c>
      <c r="D125" s="194"/>
      <c r="E125" s="163"/>
      <c r="F125" s="163"/>
      <c r="G125" s="163"/>
      <c r="H125" s="163"/>
      <c r="I125" s="194"/>
      <c r="J125" s="257"/>
      <c r="K125" s="159"/>
      <c r="L125" s="160"/>
      <c r="M125" s="159"/>
      <c r="N125" s="159"/>
      <c r="O125" s="161"/>
      <c r="P125" s="162" t="str">
        <f t="shared" si="73"/>
        <v/>
      </c>
      <c r="Q125" s="163" t="str">
        <f t="shared" si="74"/>
        <v/>
      </c>
      <c r="R125" s="164">
        <f t="shared" si="75"/>
        <v>0</v>
      </c>
      <c r="S125" s="165">
        <f t="shared" si="76"/>
        <v>0</v>
      </c>
      <c r="T125" s="165">
        <f t="shared" si="77"/>
        <v>0</v>
      </c>
      <c r="U125" s="166">
        <f t="shared" si="78"/>
        <v>0</v>
      </c>
      <c r="V125" s="153" t="str">
        <f t="shared" si="79"/>
        <v/>
      </c>
      <c r="W125" s="153" t="str">
        <f t="shared" si="80"/>
        <v/>
      </c>
      <c r="X125" s="244"/>
      <c r="Y125" s="154">
        <f t="shared" si="81"/>
        <v>0</v>
      </c>
      <c r="Z125" s="154" t="str">
        <f t="shared" si="7"/>
        <v>1000</v>
      </c>
      <c r="AA125" s="153" t="str">
        <f t="shared" si="82"/>
        <v/>
      </c>
      <c r="AD125" s="155" t="str">
        <f t="shared" si="83"/>
        <v/>
      </c>
      <c r="AI125" s="155">
        <f t="array" ref="AI125">MATCH(MIN(IF($AK$501:$AK$525&gt;=IF(G125&gt;1499,E125+7,E125+5), $AK$501:$AK$525)), $AK$501:$AK$525, 0)</f>
        <v>5</v>
      </c>
      <c r="AK125" s="233"/>
      <c r="AL125" s="233"/>
      <c r="AM125" s="155" t="str">
        <f t="shared" si="84"/>
        <v/>
      </c>
      <c r="AN125" s="155" t="str">
        <f t="shared" si="85"/>
        <v/>
      </c>
      <c r="AX125" s="155" t="str">
        <f t="shared" si="86"/>
        <v/>
      </c>
    </row>
    <row r="126" spans="1:50" s="155" customFormat="1" ht="30" hidden="1" customHeight="1">
      <c r="A126" s="141" t="str">
        <f t="shared" si="71"/>
        <v/>
      </c>
      <c r="B126" s="141" t="str">
        <f t="shared" si="72"/>
        <v/>
      </c>
      <c r="C126" s="157" t="str">
        <f>IF(D126="","",
    IF(ISERR(SEARCH("_",D126)),
        IFERROR(_xlfn.AGGREGATE(14,6,$C$12:C125,1),0)+1,
        IFERROR(
            VALUE(TRIM(MID(SUBSTITUTE(D126,"_",REPT(" ",LEN(D126))), (LEN(D126)-LEN(SUBSTITUTE(D126,"_",""))-1)*LEN(D126)+1, LEN(D126))))
            &amp; "." &amp;
            VALUE(TRIM(RIGHT(SUBSTITUTE(D126,"_",REPT(" ",LEN(D126))),LEN(D126)))),
            "")))</f>
        <v/>
      </c>
      <c r="D126" s="194"/>
      <c r="E126" s="163"/>
      <c r="F126" s="163"/>
      <c r="G126" s="163"/>
      <c r="H126" s="163"/>
      <c r="I126" s="194"/>
      <c r="J126" s="257"/>
      <c r="K126" s="159"/>
      <c r="L126" s="160"/>
      <c r="M126" s="159"/>
      <c r="N126" s="159"/>
      <c r="O126" s="161"/>
      <c r="P126" s="162" t="str">
        <f t="shared" si="73"/>
        <v/>
      </c>
      <c r="Q126" s="163" t="str">
        <f t="shared" si="74"/>
        <v/>
      </c>
      <c r="R126" s="164">
        <f t="shared" si="75"/>
        <v>0</v>
      </c>
      <c r="S126" s="165">
        <f t="shared" si="76"/>
        <v>0</v>
      </c>
      <c r="T126" s="165">
        <f t="shared" si="77"/>
        <v>0</v>
      </c>
      <c r="U126" s="166">
        <f t="shared" si="78"/>
        <v>0</v>
      </c>
      <c r="V126" s="153" t="str">
        <f t="shared" si="79"/>
        <v/>
      </c>
      <c r="W126" s="153" t="str">
        <f t="shared" si="80"/>
        <v/>
      </c>
      <c r="X126" s="244"/>
      <c r="Y126" s="154">
        <f t="shared" si="81"/>
        <v>0</v>
      </c>
      <c r="Z126" s="154" t="str">
        <f t="shared" si="7"/>
        <v>1000</v>
      </c>
      <c r="AA126" s="153" t="str">
        <f t="shared" si="82"/>
        <v/>
      </c>
      <c r="AD126" s="155" t="str">
        <f t="shared" si="83"/>
        <v/>
      </c>
      <c r="AI126" s="155">
        <f t="array" ref="AI126">MATCH(MIN(IF($AK$501:$AK$525&gt;=IF(G126&gt;1499,E126+7,E126+5), $AK$501:$AK$525)), $AK$501:$AK$525, 0)</f>
        <v>5</v>
      </c>
      <c r="AK126" s="233"/>
      <c r="AL126" s="233"/>
      <c r="AM126" s="155" t="str">
        <f t="shared" si="84"/>
        <v/>
      </c>
      <c r="AN126" s="155" t="str">
        <f t="shared" si="85"/>
        <v/>
      </c>
      <c r="AX126" s="155" t="str">
        <f t="shared" si="86"/>
        <v/>
      </c>
    </row>
    <row r="127" spans="1:50" s="155" customFormat="1" ht="30" hidden="1" customHeight="1">
      <c r="A127" s="141" t="str">
        <f t="shared" si="71"/>
        <v/>
      </c>
      <c r="B127" s="141" t="str">
        <f t="shared" si="72"/>
        <v/>
      </c>
      <c r="C127" s="157" t="str">
        <f>IF(D127="","",
    IF(ISERR(SEARCH("_",D127)),
        IFERROR(_xlfn.AGGREGATE(14,6,$C$12:C126,1),0)+1,
        IFERROR(
            VALUE(TRIM(MID(SUBSTITUTE(D127,"_",REPT(" ",LEN(D127))), (LEN(D127)-LEN(SUBSTITUTE(D127,"_",""))-1)*LEN(D127)+1, LEN(D127))))
            &amp; "." &amp;
            VALUE(TRIM(RIGHT(SUBSTITUTE(D127,"_",REPT(" ",LEN(D127))),LEN(D127)))),
            "")))</f>
        <v/>
      </c>
      <c r="D127" s="194"/>
      <c r="E127" s="163"/>
      <c r="F127" s="163"/>
      <c r="G127" s="163"/>
      <c r="H127" s="163"/>
      <c r="I127" s="194"/>
      <c r="J127" s="257"/>
      <c r="K127" s="159"/>
      <c r="L127" s="160"/>
      <c r="M127" s="159"/>
      <c r="N127" s="159"/>
      <c r="O127" s="161"/>
      <c r="P127" s="162" t="str">
        <f t="shared" si="73"/>
        <v/>
      </c>
      <c r="Q127" s="163" t="str">
        <f t="shared" si="74"/>
        <v/>
      </c>
      <c r="R127" s="164">
        <f t="shared" si="75"/>
        <v>0</v>
      </c>
      <c r="S127" s="165">
        <f t="shared" si="76"/>
        <v>0</v>
      </c>
      <c r="T127" s="165">
        <f t="shared" si="77"/>
        <v>0</v>
      </c>
      <c r="U127" s="166">
        <f t="shared" si="78"/>
        <v>0</v>
      </c>
      <c r="V127" s="153" t="str">
        <f t="shared" si="79"/>
        <v/>
      </c>
      <c r="W127" s="153" t="str">
        <f t="shared" si="80"/>
        <v/>
      </c>
      <c r="X127" s="244"/>
      <c r="Y127" s="154">
        <f t="shared" si="81"/>
        <v>0</v>
      </c>
      <c r="Z127" s="154" t="str">
        <f t="shared" si="7"/>
        <v>1000</v>
      </c>
      <c r="AA127" s="153" t="str">
        <f t="shared" si="82"/>
        <v/>
      </c>
      <c r="AD127" s="155" t="str">
        <f t="shared" si="83"/>
        <v/>
      </c>
      <c r="AI127" s="155">
        <f t="array" ref="AI127">MATCH(MIN(IF($AK$501:$AK$525&gt;=IF(G127&gt;1499,E127+7,E127+5), $AK$501:$AK$525)), $AK$501:$AK$525, 0)</f>
        <v>5</v>
      </c>
      <c r="AK127" s="233"/>
      <c r="AL127" s="233"/>
      <c r="AM127" s="155" t="str">
        <f t="shared" si="84"/>
        <v/>
      </c>
      <c r="AN127" s="155" t="str">
        <f t="shared" si="85"/>
        <v/>
      </c>
      <c r="AX127" s="155" t="str">
        <f t="shared" si="86"/>
        <v/>
      </c>
    </row>
    <row r="128" spans="1:50" s="155" customFormat="1" ht="30" hidden="1" customHeight="1">
      <c r="A128" s="141" t="str">
        <f t="shared" si="71"/>
        <v/>
      </c>
      <c r="B128" s="141" t="str">
        <f t="shared" si="72"/>
        <v/>
      </c>
      <c r="C128" s="157" t="str">
        <f>IF(D128="","",
    IF(ISERR(SEARCH("_",D128)),
        IFERROR(_xlfn.AGGREGATE(14,6,$C$12:C127,1),0)+1,
        IFERROR(
            VALUE(TRIM(MID(SUBSTITUTE(D128,"_",REPT(" ",LEN(D128))), (LEN(D128)-LEN(SUBSTITUTE(D128,"_",""))-1)*LEN(D128)+1, LEN(D128))))
            &amp; "." &amp;
            VALUE(TRIM(RIGHT(SUBSTITUTE(D128,"_",REPT(" ",LEN(D128))),LEN(D128)))),
            "")))</f>
        <v/>
      </c>
      <c r="D128" s="194"/>
      <c r="E128" s="163"/>
      <c r="F128" s="163"/>
      <c r="G128" s="163"/>
      <c r="H128" s="163"/>
      <c r="I128" s="194"/>
      <c r="J128" s="257"/>
      <c r="K128" s="159"/>
      <c r="L128" s="160"/>
      <c r="M128" s="159"/>
      <c r="N128" s="159"/>
      <c r="O128" s="161"/>
      <c r="P128" s="162" t="str">
        <f t="shared" si="73"/>
        <v/>
      </c>
      <c r="Q128" s="163" t="str">
        <f t="shared" si="74"/>
        <v/>
      </c>
      <c r="R128" s="164">
        <f t="shared" si="75"/>
        <v>0</v>
      </c>
      <c r="S128" s="165">
        <f t="shared" si="76"/>
        <v>0</v>
      </c>
      <c r="T128" s="165">
        <f t="shared" si="77"/>
        <v>0</v>
      </c>
      <c r="U128" s="166">
        <f t="shared" si="78"/>
        <v>0</v>
      </c>
      <c r="V128" s="153" t="str">
        <f t="shared" si="79"/>
        <v/>
      </c>
      <c r="W128" s="153" t="str">
        <f t="shared" si="80"/>
        <v/>
      </c>
      <c r="X128" s="244"/>
      <c r="Y128" s="154">
        <f t="shared" si="81"/>
        <v>0</v>
      </c>
      <c r="Z128" s="154" t="str">
        <f t="shared" si="7"/>
        <v>1000</v>
      </c>
      <c r="AA128" s="153" t="str">
        <f t="shared" si="82"/>
        <v/>
      </c>
      <c r="AD128" s="155" t="str">
        <f t="shared" si="83"/>
        <v/>
      </c>
      <c r="AI128" s="155">
        <f t="array" ref="AI128">MATCH(MIN(IF($AK$501:$AK$525&gt;=IF(G128&gt;1499,E128+7,E128+5), $AK$501:$AK$525)), $AK$501:$AK$525, 0)</f>
        <v>5</v>
      </c>
      <c r="AK128" s="233"/>
      <c r="AL128" s="233"/>
      <c r="AM128" s="155" t="str">
        <f t="shared" si="84"/>
        <v/>
      </c>
      <c r="AN128" s="155" t="str">
        <f t="shared" si="85"/>
        <v/>
      </c>
      <c r="AX128" s="155" t="str">
        <f t="shared" si="86"/>
        <v/>
      </c>
    </row>
    <row r="129" spans="1:50" s="155" customFormat="1" ht="30" hidden="1" customHeight="1">
      <c r="A129" s="141" t="str">
        <f t="shared" si="71"/>
        <v/>
      </c>
      <c r="B129" s="141" t="str">
        <f t="shared" si="72"/>
        <v/>
      </c>
      <c r="C129" s="157" t="str">
        <f>IF(D129="","",
    IF(ISERR(SEARCH("_",D129)),
        IFERROR(_xlfn.AGGREGATE(14,6,$C$12:C128,1),0)+1,
        IFERROR(
            VALUE(TRIM(MID(SUBSTITUTE(D129,"_",REPT(" ",LEN(D129))), (LEN(D129)-LEN(SUBSTITUTE(D129,"_",""))-1)*LEN(D129)+1, LEN(D129))))
            &amp; "." &amp;
            VALUE(TRIM(RIGHT(SUBSTITUTE(D129,"_",REPT(" ",LEN(D129))),LEN(D129)))),
            "")))</f>
        <v/>
      </c>
      <c r="D129" s="194"/>
      <c r="E129" s="163"/>
      <c r="F129" s="163"/>
      <c r="G129" s="163"/>
      <c r="H129" s="163"/>
      <c r="I129" s="194"/>
      <c r="J129" s="257"/>
      <c r="K129" s="159"/>
      <c r="L129" s="160"/>
      <c r="M129" s="159"/>
      <c r="N129" s="159"/>
      <c r="O129" s="161"/>
      <c r="P129" s="162" t="str">
        <f t="shared" si="73"/>
        <v/>
      </c>
      <c r="Q129" s="163" t="str">
        <f t="shared" si="74"/>
        <v/>
      </c>
      <c r="R129" s="164">
        <f t="shared" si="75"/>
        <v>0</v>
      </c>
      <c r="S129" s="165">
        <f t="shared" si="76"/>
        <v>0</v>
      </c>
      <c r="T129" s="165">
        <f t="shared" si="77"/>
        <v>0</v>
      </c>
      <c r="U129" s="166">
        <f t="shared" si="78"/>
        <v>0</v>
      </c>
      <c r="V129" s="153" t="str">
        <f t="shared" si="79"/>
        <v/>
      </c>
      <c r="W129" s="153" t="str">
        <f t="shared" si="80"/>
        <v/>
      </c>
      <c r="X129" s="244"/>
      <c r="Y129" s="154">
        <f t="shared" si="81"/>
        <v>0</v>
      </c>
      <c r="Z129" s="154" t="str">
        <f t="shared" si="7"/>
        <v>1000</v>
      </c>
      <c r="AA129" s="153" t="str">
        <f t="shared" si="82"/>
        <v/>
      </c>
      <c r="AD129" s="155" t="str">
        <f t="shared" si="83"/>
        <v/>
      </c>
      <c r="AI129" s="155">
        <f t="array" ref="AI129">MATCH(MIN(IF($AK$501:$AK$525&gt;=IF(G129&gt;1499,E129+7,E129+5), $AK$501:$AK$525)), $AK$501:$AK$525, 0)</f>
        <v>5</v>
      </c>
      <c r="AK129" s="233"/>
      <c r="AL129" s="233"/>
      <c r="AM129" s="155" t="str">
        <f t="shared" si="84"/>
        <v/>
      </c>
      <c r="AN129" s="155" t="str">
        <f t="shared" si="85"/>
        <v/>
      </c>
      <c r="AX129" s="155" t="str">
        <f t="shared" si="86"/>
        <v/>
      </c>
    </row>
    <row r="130" spans="1:50" s="155" customFormat="1" ht="30" hidden="1" customHeight="1">
      <c r="A130" s="141" t="str">
        <f t="shared" si="71"/>
        <v/>
      </c>
      <c r="B130" s="141" t="str">
        <f t="shared" si="72"/>
        <v/>
      </c>
      <c r="C130" s="157" t="str">
        <f>IF(D130="","",
    IF(ISERR(SEARCH("_",D130)),
        IFERROR(_xlfn.AGGREGATE(14,6,$C$12:C129,1),0)+1,
        IFERROR(
            VALUE(TRIM(MID(SUBSTITUTE(D130,"_",REPT(" ",LEN(D130))), (LEN(D130)-LEN(SUBSTITUTE(D130,"_",""))-1)*LEN(D130)+1, LEN(D130))))
            &amp; "." &amp;
            VALUE(TRIM(RIGHT(SUBSTITUTE(D130,"_",REPT(" ",LEN(D130))),LEN(D130)))),
            "")))</f>
        <v/>
      </c>
      <c r="D130" s="194"/>
      <c r="E130" s="163"/>
      <c r="F130" s="163"/>
      <c r="G130" s="163"/>
      <c r="H130" s="163"/>
      <c r="I130" s="194"/>
      <c r="J130" s="257"/>
      <c r="K130" s="159"/>
      <c r="L130" s="160"/>
      <c r="M130" s="159"/>
      <c r="N130" s="159"/>
      <c r="O130" s="161"/>
      <c r="P130" s="162" t="str">
        <f t="shared" si="73"/>
        <v/>
      </c>
      <c r="Q130" s="163" t="str">
        <f t="shared" si="74"/>
        <v/>
      </c>
      <c r="R130" s="164">
        <f t="shared" si="75"/>
        <v>0</v>
      </c>
      <c r="S130" s="165">
        <f t="shared" si="76"/>
        <v>0</v>
      </c>
      <c r="T130" s="165">
        <f t="shared" si="77"/>
        <v>0</v>
      </c>
      <c r="U130" s="166">
        <f t="shared" si="78"/>
        <v>0</v>
      </c>
      <c r="V130" s="153" t="str">
        <f t="shared" si="79"/>
        <v/>
      </c>
      <c r="W130" s="153" t="str">
        <f t="shared" si="80"/>
        <v/>
      </c>
      <c r="X130" s="244"/>
      <c r="Y130" s="154">
        <f t="shared" si="81"/>
        <v>0</v>
      </c>
      <c r="Z130" s="154" t="str">
        <f t="shared" si="7"/>
        <v>1000</v>
      </c>
      <c r="AA130" s="153" t="str">
        <f t="shared" si="82"/>
        <v/>
      </c>
      <c r="AD130" s="155" t="str">
        <f t="shared" si="83"/>
        <v/>
      </c>
      <c r="AI130" s="155">
        <f t="array" ref="AI130">MATCH(MIN(IF($AK$501:$AK$525&gt;=IF(G130&gt;1499,E130+7,E130+5), $AK$501:$AK$525)), $AK$501:$AK$525, 0)</f>
        <v>5</v>
      </c>
      <c r="AK130" s="233"/>
      <c r="AL130" s="233"/>
      <c r="AM130" s="155" t="str">
        <f t="shared" si="84"/>
        <v/>
      </c>
      <c r="AN130" s="155" t="str">
        <f t="shared" si="85"/>
        <v/>
      </c>
      <c r="AX130" s="155" t="str">
        <f t="shared" si="86"/>
        <v/>
      </c>
    </row>
    <row r="131" spans="1:50" s="155" customFormat="1" ht="30" hidden="1" customHeight="1">
      <c r="A131" s="141" t="str">
        <f t="shared" si="71"/>
        <v/>
      </c>
      <c r="B131" s="141" t="str">
        <f t="shared" si="72"/>
        <v/>
      </c>
      <c r="C131" s="157" t="str">
        <f>IF(D131="","",
    IF(ISERR(SEARCH("_",D131)),
        IFERROR(_xlfn.AGGREGATE(14,6,$C$12:C130,1),0)+1,
        IFERROR(
            VALUE(TRIM(MID(SUBSTITUTE(D131,"_",REPT(" ",LEN(D131))), (LEN(D131)-LEN(SUBSTITUTE(D131,"_",""))-1)*LEN(D131)+1, LEN(D131))))
            &amp; "." &amp;
            VALUE(TRIM(RIGHT(SUBSTITUTE(D131,"_",REPT(" ",LEN(D131))),LEN(D131)))),
            "")))</f>
        <v/>
      </c>
      <c r="D131" s="194"/>
      <c r="E131" s="163"/>
      <c r="F131" s="163"/>
      <c r="G131" s="163"/>
      <c r="H131" s="163"/>
      <c r="I131" s="194"/>
      <c r="J131" s="257"/>
      <c r="K131" s="159"/>
      <c r="L131" s="160"/>
      <c r="M131" s="159"/>
      <c r="N131" s="159"/>
      <c r="O131" s="161"/>
      <c r="P131" s="162" t="str">
        <f t="shared" si="73"/>
        <v/>
      </c>
      <c r="Q131" s="163" t="str">
        <f t="shared" si="74"/>
        <v/>
      </c>
      <c r="R131" s="164">
        <f t="shared" si="75"/>
        <v>0</v>
      </c>
      <c r="S131" s="165">
        <f t="shared" si="76"/>
        <v>0</v>
      </c>
      <c r="T131" s="165">
        <f t="shared" si="77"/>
        <v>0</v>
      </c>
      <c r="U131" s="166">
        <f t="shared" si="78"/>
        <v>0</v>
      </c>
      <c r="V131" s="153" t="str">
        <f t="shared" si="79"/>
        <v/>
      </c>
      <c r="W131" s="153" t="str">
        <f t="shared" si="80"/>
        <v/>
      </c>
      <c r="X131" s="244"/>
      <c r="Y131" s="154">
        <f t="shared" si="81"/>
        <v>0</v>
      </c>
      <c r="Z131" s="154" t="str">
        <f t="shared" si="7"/>
        <v>1000</v>
      </c>
      <c r="AA131" s="153" t="str">
        <f t="shared" si="82"/>
        <v/>
      </c>
      <c r="AD131" s="155" t="str">
        <f t="shared" si="83"/>
        <v/>
      </c>
      <c r="AI131" s="155">
        <f t="array" ref="AI131">MATCH(MIN(IF($AK$501:$AK$525&gt;=IF(G131&gt;1499,E131+7,E131+5), $AK$501:$AK$525)), $AK$501:$AK$525, 0)</f>
        <v>5</v>
      </c>
      <c r="AK131" s="233"/>
      <c r="AL131" s="233"/>
      <c r="AM131" s="155" t="str">
        <f t="shared" si="84"/>
        <v/>
      </c>
      <c r="AN131" s="155" t="str">
        <f t="shared" si="85"/>
        <v/>
      </c>
      <c r="AX131" s="155" t="str">
        <f t="shared" si="86"/>
        <v/>
      </c>
    </row>
    <row r="132" spans="1:50" s="155" customFormat="1" ht="30" hidden="1" customHeight="1">
      <c r="A132" s="141" t="str">
        <f t="shared" si="71"/>
        <v/>
      </c>
      <c r="B132" s="141" t="str">
        <f t="shared" si="72"/>
        <v/>
      </c>
      <c r="C132" s="157" t="str">
        <f>IF(D132="","",
    IF(ISERR(SEARCH("_",D132)),
        IFERROR(_xlfn.AGGREGATE(14,6,$C$12:C131,1),0)+1,
        IFERROR(
            VALUE(TRIM(MID(SUBSTITUTE(D132,"_",REPT(" ",LEN(D132))), (LEN(D132)-LEN(SUBSTITUTE(D132,"_",""))-1)*LEN(D132)+1, LEN(D132))))
            &amp; "." &amp;
            VALUE(TRIM(RIGHT(SUBSTITUTE(D132,"_",REPT(" ",LEN(D132))),LEN(D132)))),
            "")))</f>
        <v/>
      </c>
      <c r="D132" s="194"/>
      <c r="E132" s="163"/>
      <c r="F132" s="163"/>
      <c r="G132" s="163"/>
      <c r="H132" s="163"/>
      <c r="I132" s="194"/>
      <c r="J132" s="257"/>
      <c r="K132" s="159"/>
      <c r="L132" s="160"/>
      <c r="M132" s="159"/>
      <c r="N132" s="159"/>
      <c r="O132" s="161"/>
      <c r="P132" s="162" t="str">
        <f t="shared" si="73"/>
        <v/>
      </c>
      <c r="Q132" s="163" t="str">
        <f t="shared" si="74"/>
        <v/>
      </c>
      <c r="R132" s="164">
        <f t="shared" si="75"/>
        <v>0</v>
      </c>
      <c r="S132" s="165">
        <f t="shared" si="76"/>
        <v>0</v>
      </c>
      <c r="T132" s="165">
        <f t="shared" si="77"/>
        <v>0</v>
      </c>
      <c r="U132" s="166">
        <f t="shared" si="78"/>
        <v>0</v>
      </c>
      <c r="V132" s="153" t="str">
        <f t="shared" si="79"/>
        <v/>
      </c>
      <c r="W132" s="153" t="str">
        <f t="shared" si="80"/>
        <v/>
      </c>
      <c r="X132" s="244"/>
      <c r="Y132" s="154">
        <f t="shared" si="81"/>
        <v>0</v>
      </c>
      <c r="Z132" s="154" t="str">
        <f t="shared" si="7"/>
        <v>1000</v>
      </c>
      <c r="AA132" s="153" t="str">
        <f t="shared" si="82"/>
        <v/>
      </c>
      <c r="AD132" s="155" t="str">
        <f t="shared" si="83"/>
        <v/>
      </c>
      <c r="AI132" s="155">
        <f t="array" ref="AI132">MATCH(MIN(IF($AK$501:$AK$525&gt;=IF(G132&gt;1499,E132+7,E132+5), $AK$501:$AK$525)), $AK$501:$AK$525, 0)</f>
        <v>5</v>
      </c>
      <c r="AK132" s="233"/>
      <c r="AL132" s="233"/>
      <c r="AM132" s="155" t="str">
        <f t="shared" si="84"/>
        <v/>
      </c>
      <c r="AN132" s="155" t="str">
        <f t="shared" si="85"/>
        <v/>
      </c>
      <c r="AX132" s="155" t="str">
        <f t="shared" si="86"/>
        <v/>
      </c>
    </row>
    <row r="133" spans="1:50" s="155" customFormat="1" ht="30" hidden="1" customHeight="1">
      <c r="A133" s="141" t="str">
        <f t="shared" si="71"/>
        <v/>
      </c>
      <c r="B133" s="141" t="str">
        <f t="shared" si="72"/>
        <v/>
      </c>
      <c r="C133" s="157" t="str">
        <f>IF(D133="","",
    IF(ISERR(SEARCH("_",D133)),
        IFERROR(_xlfn.AGGREGATE(14,6,$C$12:C132,1),0)+1,
        IFERROR(
            VALUE(TRIM(MID(SUBSTITUTE(D133,"_",REPT(" ",LEN(D133))), (LEN(D133)-LEN(SUBSTITUTE(D133,"_",""))-1)*LEN(D133)+1, LEN(D133))))
            &amp; "." &amp;
            VALUE(TRIM(RIGHT(SUBSTITUTE(D133,"_",REPT(" ",LEN(D133))),LEN(D133)))),
            "")))</f>
        <v/>
      </c>
      <c r="D133" s="194"/>
      <c r="E133" s="163"/>
      <c r="F133" s="163"/>
      <c r="G133" s="163"/>
      <c r="H133" s="163"/>
      <c r="I133" s="194"/>
      <c r="J133" s="257"/>
      <c r="K133" s="159"/>
      <c r="L133" s="160"/>
      <c r="M133" s="159"/>
      <c r="N133" s="159"/>
      <c r="O133" s="161"/>
      <c r="P133" s="162" t="str">
        <f t="shared" si="73"/>
        <v/>
      </c>
      <c r="Q133" s="163" t="str">
        <f t="shared" si="74"/>
        <v/>
      </c>
      <c r="R133" s="164">
        <f t="shared" si="75"/>
        <v>0</v>
      </c>
      <c r="S133" s="165">
        <f t="shared" si="76"/>
        <v>0</v>
      </c>
      <c r="T133" s="165">
        <f t="shared" si="77"/>
        <v>0</v>
      </c>
      <c r="U133" s="166">
        <f t="shared" si="78"/>
        <v>0</v>
      </c>
      <c r="V133" s="153" t="str">
        <f t="shared" si="79"/>
        <v/>
      </c>
      <c r="W133" s="153" t="str">
        <f t="shared" si="80"/>
        <v/>
      </c>
      <c r="X133" s="244"/>
      <c r="Y133" s="154">
        <f t="shared" si="81"/>
        <v>0</v>
      </c>
      <c r="Z133" s="154" t="str">
        <f t="shared" si="7"/>
        <v>1000</v>
      </c>
      <c r="AA133" s="153" t="str">
        <f t="shared" si="82"/>
        <v/>
      </c>
      <c r="AD133" s="155" t="str">
        <f t="shared" si="83"/>
        <v/>
      </c>
      <c r="AI133" s="155">
        <f t="array" ref="AI133">MATCH(MIN(IF($AK$501:$AK$525&gt;=IF(G133&gt;1499,E133+7,E133+5), $AK$501:$AK$525)), $AK$501:$AK$525, 0)</f>
        <v>5</v>
      </c>
      <c r="AK133" s="233"/>
      <c r="AL133" s="233"/>
      <c r="AM133" s="155" t="str">
        <f t="shared" si="84"/>
        <v/>
      </c>
      <c r="AN133" s="155" t="str">
        <f t="shared" si="85"/>
        <v/>
      </c>
      <c r="AX133" s="155" t="str">
        <f t="shared" si="86"/>
        <v/>
      </c>
    </row>
    <row r="134" spans="1:50" s="155" customFormat="1" ht="30" hidden="1" customHeight="1">
      <c r="A134" s="141" t="str">
        <f t="shared" si="71"/>
        <v/>
      </c>
      <c r="B134" s="141" t="str">
        <f t="shared" si="72"/>
        <v/>
      </c>
      <c r="C134" s="157" t="str">
        <f>IF(D134="","",
    IF(ISERR(SEARCH("_",D134)),
        IFERROR(_xlfn.AGGREGATE(14,6,$C$12:C133,1),0)+1,
        IFERROR(
            VALUE(TRIM(MID(SUBSTITUTE(D134,"_",REPT(" ",LEN(D134))), (LEN(D134)-LEN(SUBSTITUTE(D134,"_",""))-1)*LEN(D134)+1, LEN(D134))))
            &amp; "." &amp;
            VALUE(TRIM(RIGHT(SUBSTITUTE(D134,"_",REPT(" ",LEN(D134))),LEN(D134)))),
            "")))</f>
        <v/>
      </c>
      <c r="D134" s="194"/>
      <c r="E134" s="163"/>
      <c r="F134" s="163"/>
      <c r="G134" s="163"/>
      <c r="H134" s="163"/>
      <c r="I134" s="194"/>
      <c r="J134" s="257"/>
      <c r="K134" s="159"/>
      <c r="L134" s="160"/>
      <c r="M134" s="159"/>
      <c r="N134" s="159"/>
      <c r="O134" s="161"/>
      <c r="P134" s="162" t="str">
        <f t="shared" si="73"/>
        <v/>
      </c>
      <c r="Q134" s="163" t="str">
        <f t="shared" si="74"/>
        <v/>
      </c>
      <c r="R134" s="164">
        <f t="shared" si="75"/>
        <v>0</v>
      </c>
      <c r="S134" s="165">
        <f t="shared" si="76"/>
        <v>0</v>
      </c>
      <c r="T134" s="165">
        <f t="shared" si="77"/>
        <v>0</v>
      </c>
      <c r="U134" s="166">
        <f t="shared" si="78"/>
        <v>0</v>
      </c>
      <c r="V134" s="153" t="str">
        <f t="shared" si="79"/>
        <v/>
      </c>
      <c r="W134" s="153" t="str">
        <f t="shared" si="80"/>
        <v/>
      </c>
      <c r="X134" s="244"/>
      <c r="Y134" s="154">
        <f t="shared" si="81"/>
        <v>0</v>
      </c>
      <c r="Z134" s="154" t="str">
        <f t="shared" si="7"/>
        <v>1000</v>
      </c>
      <c r="AA134" s="153" t="str">
        <f t="shared" si="82"/>
        <v/>
      </c>
      <c r="AD134" s="155" t="str">
        <f t="shared" si="83"/>
        <v/>
      </c>
      <c r="AI134" s="155">
        <f t="array" ref="AI134">MATCH(MIN(IF($AK$501:$AK$525&gt;=IF(G134&gt;1499,E134+7,E134+5), $AK$501:$AK$525)), $AK$501:$AK$525, 0)</f>
        <v>5</v>
      </c>
      <c r="AK134" s="233"/>
      <c r="AL134" s="233"/>
      <c r="AM134" s="155" t="str">
        <f t="shared" si="84"/>
        <v/>
      </c>
      <c r="AN134" s="155" t="str">
        <f t="shared" si="85"/>
        <v/>
      </c>
      <c r="AX134" s="155" t="str">
        <f t="shared" si="86"/>
        <v/>
      </c>
    </row>
    <row r="135" spans="1:50" s="155" customFormat="1" ht="30" hidden="1" customHeight="1">
      <c r="A135" s="141" t="str">
        <f t="shared" si="71"/>
        <v/>
      </c>
      <c r="B135" s="141" t="str">
        <f t="shared" si="72"/>
        <v/>
      </c>
      <c r="C135" s="157" t="str">
        <f>IF(D135="","",
    IF(ISERR(SEARCH("_",D135)),
        IFERROR(_xlfn.AGGREGATE(14,6,$C$12:C134,1),0)+1,
        IFERROR(
            VALUE(TRIM(MID(SUBSTITUTE(D135,"_",REPT(" ",LEN(D135))), (LEN(D135)-LEN(SUBSTITUTE(D135,"_",""))-1)*LEN(D135)+1, LEN(D135))))
            &amp; "." &amp;
            VALUE(TRIM(RIGHT(SUBSTITUTE(D135,"_",REPT(" ",LEN(D135))),LEN(D135)))),
            "")))</f>
        <v/>
      </c>
      <c r="D135" s="194"/>
      <c r="E135" s="163"/>
      <c r="F135" s="163"/>
      <c r="G135" s="163"/>
      <c r="H135" s="163"/>
      <c r="I135" s="194"/>
      <c r="J135" s="257"/>
      <c r="K135" s="159"/>
      <c r="L135" s="160"/>
      <c r="M135" s="159"/>
      <c r="N135" s="159"/>
      <c r="O135" s="161"/>
      <c r="P135" s="162" t="str">
        <f t="shared" si="73"/>
        <v/>
      </c>
      <c r="Q135" s="163" t="str">
        <f t="shared" si="74"/>
        <v/>
      </c>
      <c r="R135" s="164">
        <f t="shared" si="75"/>
        <v>0</v>
      </c>
      <c r="S135" s="165">
        <f t="shared" si="76"/>
        <v>0</v>
      </c>
      <c r="T135" s="165">
        <f t="shared" si="77"/>
        <v>0</v>
      </c>
      <c r="U135" s="166">
        <f t="shared" si="78"/>
        <v>0</v>
      </c>
      <c r="V135" s="153" t="str">
        <f t="shared" si="79"/>
        <v/>
      </c>
      <c r="W135" s="153" t="str">
        <f t="shared" si="80"/>
        <v/>
      </c>
      <c r="X135" s="244"/>
      <c r="Y135" s="154">
        <f t="shared" si="81"/>
        <v>0</v>
      </c>
      <c r="Z135" s="154" t="str">
        <f t="shared" si="7"/>
        <v>1000</v>
      </c>
      <c r="AA135" s="153" t="str">
        <f t="shared" si="82"/>
        <v/>
      </c>
      <c r="AD135" s="155" t="str">
        <f t="shared" si="83"/>
        <v/>
      </c>
      <c r="AI135" s="155">
        <f t="array" ref="AI135">MATCH(MIN(IF($AK$501:$AK$525&gt;=IF(G135&gt;1499,E135+7,E135+5), $AK$501:$AK$525)), $AK$501:$AK$525, 0)</f>
        <v>5</v>
      </c>
      <c r="AK135" s="233"/>
      <c r="AL135" s="233"/>
      <c r="AM135" s="155" t="str">
        <f t="shared" si="84"/>
        <v/>
      </c>
      <c r="AN135" s="155" t="str">
        <f t="shared" si="85"/>
        <v/>
      </c>
      <c r="AX135" s="155" t="str">
        <f t="shared" si="86"/>
        <v/>
      </c>
    </row>
    <row r="136" spans="1:50" s="155" customFormat="1" ht="30" hidden="1" customHeight="1">
      <c r="A136" s="141" t="str">
        <f t="shared" si="71"/>
        <v/>
      </c>
      <c r="B136" s="141" t="str">
        <f t="shared" si="72"/>
        <v/>
      </c>
      <c r="C136" s="157" t="str">
        <f>IF(D136="","",
    IF(ISERR(SEARCH("_",D136)),
        IFERROR(_xlfn.AGGREGATE(14,6,$C$12:C135,1),0)+1,
        IFERROR(
            VALUE(TRIM(MID(SUBSTITUTE(D136,"_",REPT(" ",LEN(D136))), (LEN(D136)-LEN(SUBSTITUTE(D136,"_",""))-1)*LEN(D136)+1, LEN(D136))))
            &amp; "." &amp;
            VALUE(TRIM(RIGHT(SUBSTITUTE(D136,"_",REPT(" ",LEN(D136))),LEN(D136)))),
            "")))</f>
        <v/>
      </c>
      <c r="D136" s="194"/>
      <c r="E136" s="163"/>
      <c r="F136" s="163"/>
      <c r="G136" s="163"/>
      <c r="H136" s="163"/>
      <c r="I136" s="194"/>
      <c r="J136" s="257"/>
      <c r="K136" s="159"/>
      <c r="L136" s="160"/>
      <c r="M136" s="159"/>
      <c r="N136" s="159"/>
      <c r="O136" s="161"/>
      <c r="P136" s="162" t="str">
        <f t="shared" si="73"/>
        <v/>
      </c>
      <c r="Q136" s="163" t="str">
        <f t="shared" si="74"/>
        <v/>
      </c>
      <c r="R136" s="164">
        <f t="shared" si="75"/>
        <v>0</v>
      </c>
      <c r="S136" s="165">
        <f t="shared" si="76"/>
        <v>0</v>
      </c>
      <c r="T136" s="165">
        <f t="shared" si="77"/>
        <v>0</v>
      </c>
      <c r="U136" s="166">
        <f t="shared" si="78"/>
        <v>0</v>
      </c>
      <c r="V136" s="153" t="str">
        <f t="shared" si="79"/>
        <v/>
      </c>
      <c r="W136" s="153" t="str">
        <f t="shared" si="80"/>
        <v/>
      </c>
      <c r="X136" s="244"/>
      <c r="Y136" s="154">
        <f t="shared" si="81"/>
        <v>0</v>
      </c>
      <c r="Z136" s="154" t="str">
        <f t="shared" si="7"/>
        <v>1000</v>
      </c>
      <c r="AA136" s="153" t="str">
        <f t="shared" si="82"/>
        <v/>
      </c>
      <c r="AD136" s="155" t="str">
        <f t="shared" si="83"/>
        <v/>
      </c>
      <c r="AI136" s="155">
        <f t="array" ref="AI136">MATCH(MIN(IF($AK$501:$AK$525&gt;=IF(G136&gt;1499,E136+7,E136+5), $AK$501:$AK$525)), $AK$501:$AK$525, 0)</f>
        <v>5</v>
      </c>
      <c r="AK136" s="233"/>
      <c r="AL136" s="233"/>
      <c r="AM136" s="155" t="str">
        <f t="shared" si="84"/>
        <v/>
      </c>
      <c r="AN136" s="155" t="str">
        <f t="shared" si="85"/>
        <v/>
      </c>
      <c r="AX136" s="155" t="str">
        <f t="shared" si="86"/>
        <v/>
      </c>
    </row>
    <row r="137" spans="1:50" s="155" customFormat="1" ht="30" hidden="1" customHeight="1">
      <c r="A137" s="141" t="str">
        <f t="shared" si="71"/>
        <v/>
      </c>
      <c r="B137" s="141" t="str">
        <f t="shared" si="72"/>
        <v/>
      </c>
      <c r="C137" s="157" t="str">
        <f>IF(D137="","",
    IF(ISERR(SEARCH("_",D137)),
        IFERROR(_xlfn.AGGREGATE(14,6,$C$12:C136,1),0)+1,
        IFERROR(
            VALUE(TRIM(MID(SUBSTITUTE(D137,"_",REPT(" ",LEN(D137))), (LEN(D137)-LEN(SUBSTITUTE(D137,"_",""))-1)*LEN(D137)+1, LEN(D137))))
            &amp; "." &amp;
            VALUE(TRIM(RIGHT(SUBSTITUTE(D137,"_",REPT(" ",LEN(D137))),LEN(D137)))),
            "")))</f>
        <v/>
      </c>
      <c r="D137" s="194"/>
      <c r="E137" s="163"/>
      <c r="F137" s="163"/>
      <c r="G137" s="163"/>
      <c r="H137" s="163"/>
      <c r="I137" s="194"/>
      <c r="J137" s="257"/>
      <c r="K137" s="159"/>
      <c r="L137" s="160"/>
      <c r="M137" s="159"/>
      <c r="N137" s="159"/>
      <c r="O137" s="161"/>
      <c r="P137" s="162" t="str">
        <f t="shared" si="73"/>
        <v/>
      </c>
      <c r="Q137" s="163" t="str">
        <f t="shared" si="74"/>
        <v/>
      </c>
      <c r="R137" s="164">
        <f t="shared" si="75"/>
        <v>0</v>
      </c>
      <c r="S137" s="165">
        <f t="shared" si="76"/>
        <v>0</v>
      </c>
      <c r="T137" s="165">
        <f t="shared" si="77"/>
        <v>0</v>
      </c>
      <c r="U137" s="166">
        <f t="shared" si="78"/>
        <v>0</v>
      </c>
      <c r="V137" s="153" t="str">
        <f t="shared" si="79"/>
        <v/>
      </c>
      <c r="W137" s="153" t="str">
        <f t="shared" si="80"/>
        <v/>
      </c>
      <c r="X137" s="244"/>
      <c r="Y137" s="154">
        <f t="shared" si="81"/>
        <v>0</v>
      </c>
      <c r="Z137" s="154" t="str">
        <f t="shared" si="7"/>
        <v>1000</v>
      </c>
      <c r="AA137" s="153" t="str">
        <f t="shared" si="82"/>
        <v/>
      </c>
      <c r="AD137" s="155" t="str">
        <f t="shared" si="83"/>
        <v/>
      </c>
      <c r="AI137" s="155">
        <f t="array" ref="AI137">MATCH(MIN(IF($AK$501:$AK$525&gt;=IF(G137&gt;1499,E137+7,E137+5), $AK$501:$AK$525)), $AK$501:$AK$525, 0)</f>
        <v>5</v>
      </c>
      <c r="AK137" s="233"/>
      <c r="AL137" s="233"/>
      <c r="AM137" s="155" t="str">
        <f t="shared" si="84"/>
        <v/>
      </c>
      <c r="AN137" s="155" t="str">
        <f t="shared" si="85"/>
        <v/>
      </c>
      <c r="AX137" s="155" t="str">
        <f t="shared" si="86"/>
        <v/>
      </c>
    </row>
    <row r="138" spans="1:50" s="155" customFormat="1" ht="30" hidden="1" customHeight="1">
      <c r="A138" s="141" t="str">
        <f t="shared" si="71"/>
        <v/>
      </c>
      <c r="B138" s="141" t="str">
        <f t="shared" si="72"/>
        <v/>
      </c>
      <c r="C138" s="157" t="str">
        <f>IF(D138="","",
    IF(ISERR(SEARCH("_",D138)),
        IFERROR(_xlfn.AGGREGATE(14,6,$C$12:C137,1),0)+1,
        IFERROR(
            VALUE(TRIM(MID(SUBSTITUTE(D138,"_",REPT(" ",LEN(D138))), (LEN(D138)-LEN(SUBSTITUTE(D138,"_",""))-1)*LEN(D138)+1, LEN(D138))))
            &amp; "." &amp;
            VALUE(TRIM(RIGHT(SUBSTITUTE(D138,"_",REPT(" ",LEN(D138))),LEN(D138)))),
            "")))</f>
        <v/>
      </c>
      <c r="D138" s="194"/>
      <c r="E138" s="163"/>
      <c r="F138" s="163"/>
      <c r="G138" s="163"/>
      <c r="H138" s="163"/>
      <c r="I138" s="194"/>
      <c r="J138" s="257"/>
      <c r="K138" s="159"/>
      <c r="L138" s="160"/>
      <c r="M138" s="159"/>
      <c r="N138" s="159"/>
      <c r="O138" s="161"/>
      <c r="P138" s="162" t="str">
        <f t="shared" si="73"/>
        <v/>
      </c>
      <c r="Q138" s="163" t="str">
        <f t="shared" si="74"/>
        <v/>
      </c>
      <c r="R138" s="164">
        <f t="shared" si="75"/>
        <v>0</v>
      </c>
      <c r="S138" s="165">
        <f t="shared" si="76"/>
        <v>0</v>
      </c>
      <c r="T138" s="165">
        <f t="shared" si="77"/>
        <v>0</v>
      </c>
      <c r="U138" s="166">
        <f t="shared" si="78"/>
        <v>0</v>
      </c>
      <c r="V138" s="153" t="str">
        <f t="shared" si="79"/>
        <v/>
      </c>
      <c r="W138" s="153" t="str">
        <f t="shared" si="80"/>
        <v/>
      </c>
      <c r="X138" s="244"/>
      <c r="Y138" s="154">
        <f t="shared" si="81"/>
        <v>0</v>
      </c>
      <c r="Z138" s="154" t="str">
        <f t="shared" si="7"/>
        <v>1000</v>
      </c>
      <c r="AA138" s="153" t="str">
        <f t="shared" si="82"/>
        <v/>
      </c>
      <c r="AD138" s="155" t="str">
        <f t="shared" si="83"/>
        <v/>
      </c>
      <c r="AI138" s="155">
        <f t="array" ref="AI138">MATCH(MIN(IF($AK$501:$AK$525&gt;=IF(G138&gt;1499,E138+7,E138+5), $AK$501:$AK$525)), $AK$501:$AK$525, 0)</f>
        <v>5</v>
      </c>
      <c r="AK138" s="233"/>
      <c r="AL138" s="233"/>
      <c r="AM138" s="155" t="str">
        <f t="shared" si="84"/>
        <v/>
      </c>
      <c r="AN138" s="155" t="str">
        <f t="shared" si="85"/>
        <v/>
      </c>
      <c r="AX138" s="155" t="str">
        <f t="shared" si="86"/>
        <v/>
      </c>
    </row>
    <row r="139" spans="1:50" s="155" customFormat="1" ht="30" hidden="1" customHeight="1">
      <c r="A139" s="141" t="str">
        <f t="shared" si="71"/>
        <v/>
      </c>
      <c r="B139" s="141" t="str">
        <f t="shared" si="72"/>
        <v/>
      </c>
      <c r="C139" s="157" t="str">
        <f>IF(D139="","",
    IF(ISERR(SEARCH("_",D139)),
        IFERROR(_xlfn.AGGREGATE(14,6,$C$12:C138,1),0)+1,
        IFERROR(
            VALUE(TRIM(MID(SUBSTITUTE(D139,"_",REPT(" ",LEN(D139))), (LEN(D139)-LEN(SUBSTITUTE(D139,"_",""))-1)*LEN(D139)+1, LEN(D139))))
            &amp; "." &amp;
            VALUE(TRIM(RIGHT(SUBSTITUTE(D139,"_",REPT(" ",LEN(D139))),LEN(D139)))),
            "")))</f>
        <v/>
      </c>
      <c r="D139" s="194"/>
      <c r="E139" s="163"/>
      <c r="F139" s="163"/>
      <c r="G139" s="163"/>
      <c r="H139" s="163"/>
      <c r="I139" s="194"/>
      <c r="J139" s="257"/>
      <c r="K139" s="159"/>
      <c r="L139" s="160"/>
      <c r="M139" s="159"/>
      <c r="N139" s="159"/>
      <c r="O139" s="161"/>
      <c r="P139" s="162" t="str">
        <f t="shared" si="73"/>
        <v/>
      </c>
      <c r="Q139" s="163" t="str">
        <f t="shared" si="74"/>
        <v/>
      </c>
      <c r="R139" s="164">
        <f t="shared" si="75"/>
        <v>0</v>
      </c>
      <c r="S139" s="165">
        <f t="shared" si="76"/>
        <v>0</v>
      </c>
      <c r="T139" s="165">
        <f t="shared" si="77"/>
        <v>0</v>
      </c>
      <c r="U139" s="166">
        <f t="shared" si="78"/>
        <v>0</v>
      </c>
      <c r="V139" s="153" t="str">
        <f t="shared" si="79"/>
        <v/>
      </c>
      <c r="W139" s="153" t="str">
        <f t="shared" si="80"/>
        <v/>
      </c>
      <c r="X139" s="244"/>
      <c r="Y139" s="154">
        <f t="shared" si="81"/>
        <v>0</v>
      </c>
      <c r="Z139" s="154" t="str">
        <f t="shared" si="7"/>
        <v>1000</v>
      </c>
      <c r="AA139" s="153" t="str">
        <f t="shared" si="82"/>
        <v/>
      </c>
      <c r="AD139" s="155" t="str">
        <f t="shared" si="83"/>
        <v/>
      </c>
      <c r="AI139" s="155">
        <f t="array" ref="AI139">MATCH(MIN(IF($AK$501:$AK$525&gt;=IF(G139&gt;1499,E139+7,E139+5), $AK$501:$AK$525)), $AK$501:$AK$525, 0)</f>
        <v>5</v>
      </c>
      <c r="AK139" s="233"/>
      <c r="AL139" s="233"/>
      <c r="AM139" s="155" t="str">
        <f t="shared" si="84"/>
        <v/>
      </c>
      <c r="AN139" s="155" t="str">
        <f t="shared" si="85"/>
        <v/>
      </c>
      <c r="AX139" s="155" t="str">
        <f t="shared" si="86"/>
        <v/>
      </c>
    </row>
    <row r="140" spans="1:50" s="155" customFormat="1" ht="30" hidden="1" customHeight="1">
      <c r="A140" s="141" t="str">
        <f t="shared" si="71"/>
        <v/>
      </c>
      <c r="B140" s="141" t="str">
        <f t="shared" si="72"/>
        <v/>
      </c>
      <c r="C140" s="157" t="str">
        <f>IF(D140="","",
    IF(ISERR(SEARCH("_",D140)),
        IFERROR(_xlfn.AGGREGATE(14,6,$C$12:C139,1),0)+1,
        IFERROR(
            VALUE(TRIM(MID(SUBSTITUTE(D140,"_",REPT(" ",LEN(D140))), (LEN(D140)-LEN(SUBSTITUTE(D140,"_",""))-1)*LEN(D140)+1, LEN(D140))))
            &amp; "." &amp;
            VALUE(TRIM(RIGHT(SUBSTITUTE(D140,"_",REPT(" ",LEN(D140))),LEN(D140)))),
            "")))</f>
        <v/>
      </c>
      <c r="D140" s="194"/>
      <c r="E140" s="163"/>
      <c r="F140" s="163"/>
      <c r="G140" s="163"/>
      <c r="H140" s="163"/>
      <c r="I140" s="194"/>
      <c r="J140" s="257"/>
      <c r="K140" s="159"/>
      <c r="L140" s="160"/>
      <c r="M140" s="159"/>
      <c r="N140" s="159"/>
      <c r="O140" s="161"/>
      <c r="P140" s="162" t="str">
        <f t="shared" si="73"/>
        <v/>
      </c>
      <c r="Q140" s="163" t="str">
        <f t="shared" si="74"/>
        <v/>
      </c>
      <c r="R140" s="164">
        <f t="shared" si="75"/>
        <v>0</v>
      </c>
      <c r="S140" s="165">
        <f t="shared" si="76"/>
        <v>0</v>
      </c>
      <c r="T140" s="165">
        <f t="shared" si="77"/>
        <v>0</v>
      </c>
      <c r="U140" s="166">
        <f t="shared" si="78"/>
        <v>0</v>
      </c>
      <c r="V140" s="153" t="str">
        <f t="shared" si="79"/>
        <v/>
      </c>
      <c r="W140" s="153" t="str">
        <f t="shared" si="80"/>
        <v/>
      </c>
      <c r="X140" s="244"/>
      <c r="Y140" s="154">
        <f t="shared" si="81"/>
        <v>0</v>
      </c>
      <c r="Z140" s="154" t="str">
        <f t="shared" si="7"/>
        <v>1000</v>
      </c>
      <c r="AA140" s="153" t="str">
        <f t="shared" si="82"/>
        <v/>
      </c>
      <c r="AD140" s="155" t="str">
        <f t="shared" si="83"/>
        <v/>
      </c>
      <c r="AI140" s="155">
        <f t="array" ref="AI140">MATCH(MIN(IF($AK$501:$AK$525&gt;=IF(G140&gt;1499,E140+7,E140+5), $AK$501:$AK$525)), $AK$501:$AK$525, 0)</f>
        <v>5</v>
      </c>
      <c r="AK140" s="233"/>
      <c r="AL140" s="233"/>
      <c r="AM140" s="155" t="str">
        <f t="shared" si="84"/>
        <v/>
      </c>
      <c r="AN140" s="155" t="str">
        <f t="shared" si="85"/>
        <v/>
      </c>
      <c r="AX140" s="155" t="str">
        <f t="shared" si="86"/>
        <v/>
      </c>
    </row>
    <row r="141" spans="1:50" s="155" customFormat="1" ht="30" hidden="1" customHeight="1">
      <c r="A141" s="141" t="str">
        <f t="shared" si="71"/>
        <v/>
      </c>
      <c r="B141" s="141" t="str">
        <f t="shared" si="72"/>
        <v/>
      </c>
      <c r="C141" s="157" t="str">
        <f>IF(D141="","",
    IF(ISERR(SEARCH("_",D141)),
        IFERROR(_xlfn.AGGREGATE(14,6,$C$12:C140,1),0)+1,
        IFERROR(
            VALUE(TRIM(MID(SUBSTITUTE(D141,"_",REPT(" ",LEN(D141))), (LEN(D141)-LEN(SUBSTITUTE(D141,"_",""))-1)*LEN(D141)+1, LEN(D141))))
            &amp; "." &amp;
            VALUE(TRIM(RIGHT(SUBSTITUTE(D141,"_",REPT(" ",LEN(D141))),LEN(D141)))),
            "")))</f>
        <v/>
      </c>
      <c r="D141" s="194"/>
      <c r="E141" s="163"/>
      <c r="F141" s="163"/>
      <c r="G141" s="163"/>
      <c r="H141" s="163"/>
      <c r="I141" s="194"/>
      <c r="J141" s="257"/>
      <c r="K141" s="159"/>
      <c r="L141" s="160"/>
      <c r="M141" s="159"/>
      <c r="N141" s="159"/>
      <c r="O141" s="161"/>
      <c r="P141" s="162" t="str">
        <f t="shared" si="73"/>
        <v/>
      </c>
      <c r="Q141" s="163" t="str">
        <f t="shared" si="74"/>
        <v/>
      </c>
      <c r="R141" s="164">
        <f t="shared" si="75"/>
        <v>0</v>
      </c>
      <c r="S141" s="165">
        <f t="shared" si="76"/>
        <v>0</v>
      </c>
      <c r="T141" s="165">
        <f t="shared" si="77"/>
        <v>0</v>
      </c>
      <c r="U141" s="166">
        <f t="shared" si="78"/>
        <v>0</v>
      </c>
      <c r="V141" s="153" t="str">
        <f t="shared" si="79"/>
        <v/>
      </c>
      <c r="W141" s="153" t="str">
        <f t="shared" si="80"/>
        <v/>
      </c>
      <c r="X141" s="244"/>
      <c r="Y141" s="154">
        <f t="shared" si="81"/>
        <v>0</v>
      </c>
      <c r="Z141" s="154" t="str">
        <f t="shared" si="7"/>
        <v>1000</v>
      </c>
      <c r="AA141" s="153" t="str">
        <f t="shared" si="82"/>
        <v/>
      </c>
      <c r="AD141" s="155" t="str">
        <f t="shared" si="83"/>
        <v/>
      </c>
      <c r="AI141" s="155">
        <f t="array" ref="AI141">MATCH(MIN(IF($AK$501:$AK$525&gt;=IF(G141&gt;1499,E141+7,E141+5), $AK$501:$AK$525)), $AK$501:$AK$525, 0)</f>
        <v>5</v>
      </c>
      <c r="AK141" s="233"/>
      <c r="AL141" s="233"/>
      <c r="AM141" s="155" t="str">
        <f t="shared" si="84"/>
        <v/>
      </c>
      <c r="AN141" s="155" t="str">
        <f t="shared" si="85"/>
        <v/>
      </c>
      <c r="AX141" s="155" t="str">
        <f t="shared" si="86"/>
        <v/>
      </c>
    </row>
    <row r="142" spans="1:50" s="155" customFormat="1" ht="30" hidden="1" customHeight="1">
      <c r="A142" s="141" t="str">
        <f t="shared" si="71"/>
        <v/>
      </c>
      <c r="B142" s="141" t="str">
        <f t="shared" si="72"/>
        <v/>
      </c>
      <c r="C142" s="157" t="str">
        <f>IF(D142="","",
    IF(ISERR(SEARCH("_",D142)),
        IFERROR(_xlfn.AGGREGATE(14,6,$C$12:C141,1),0)+1,
        IFERROR(
            VALUE(TRIM(MID(SUBSTITUTE(D142,"_",REPT(" ",LEN(D142))), (LEN(D142)-LEN(SUBSTITUTE(D142,"_",""))-1)*LEN(D142)+1, LEN(D142))))
            &amp; "." &amp;
            VALUE(TRIM(RIGHT(SUBSTITUTE(D142,"_",REPT(" ",LEN(D142))),LEN(D142)))),
            "")))</f>
        <v/>
      </c>
      <c r="D142" s="194"/>
      <c r="E142" s="163"/>
      <c r="F142" s="163"/>
      <c r="G142" s="163"/>
      <c r="H142" s="163"/>
      <c r="I142" s="194"/>
      <c r="J142" s="257"/>
      <c r="K142" s="159"/>
      <c r="L142" s="160"/>
      <c r="M142" s="159"/>
      <c r="N142" s="159"/>
      <c r="O142" s="161"/>
      <c r="P142" s="162" t="str">
        <f t="shared" si="73"/>
        <v/>
      </c>
      <c r="Q142" s="163" t="str">
        <f t="shared" si="74"/>
        <v/>
      </c>
      <c r="R142" s="164">
        <f t="shared" si="75"/>
        <v>0</v>
      </c>
      <c r="S142" s="165">
        <f t="shared" ref="S142:S205" si="87">IF(ISERR(SEARCH("2d",K142)),IF(ISERR(SEARCH("1d",K142)),0,1),2)*($G142+40)*$H142/10^3+IF(ISERR(SEARCH("2r",K142)),IF(ISERR(SEARCH("1r",K142)),0,1),2)*($F142+40)*$H142/10^3</f>
        <v>0</v>
      </c>
      <c r="T142" s="165">
        <f t="shared" si="77"/>
        <v>0</v>
      </c>
      <c r="U142" s="166">
        <f t="shared" si="78"/>
        <v>0</v>
      </c>
      <c r="V142" s="153" t="str">
        <f t="shared" si="79"/>
        <v/>
      </c>
      <c r="W142" s="153" t="str">
        <f t="shared" si="80"/>
        <v/>
      </c>
      <c r="X142" s="244"/>
      <c r="Y142" s="154">
        <f t="shared" ref="Y142:Y205" si="88">IFERROR((E142*F142*G142*H142*10^-9)*750,"")</f>
        <v>0</v>
      </c>
      <c r="Z142" s="154" t="str">
        <f t="shared" si="7"/>
        <v>1000</v>
      </c>
      <c r="AA142" s="153" t="str">
        <f t="shared" si="82"/>
        <v/>
      </c>
      <c r="AD142" s="155" t="str">
        <f t="shared" si="83"/>
        <v/>
      </c>
      <c r="AI142" s="155">
        <f t="array" ref="AI142">MATCH(MIN(IF($AK$501:$AK$525&gt;=IF(G142&gt;1499,E142+7,E142+5), $AK$501:$AK$525)), $AK$501:$AK$525, 0)</f>
        <v>5</v>
      </c>
      <c r="AK142" s="233"/>
      <c r="AL142" s="233"/>
      <c r="AM142" s="155" t="str">
        <f t="shared" si="84"/>
        <v/>
      </c>
      <c r="AN142" s="155" t="str">
        <f t="shared" si="85"/>
        <v/>
      </c>
      <c r="AX142" s="155" t="str">
        <f t="shared" si="86"/>
        <v/>
      </c>
    </row>
    <row r="143" spans="1:50" s="155" customFormat="1" ht="30" hidden="1" customHeight="1">
      <c r="A143" s="141" t="str">
        <f t="shared" si="71"/>
        <v/>
      </c>
      <c r="B143" s="141" t="str">
        <f t="shared" si="72"/>
        <v/>
      </c>
      <c r="C143" s="157" t="str">
        <f>IF(D143="","",
    IF(ISERR(SEARCH("_",D143)),
        IFERROR(_xlfn.AGGREGATE(14,6,$C$12:C142,1),0)+1,
        IFERROR(
            VALUE(TRIM(MID(SUBSTITUTE(D143,"_",REPT(" ",LEN(D143))), (LEN(D143)-LEN(SUBSTITUTE(D143,"_",""))-1)*LEN(D143)+1, LEN(D143))))
            &amp; "." &amp;
            VALUE(TRIM(RIGHT(SUBSTITUTE(D143,"_",REPT(" ",LEN(D143))),LEN(D143)))),
            "")))</f>
        <v/>
      </c>
      <c r="D143" s="194"/>
      <c r="E143" s="163"/>
      <c r="F143" s="163"/>
      <c r="G143" s="163"/>
      <c r="H143" s="163"/>
      <c r="I143" s="194"/>
      <c r="J143" s="257"/>
      <c r="K143" s="159"/>
      <c r="L143" s="160"/>
      <c r="M143" s="159"/>
      <c r="N143" s="159"/>
      <c r="O143" s="161"/>
      <c r="P143" s="162" t="str">
        <f t="shared" si="73"/>
        <v/>
      </c>
      <c r="Q143" s="163" t="str">
        <f t="shared" si="74"/>
        <v/>
      </c>
      <c r="R143" s="164">
        <f t="shared" si="75"/>
        <v>0</v>
      </c>
      <c r="S143" s="165">
        <f t="shared" si="87"/>
        <v>0</v>
      </c>
      <c r="T143" s="165">
        <f t="shared" si="77"/>
        <v>0</v>
      </c>
      <c r="U143" s="166">
        <f t="shared" si="78"/>
        <v>0</v>
      </c>
      <c r="V143" s="153" t="str">
        <f t="shared" si="79"/>
        <v/>
      </c>
      <c r="W143" s="153" t="str">
        <f t="shared" si="80"/>
        <v/>
      </c>
      <c r="X143" s="244"/>
      <c r="Y143" s="154">
        <f t="shared" si="88"/>
        <v>0</v>
      </c>
      <c r="Z143" s="154" t="str">
        <f t="shared" si="7"/>
        <v>1000</v>
      </c>
      <c r="AA143" s="153" t="str">
        <f t="shared" si="82"/>
        <v/>
      </c>
      <c r="AD143" s="155" t="str">
        <f t="shared" si="83"/>
        <v/>
      </c>
      <c r="AI143" s="155">
        <f t="array" ref="AI143">MATCH(MIN(IF($AK$501:$AK$525&gt;=IF(G143&gt;1499,E143+7,E143+5), $AK$501:$AK$525)), $AK$501:$AK$525, 0)</f>
        <v>5</v>
      </c>
      <c r="AK143" s="233"/>
      <c r="AL143" s="233"/>
      <c r="AM143" s="155" t="str">
        <f t="shared" si="84"/>
        <v/>
      </c>
      <c r="AN143" s="155" t="str">
        <f t="shared" si="85"/>
        <v/>
      </c>
      <c r="AX143" s="155" t="str">
        <f t="shared" si="86"/>
        <v/>
      </c>
    </row>
    <row r="144" spans="1:50" s="155" customFormat="1" ht="30" hidden="1" customHeight="1">
      <c r="A144" s="141" t="str">
        <f t="shared" ref="A144:A157" si="89">IF(W144="IN",$E$6,"")</f>
        <v/>
      </c>
      <c r="B144" s="141" t="str">
        <f t="shared" ref="B144:B157" si="90">IF(W144="IN","Muc "&amp;$E$7,"")</f>
        <v/>
      </c>
      <c r="C144" s="157" t="str">
        <f>IF(D144="","",
    IF(ISERR(SEARCH("_",D144)),
        IFERROR(_xlfn.AGGREGATE(14,6,$C$12:C143,1),0)+1,
        IFERROR(
            VALUE(TRIM(MID(SUBSTITUTE(D144,"_",REPT(" ",LEN(D144))), (LEN(D144)-LEN(SUBSTITUTE(D144,"_",""))-1)*LEN(D144)+1, LEN(D144))))
            &amp; "." &amp;
            VALUE(TRIM(RIGHT(SUBSTITUTE(D144,"_",REPT(" ",LEN(D144))),LEN(D144)))),
            "")))</f>
        <v/>
      </c>
      <c r="D144" s="194"/>
      <c r="E144" s="163"/>
      <c r="F144" s="163"/>
      <c r="G144" s="163"/>
      <c r="H144" s="163"/>
      <c r="I144" s="194"/>
      <c r="J144" s="257"/>
      <c r="K144" s="159"/>
      <c r="L144" s="160"/>
      <c r="M144" s="159"/>
      <c r="N144" s="159"/>
      <c r="O144" s="161"/>
      <c r="P144" s="162" t="str">
        <f t="shared" ref="P144:P157" si="91">IF(AND(LEFT(I144,2)="gỗ",M144&lt;&gt;""),IF(LEFT(RIGHT(IF(E144="","",INDEX($AL$501:$AL$525,VALUE(AI144),1)),3),2)="/4",AM144,AN144)&amp;" "&amp;IF(E144="","",INDEX($AL$501:$AL$525,VALUE(AI144),1)),IF(AND(LEFT(I144,2)="gỗ",M144=""),"loại BC"&amp;" "&amp;IF(E144="","",INDEX($AL$501:$AL$525,VALUE(AI144),1)),""))</f>
        <v/>
      </c>
      <c r="Q144" s="163" t="str">
        <f t="shared" ref="Q144:Q157" si="92">IF(I144="","",IF(LEFT(I144,2)="gỗ","m3","Tấm"))</f>
        <v/>
      </c>
      <c r="R144" s="164">
        <f t="shared" ref="R144:R157" si="93">IF(OR(Q144="Con",Q144="Cụm",Q144="Hệ",Q144="Thanh"),H144,IF(Q144="Tấm",(F144*G144*H144)/(1220*2440),IF(Q144="Md",G144*H144/1000,IF(Q144="M2",F144*G144*H144/10^6,IF(Q144="M3",E144*F144*G144*H144/10^9,0)))))</f>
        <v>0</v>
      </c>
      <c r="S144" s="165">
        <f t="shared" si="87"/>
        <v>0</v>
      </c>
      <c r="T144" s="165">
        <f t="shared" ref="T144:T157" si="94">IF(ISERR(SEARCH("2m",M144)),IF(ISERR(SEARCH("1m",M144)),0,1),2)*$G144*$F144*$H144/10^6+IF(ISERR(SEARCH("2d",M144)),IF(ISERR(SEARCH("1d",M144)),0,1),2)*$G144*$E144*$H144/10^6+IF(ISERR(SEARCH("2r",M144)),IF(ISERR(SEARCH("1r",M144)),0,1),2)*$F144*$E144*$H144/10^6</f>
        <v>0</v>
      </c>
      <c r="U144" s="166">
        <f t="shared" ref="U144:U157" si="95">IF(ISERR(SEARCH("2m",N144)),IF(ISERR(SEARCH("1m",N144)),0,1),2)*$G144*$F144*$H144/10^6+IF(ISERR(SEARCH("2d",N144)),IF(ISERR(SEARCH("1d",N144)),0,1),2)*$G144*$E144*$H144/10^6+IF(ISERR(SEARCH("2r",N144)),IF(ISERR(SEARCH("1r",N144)),0,1),2)*$F144*$E144*$H144/10^6</f>
        <v>0</v>
      </c>
      <c r="V144" s="153" t="str">
        <f t="shared" ref="V144:V157" si="96">IF(W144="IN",$Y$3,"")</f>
        <v/>
      </c>
      <c r="W144" s="153" t="str">
        <f t="shared" ref="W144:W157" si="97">IF(OR(C144&lt;&gt;"",D144&lt;&gt;""),"IN","")</f>
        <v/>
      </c>
      <c r="X144" s="244"/>
      <c r="Y144" s="154">
        <f t="shared" si="88"/>
        <v>0</v>
      </c>
      <c r="Z144" s="154" t="str">
        <f t="shared" si="7"/>
        <v>1000</v>
      </c>
      <c r="AA144" s="153" t="str">
        <f t="shared" ref="AA144:AA157" si="98">IFERROR(MATCH(J144,$J$13:$J$482,0)&amp;",","")</f>
        <v/>
      </c>
      <c r="AD144" s="155" t="str">
        <f t="shared" ref="AD144:AD157" si="99">IF(OR(I144="_",LEFT(I144,4)="KTHT"),"",IF(C144="","",1))</f>
        <v/>
      </c>
      <c r="AI144" s="155">
        <f t="array" ref="AI144">MATCH(MIN(IF($AK$501:$AK$525&gt;=IF(G144&gt;1499,E144+7,E144+5), $AK$501:$AK$525)), $AK$501:$AK$525, 0)</f>
        <v>5</v>
      </c>
      <c r="AK144" s="233"/>
      <c r="AL144" s="233"/>
      <c r="AM144" s="155" t="str">
        <f t="shared" ref="AM144:AM157" si="100">IF(M144="","",IF(F144&gt;99,"FAS",IF(LEFT(I144,2)="Gỗ",IF(LEFT(M144,4)="2M2D","loại 1common",IF(AND(G144&gt;1699,LEFT(M144,4)&lt;&gt;"2M2D"),"loại 1common","loại 2common")),"")))</f>
        <v/>
      </c>
      <c r="AN144" s="155" t="str">
        <f t="shared" ref="AN144:AN157" si="101">IF(AM144="","",IF(AM144="loại 1common","loại A",IF(AM144="loại 2common","loại AB","loại FAS")))</f>
        <v/>
      </c>
      <c r="AX144" s="155" t="str">
        <f t="shared" ref="AX144:AX157" si="102">W144</f>
        <v/>
      </c>
    </row>
    <row r="145" spans="1:50" s="155" customFormat="1" ht="30" hidden="1" customHeight="1">
      <c r="A145" s="141" t="str">
        <f t="shared" si="89"/>
        <v/>
      </c>
      <c r="B145" s="141" t="str">
        <f t="shared" si="90"/>
        <v/>
      </c>
      <c r="C145" s="157" t="str">
        <f>IF(D145="","",
    IF(ISERR(SEARCH("_",D145)),
        IFERROR(_xlfn.AGGREGATE(14,6,$C$12:C144,1),0)+1,
        IFERROR(
            VALUE(TRIM(MID(SUBSTITUTE(D145,"_",REPT(" ",LEN(D145))), (LEN(D145)-LEN(SUBSTITUTE(D145,"_",""))-1)*LEN(D145)+1, LEN(D145))))
            &amp; "." &amp;
            VALUE(TRIM(RIGHT(SUBSTITUTE(D145,"_",REPT(" ",LEN(D145))),LEN(D145)))),
            "")))</f>
        <v/>
      </c>
      <c r="D145" s="194"/>
      <c r="E145" s="163"/>
      <c r="F145" s="163"/>
      <c r="G145" s="163"/>
      <c r="H145" s="163"/>
      <c r="I145" s="194"/>
      <c r="J145" s="257"/>
      <c r="K145" s="159"/>
      <c r="L145" s="160"/>
      <c r="M145" s="159"/>
      <c r="N145" s="159"/>
      <c r="O145" s="161"/>
      <c r="P145" s="162" t="str">
        <f t="shared" si="91"/>
        <v/>
      </c>
      <c r="Q145" s="163" t="str">
        <f t="shared" si="92"/>
        <v/>
      </c>
      <c r="R145" s="164">
        <f t="shared" si="93"/>
        <v>0</v>
      </c>
      <c r="S145" s="165">
        <f t="shared" si="87"/>
        <v>0</v>
      </c>
      <c r="T145" s="165">
        <f t="shared" si="94"/>
        <v>0</v>
      </c>
      <c r="U145" s="166">
        <f t="shared" si="95"/>
        <v>0</v>
      </c>
      <c r="V145" s="153" t="str">
        <f t="shared" si="96"/>
        <v/>
      </c>
      <c r="W145" s="153" t="str">
        <f t="shared" si="97"/>
        <v/>
      </c>
      <c r="X145" s="244"/>
      <c r="Y145" s="154">
        <f t="shared" si="88"/>
        <v>0</v>
      </c>
      <c r="Z145" s="154" t="str">
        <f t="shared" si="7"/>
        <v>1000</v>
      </c>
      <c r="AA145" s="153" t="str">
        <f t="shared" si="98"/>
        <v/>
      </c>
      <c r="AD145" s="155" t="str">
        <f t="shared" si="99"/>
        <v/>
      </c>
      <c r="AI145" s="155">
        <f t="array" ref="AI145">MATCH(MIN(IF($AK$501:$AK$525&gt;=IF(G145&gt;1499,E145+7,E145+5), $AK$501:$AK$525)), $AK$501:$AK$525, 0)</f>
        <v>5</v>
      </c>
      <c r="AK145" s="233"/>
      <c r="AL145" s="233"/>
      <c r="AM145" s="155" t="str">
        <f t="shared" si="100"/>
        <v/>
      </c>
      <c r="AN145" s="155" t="str">
        <f t="shared" si="101"/>
        <v/>
      </c>
      <c r="AX145" s="155" t="str">
        <f t="shared" si="102"/>
        <v/>
      </c>
    </row>
    <row r="146" spans="1:50" s="155" customFormat="1" ht="30" hidden="1" customHeight="1">
      <c r="A146" s="141" t="str">
        <f t="shared" si="89"/>
        <v/>
      </c>
      <c r="B146" s="141" t="str">
        <f t="shared" si="90"/>
        <v/>
      </c>
      <c r="C146" s="157" t="str">
        <f>IF(D146="","",
    IF(ISERR(SEARCH("_",D146)),
        IFERROR(_xlfn.AGGREGATE(14,6,$C$12:C145,1),0)+1,
        IFERROR(
            VALUE(TRIM(MID(SUBSTITUTE(D146,"_",REPT(" ",LEN(D146))), (LEN(D146)-LEN(SUBSTITUTE(D146,"_",""))-1)*LEN(D146)+1, LEN(D146))))
            &amp; "." &amp;
            VALUE(TRIM(RIGHT(SUBSTITUTE(D146,"_",REPT(" ",LEN(D146))),LEN(D146)))),
            "")))</f>
        <v/>
      </c>
      <c r="D146" s="194"/>
      <c r="E146" s="163"/>
      <c r="F146" s="163"/>
      <c r="G146" s="163"/>
      <c r="H146" s="163"/>
      <c r="I146" s="194"/>
      <c r="J146" s="257"/>
      <c r="K146" s="159"/>
      <c r="L146" s="160"/>
      <c r="M146" s="159"/>
      <c r="N146" s="159"/>
      <c r="O146" s="161"/>
      <c r="P146" s="162" t="str">
        <f t="shared" si="91"/>
        <v/>
      </c>
      <c r="Q146" s="163" t="str">
        <f t="shared" si="92"/>
        <v/>
      </c>
      <c r="R146" s="164">
        <f t="shared" si="93"/>
        <v>0</v>
      </c>
      <c r="S146" s="165">
        <f t="shared" si="87"/>
        <v>0</v>
      </c>
      <c r="T146" s="165">
        <f t="shared" si="94"/>
        <v>0</v>
      </c>
      <c r="U146" s="166">
        <f t="shared" si="95"/>
        <v>0</v>
      </c>
      <c r="V146" s="153" t="str">
        <f t="shared" si="96"/>
        <v/>
      </c>
      <c r="W146" s="153" t="str">
        <f t="shared" si="97"/>
        <v/>
      </c>
      <c r="X146" s="244"/>
      <c r="Y146" s="154">
        <f t="shared" si="88"/>
        <v>0</v>
      </c>
      <c r="Z146" s="154" t="str">
        <f t="shared" si="7"/>
        <v>1000</v>
      </c>
      <c r="AA146" s="153" t="str">
        <f t="shared" si="98"/>
        <v/>
      </c>
      <c r="AD146" s="155" t="str">
        <f t="shared" si="99"/>
        <v/>
      </c>
      <c r="AI146" s="155">
        <f t="array" ref="AI146">MATCH(MIN(IF($AK$501:$AK$525&gt;=IF(G146&gt;1499,E146+7,E146+5), $AK$501:$AK$525)), $AK$501:$AK$525, 0)</f>
        <v>5</v>
      </c>
      <c r="AK146" s="233"/>
      <c r="AL146" s="233"/>
      <c r="AM146" s="155" t="str">
        <f t="shared" si="100"/>
        <v/>
      </c>
      <c r="AN146" s="155" t="str">
        <f t="shared" si="101"/>
        <v/>
      </c>
      <c r="AX146" s="155" t="str">
        <f t="shared" si="102"/>
        <v/>
      </c>
    </row>
    <row r="147" spans="1:50" s="155" customFormat="1" ht="30" hidden="1" customHeight="1">
      <c r="A147" s="141" t="str">
        <f t="shared" si="89"/>
        <v/>
      </c>
      <c r="B147" s="141" t="str">
        <f t="shared" si="90"/>
        <v/>
      </c>
      <c r="C147" s="157" t="str">
        <f>IF(D147="","",
    IF(ISERR(SEARCH("_",D147)),
        IFERROR(_xlfn.AGGREGATE(14,6,$C$12:C146,1),0)+1,
        IFERROR(
            VALUE(TRIM(MID(SUBSTITUTE(D147,"_",REPT(" ",LEN(D147))), (LEN(D147)-LEN(SUBSTITUTE(D147,"_",""))-1)*LEN(D147)+1, LEN(D147))))
            &amp; "." &amp;
            VALUE(TRIM(RIGHT(SUBSTITUTE(D147,"_",REPT(" ",LEN(D147))),LEN(D147)))),
            "")))</f>
        <v/>
      </c>
      <c r="D147" s="194"/>
      <c r="E147" s="163"/>
      <c r="F147" s="163"/>
      <c r="G147" s="163"/>
      <c r="H147" s="163"/>
      <c r="I147" s="194"/>
      <c r="J147" s="257"/>
      <c r="K147" s="159"/>
      <c r="L147" s="160"/>
      <c r="M147" s="159"/>
      <c r="N147" s="159"/>
      <c r="O147" s="161"/>
      <c r="P147" s="162" t="str">
        <f t="shared" si="91"/>
        <v/>
      </c>
      <c r="Q147" s="163" t="str">
        <f t="shared" si="92"/>
        <v/>
      </c>
      <c r="R147" s="164">
        <f t="shared" si="93"/>
        <v>0</v>
      </c>
      <c r="S147" s="165">
        <f t="shared" si="87"/>
        <v>0</v>
      </c>
      <c r="T147" s="165">
        <f t="shared" si="94"/>
        <v>0</v>
      </c>
      <c r="U147" s="166">
        <f t="shared" si="95"/>
        <v>0</v>
      </c>
      <c r="V147" s="153" t="str">
        <f t="shared" si="96"/>
        <v/>
      </c>
      <c r="W147" s="153" t="str">
        <f t="shared" si="97"/>
        <v/>
      </c>
      <c r="X147" s="244"/>
      <c r="Y147" s="154">
        <f t="shared" si="88"/>
        <v>0</v>
      </c>
      <c r="Z147" s="154" t="str">
        <f t="shared" si="7"/>
        <v>1000</v>
      </c>
      <c r="AA147" s="153" t="str">
        <f t="shared" si="98"/>
        <v/>
      </c>
      <c r="AD147" s="155" t="str">
        <f t="shared" si="99"/>
        <v/>
      </c>
      <c r="AI147" s="155">
        <f t="array" ref="AI147">MATCH(MIN(IF($AK$501:$AK$525&gt;=IF(G147&gt;1499,E147+7,E147+5), $AK$501:$AK$525)), $AK$501:$AK$525, 0)</f>
        <v>5</v>
      </c>
      <c r="AK147" s="233"/>
      <c r="AL147" s="233"/>
      <c r="AM147" s="155" t="str">
        <f t="shared" si="100"/>
        <v/>
      </c>
      <c r="AN147" s="155" t="str">
        <f t="shared" si="101"/>
        <v/>
      </c>
      <c r="AX147" s="155" t="str">
        <f t="shared" si="102"/>
        <v/>
      </c>
    </row>
    <row r="148" spans="1:50" s="155" customFormat="1" ht="30" hidden="1" customHeight="1">
      <c r="A148" s="141" t="str">
        <f t="shared" si="89"/>
        <v/>
      </c>
      <c r="B148" s="141" t="str">
        <f t="shared" si="90"/>
        <v/>
      </c>
      <c r="C148" s="157" t="str">
        <f>IF(D148="","",
    IF(ISERR(SEARCH("_",D148)),
        IFERROR(_xlfn.AGGREGATE(14,6,$C$12:C147,1),0)+1,
        IFERROR(
            VALUE(TRIM(MID(SUBSTITUTE(D148,"_",REPT(" ",LEN(D148))), (LEN(D148)-LEN(SUBSTITUTE(D148,"_",""))-1)*LEN(D148)+1, LEN(D148))))
            &amp; "." &amp;
            VALUE(TRIM(RIGHT(SUBSTITUTE(D148,"_",REPT(" ",LEN(D148))),LEN(D148)))),
            "")))</f>
        <v/>
      </c>
      <c r="D148" s="194"/>
      <c r="E148" s="163"/>
      <c r="F148" s="163"/>
      <c r="G148" s="163"/>
      <c r="H148" s="163"/>
      <c r="I148" s="194"/>
      <c r="J148" s="257"/>
      <c r="K148" s="159"/>
      <c r="L148" s="160"/>
      <c r="M148" s="159"/>
      <c r="N148" s="159"/>
      <c r="O148" s="161"/>
      <c r="P148" s="162" t="str">
        <f t="shared" si="91"/>
        <v/>
      </c>
      <c r="Q148" s="163" t="str">
        <f t="shared" si="92"/>
        <v/>
      </c>
      <c r="R148" s="164">
        <f t="shared" si="93"/>
        <v>0</v>
      </c>
      <c r="S148" s="165">
        <f t="shared" si="87"/>
        <v>0</v>
      </c>
      <c r="T148" s="165">
        <f t="shared" si="94"/>
        <v>0</v>
      </c>
      <c r="U148" s="166">
        <f t="shared" si="95"/>
        <v>0</v>
      </c>
      <c r="V148" s="153" t="str">
        <f t="shared" si="96"/>
        <v/>
      </c>
      <c r="W148" s="153" t="str">
        <f t="shared" si="97"/>
        <v/>
      </c>
      <c r="X148" s="244"/>
      <c r="Y148" s="154">
        <f t="shared" si="88"/>
        <v>0</v>
      </c>
      <c r="Z148" s="154" t="str">
        <f t="shared" si="7"/>
        <v>1000</v>
      </c>
      <c r="AA148" s="153" t="str">
        <f t="shared" si="98"/>
        <v/>
      </c>
      <c r="AD148" s="155" t="str">
        <f t="shared" si="99"/>
        <v/>
      </c>
      <c r="AI148" s="155">
        <f t="array" ref="AI148">MATCH(MIN(IF($AK$501:$AK$525&gt;=IF(G148&gt;1499,E148+7,E148+5), $AK$501:$AK$525)), $AK$501:$AK$525, 0)</f>
        <v>5</v>
      </c>
      <c r="AK148" s="233"/>
      <c r="AL148" s="233"/>
      <c r="AM148" s="155" t="str">
        <f t="shared" si="100"/>
        <v/>
      </c>
      <c r="AN148" s="155" t="str">
        <f t="shared" si="101"/>
        <v/>
      </c>
      <c r="AX148" s="155" t="str">
        <f t="shared" si="102"/>
        <v/>
      </c>
    </row>
    <row r="149" spans="1:50" s="155" customFormat="1" ht="30" hidden="1" customHeight="1">
      <c r="A149" s="141" t="str">
        <f t="shared" si="89"/>
        <v/>
      </c>
      <c r="B149" s="141" t="str">
        <f t="shared" si="90"/>
        <v/>
      </c>
      <c r="C149" s="157" t="str">
        <f>IF(D149="","",
    IF(ISERR(SEARCH("_",D149)),
        IFERROR(_xlfn.AGGREGATE(14,6,$C$12:C148,1),0)+1,
        IFERROR(
            VALUE(TRIM(MID(SUBSTITUTE(D149,"_",REPT(" ",LEN(D149))), (LEN(D149)-LEN(SUBSTITUTE(D149,"_",""))-1)*LEN(D149)+1, LEN(D149))))
            &amp; "." &amp;
            VALUE(TRIM(RIGHT(SUBSTITUTE(D149,"_",REPT(" ",LEN(D149))),LEN(D149)))),
            "")))</f>
        <v/>
      </c>
      <c r="D149" s="194"/>
      <c r="E149" s="163"/>
      <c r="F149" s="163"/>
      <c r="G149" s="163"/>
      <c r="H149" s="163"/>
      <c r="I149" s="194"/>
      <c r="J149" s="257"/>
      <c r="K149" s="159"/>
      <c r="L149" s="160"/>
      <c r="M149" s="159"/>
      <c r="N149" s="159"/>
      <c r="O149" s="161"/>
      <c r="P149" s="162" t="str">
        <f t="shared" si="91"/>
        <v/>
      </c>
      <c r="Q149" s="163" t="str">
        <f t="shared" si="92"/>
        <v/>
      </c>
      <c r="R149" s="164">
        <f t="shared" si="93"/>
        <v>0</v>
      </c>
      <c r="S149" s="165">
        <f t="shared" si="87"/>
        <v>0</v>
      </c>
      <c r="T149" s="165">
        <f t="shared" si="94"/>
        <v>0</v>
      </c>
      <c r="U149" s="166">
        <f t="shared" si="95"/>
        <v>0</v>
      </c>
      <c r="V149" s="153" t="str">
        <f t="shared" si="96"/>
        <v/>
      </c>
      <c r="W149" s="153" t="str">
        <f t="shared" si="97"/>
        <v/>
      </c>
      <c r="X149" s="244"/>
      <c r="Y149" s="154">
        <f t="shared" si="88"/>
        <v>0</v>
      </c>
      <c r="Z149" s="154" t="str">
        <f t="shared" si="7"/>
        <v>1000</v>
      </c>
      <c r="AA149" s="153" t="str">
        <f t="shared" si="98"/>
        <v/>
      </c>
      <c r="AD149" s="155" t="str">
        <f t="shared" si="99"/>
        <v/>
      </c>
      <c r="AI149" s="155">
        <f t="array" ref="AI149">MATCH(MIN(IF($AK$501:$AK$525&gt;=IF(G149&gt;1499,E149+7,E149+5), $AK$501:$AK$525)), $AK$501:$AK$525, 0)</f>
        <v>5</v>
      </c>
      <c r="AK149" s="233"/>
      <c r="AL149" s="233"/>
      <c r="AM149" s="155" t="str">
        <f t="shared" si="100"/>
        <v/>
      </c>
      <c r="AN149" s="155" t="str">
        <f t="shared" si="101"/>
        <v/>
      </c>
      <c r="AX149" s="155" t="str">
        <f t="shared" si="102"/>
        <v/>
      </c>
    </row>
    <row r="150" spans="1:50" s="155" customFormat="1" ht="30" hidden="1" customHeight="1">
      <c r="A150" s="141" t="str">
        <f t="shared" si="89"/>
        <v/>
      </c>
      <c r="B150" s="141" t="str">
        <f t="shared" si="90"/>
        <v/>
      </c>
      <c r="C150" s="157" t="str">
        <f>IF(D150="","",
    IF(ISERR(SEARCH("_",D150)),
        IFERROR(_xlfn.AGGREGATE(14,6,$C$12:C149,1),0)+1,
        IFERROR(
            VALUE(TRIM(MID(SUBSTITUTE(D150,"_",REPT(" ",LEN(D150))), (LEN(D150)-LEN(SUBSTITUTE(D150,"_",""))-1)*LEN(D150)+1, LEN(D150))))
            &amp; "." &amp;
            VALUE(TRIM(RIGHT(SUBSTITUTE(D150,"_",REPT(" ",LEN(D150))),LEN(D150)))),
            "")))</f>
        <v/>
      </c>
      <c r="D150" s="194"/>
      <c r="E150" s="163"/>
      <c r="F150" s="163"/>
      <c r="G150" s="163"/>
      <c r="H150" s="163"/>
      <c r="I150" s="194"/>
      <c r="J150" s="257"/>
      <c r="K150" s="159"/>
      <c r="L150" s="160"/>
      <c r="M150" s="159"/>
      <c r="N150" s="159"/>
      <c r="O150" s="161"/>
      <c r="P150" s="162" t="str">
        <f t="shared" si="91"/>
        <v/>
      </c>
      <c r="Q150" s="163" t="str">
        <f t="shared" si="92"/>
        <v/>
      </c>
      <c r="R150" s="164">
        <f t="shared" si="93"/>
        <v>0</v>
      </c>
      <c r="S150" s="165">
        <f t="shared" si="87"/>
        <v>0</v>
      </c>
      <c r="T150" s="165">
        <f t="shared" si="94"/>
        <v>0</v>
      </c>
      <c r="U150" s="166">
        <f t="shared" si="95"/>
        <v>0</v>
      </c>
      <c r="V150" s="153" t="str">
        <f t="shared" si="96"/>
        <v/>
      </c>
      <c r="W150" s="153" t="str">
        <f t="shared" si="97"/>
        <v/>
      </c>
      <c r="X150" s="244"/>
      <c r="Y150" s="154">
        <f t="shared" si="88"/>
        <v>0</v>
      </c>
      <c r="Z150" s="154" t="str">
        <f t="shared" si="7"/>
        <v>1000</v>
      </c>
      <c r="AA150" s="153" t="str">
        <f t="shared" si="98"/>
        <v/>
      </c>
      <c r="AD150" s="155" t="str">
        <f t="shared" si="99"/>
        <v/>
      </c>
      <c r="AI150" s="155">
        <f t="array" ref="AI150">MATCH(MIN(IF($AK$501:$AK$525&gt;=IF(G150&gt;1499,E150+7,E150+5), $AK$501:$AK$525)), $AK$501:$AK$525, 0)</f>
        <v>5</v>
      </c>
      <c r="AK150" s="233"/>
      <c r="AL150" s="233"/>
      <c r="AM150" s="155" t="str">
        <f t="shared" si="100"/>
        <v/>
      </c>
      <c r="AN150" s="155" t="str">
        <f t="shared" si="101"/>
        <v/>
      </c>
      <c r="AX150" s="155" t="str">
        <f t="shared" si="102"/>
        <v/>
      </c>
    </row>
    <row r="151" spans="1:50" s="155" customFormat="1" ht="30" hidden="1" customHeight="1">
      <c r="A151" s="141" t="str">
        <f t="shared" si="89"/>
        <v/>
      </c>
      <c r="B151" s="141" t="str">
        <f t="shared" si="90"/>
        <v/>
      </c>
      <c r="C151" s="157" t="str">
        <f>IF(D151="","",
    IF(ISERR(SEARCH("_",D151)),
        IFERROR(_xlfn.AGGREGATE(14,6,$C$12:C150,1),0)+1,
        IFERROR(
            VALUE(TRIM(MID(SUBSTITUTE(D151,"_",REPT(" ",LEN(D151))), (LEN(D151)-LEN(SUBSTITUTE(D151,"_",""))-1)*LEN(D151)+1, LEN(D151))))
            &amp; "." &amp;
            VALUE(TRIM(RIGHT(SUBSTITUTE(D151,"_",REPT(" ",LEN(D151))),LEN(D151)))),
            "")))</f>
        <v/>
      </c>
      <c r="D151" s="194"/>
      <c r="E151" s="163"/>
      <c r="F151" s="163"/>
      <c r="G151" s="163"/>
      <c r="H151" s="163"/>
      <c r="I151" s="194"/>
      <c r="J151" s="257"/>
      <c r="K151" s="159"/>
      <c r="L151" s="160"/>
      <c r="M151" s="159"/>
      <c r="N151" s="159"/>
      <c r="O151" s="161"/>
      <c r="P151" s="162" t="str">
        <f t="shared" si="91"/>
        <v/>
      </c>
      <c r="Q151" s="163" t="str">
        <f t="shared" si="92"/>
        <v/>
      </c>
      <c r="R151" s="164">
        <f t="shared" si="93"/>
        <v>0</v>
      </c>
      <c r="S151" s="165">
        <f t="shared" si="87"/>
        <v>0</v>
      </c>
      <c r="T151" s="165">
        <f t="shared" si="94"/>
        <v>0</v>
      </c>
      <c r="U151" s="166">
        <f t="shared" si="95"/>
        <v>0</v>
      </c>
      <c r="V151" s="153" t="str">
        <f t="shared" si="96"/>
        <v/>
      </c>
      <c r="W151" s="153" t="str">
        <f t="shared" si="97"/>
        <v/>
      </c>
      <c r="X151" s="244"/>
      <c r="Y151" s="154">
        <f t="shared" si="88"/>
        <v>0</v>
      </c>
      <c r="Z151" s="154" t="str">
        <f t="shared" si="7"/>
        <v>1000</v>
      </c>
      <c r="AA151" s="153" t="str">
        <f t="shared" si="98"/>
        <v/>
      </c>
      <c r="AD151" s="155" t="str">
        <f t="shared" si="99"/>
        <v/>
      </c>
      <c r="AI151" s="155">
        <f t="array" ref="AI151">MATCH(MIN(IF($AK$501:$AK$525&gt;=IF(G151&gt;1499,E151+7,E151+5), $AK$501:$AK$525)), $AK$501:$AK$525, 0)</f>
        <v>5</v>
      </c>
      <c r="AK151" s="233"/>
      <c r="AL151" s="233"/>
      <c r="AM151" s="155" t="str">
        <f t="shared" si="100"/>
        <v/>
      </c>
      <c r="AN151" s="155" t="str">
        <f t="shared" si="101"/>
        <v/>
      </c>
      <c r="AX151" s="155" t="str">
        <f t="shared" si="102"/>
        <v/>
      </c>
    </row>
    <row r="152" spans="1:50" s="155" customFormat="1" ht="30" hidden="1" customHeight="1">
      <c r="A152" s="141" t="str">
        <f t="shared" si="89"/>
        <v/>
      </c>
      <c r="B152" s="141" t="str">
        <f t="shared" si="90"/>
        <v/>
      </c>
      <c r="C152" s="157" t="str">
        <f>IF(D152="","",
    IF(ISERR(SEARCH("_",D152)),
        IFERROR(_xlfn.AGGREGATE(14,6,$C$12:C151,1),0)+1,
        IFERROR(
            VALUE(TRIM(MID(SUBSTITUTE(D152,"_",REPT(" ",LEN(D152))), (LEN(D152)-LEN(SUBSTITUTE(D152,"_",""))-1)*LEN(D152)+1, LEN(D152))))
            &amp; "." &amp;
            VALUE(TRIM(RIGHT(SUBSTITUTE(D152,"_",REPT(" ",LEN(D152))),LEN(D152)))),
            "")))</f>
        <v/>
      </c>
      <c r="D152" s="194"/>
      <c r="E152" s="163"/>
      <c r="F152" s="163"/>
      <c r="G152" s="163"/>
      <c r="H152" s="163"/>
      <c r="I152" s="194"/>
      <c r="J152" s="257"/>
      <c r="K152" s="159"/>
      <c r="L152" s="160"/>
      <c r="M152" s="159"/>
      <c r="N152" s="159"/>
      <c r="O152" s="161"/>
      <c r="P152" s="162" t="str">
        <f t="shared" si="91"/>
        <v/>
      </c>
      <c r="Q152" s="163" t="str">
        <f t="shared" si="92"/>
        <v/>
      </c>
      <c r="R152" s="164">
        <f t="shared" si="93"/>
        <v>0</v>
      </c>
      <c r="S152" s="165">
        <f t="shared" si="87"/>
        <v>0</v>
      </c>
      <c r="T152" s="165">
        <f t="shared" si="94"/>
        <v>0</v>
      </c>
      <c r="U152" s="166">
        <f t="shared" si="95"/>
        <v>0</v>
      </c>
      <c r="V152" s="153" t="str">
        <f t="shared" si="96"/>
        <v/>
      </c>
      <c r="W152" s="153" t="str">
        <f t="shared" si="97"/>
        <v/>
      </c>
      <c r="X152" s="244"/>
      <c r="Y152" s="154">
        <f t="shared" si="88"/>
        <v>0</v>
      </c>
      <c r="Z152" s="154" t="str">
        <f t="shared" si="7"/>
        <v>1000</v>
      </c>
      <c r="AA152" s="153" t="str">
        <f t="shared" si="98"/>
        <v/>
      </c>
      <c r="AD152" s="155" t="str">
        <f t="shared" si="99"/>
        <v/>
      </c>
      <c r="AI152" s="155">
        <f t="array" ref="AI152">MATCH(MIN(IF($AK$501:$AK$525&gt;=IF(G152&gt;1499,E152+7,E152+5), $AK$501:$AK$525)), $AK$501:$AK$525, 0)</f>
        <v>5</v>
      </c>
      <c r="AK152" s="233"/>
      <c r="AL152" s="233"/>
      <c r="AM152" s="155" t="str">
        <f t="shared" si="100"/>
        <v/>
      </c>
      <c r="AN152" s="155" t="str">
        <f t="shared" si="101"/>
        <v/>
      </c>
      <c r="AX152" s="155" t="str">
        <f t="shared" si="102"/>
        <v/>
      </c>
    </row>
    <row r="153" spans="1:50" s="155" customFormat="1" ht="30" hidden="1" customHeight="1">
      <c r="A153" s="141" t="str">
        <f t="shared" si="89"/>
        <v/>
      </c>
      <c r="B153" s="141" t="str">
        <f t="shared" si="90"/>
        <v/>
      </c>
      <c r="C153" s="157" t="str">
        <f>IF(D153="","",
    IF(ISERR(SEARCH("_",D153)),
        IFERROR(_xlfn.AGGREGATE(14,6,$C$12:C152,1),0)+1,
        IFERROR(
            VALUE(TRIM(MID(SUBSTITUTE(D153,"_",REPT(" ",LEN(D153))), (LEN(D153)-LEN(SUBSTITUTE(D153,"_",""))-1)*LEN(D153)+1, LEN(D153))))
            &amp; "." &amp;
            VALUE(TRIM(RIGHT(SUBSTITUTE(D153,"_",REPT(" ",LEN(D153))),LEN(D153)))),
            "")))</f>
        <v/>
      </c>
      <c r="D153" s="194"/>
      <c r="E153" s="163"/>
      <c r="F153" s="163"/>
      <c r="G153" s="163"/>
      <c r="H153" s="163"/>
      <c r="I153" s="194"/>
      <c r="J153" s="257"/>
      <c r="K153" s="159"/>
      <c r="L153" s="160"/>
      <c r="M153" s="159"/>
      <c r="N153" s="159"/>
      <c r="O153" s="161"/>
      <c r="P153" s="162" t="str">
        <f t="shared" si="91"/>
        <v/>
      </c>
      <c r="Q153" s="163" t="str">
        <f t="shared" si="92"/>
        <v/>
      </c>
      <c r="R153" s="164">
        <f t="shared" si="93"/>
        <v>0</v>
      </c>
      <c r="S153" s="165">
        <f t="shared" si="87"/>
        <v>0</v>
      </c>
      <c r="T153" s="165">
        <f t="shared" si="94"/>
        <v>0</v>
      </c>
      <c r="U153" s="166">
        <f t="shared" si="95"/>
        <v>0</v>
      </c>
      <c r="V153" s="153" t="str">
        <f t="shared" si="96"/>
        <v/>
      </c>
      <c r="W153" s="153" t="str">
        <f t="shared" si="97"/>
        <v/>
      </c>
      <c r="X153" s="244"/>
      <c r="Y153" s="154">
        <f t="shared" si="88"/>
        <v>0</v>
      </c>
      <c r="Z153" s="154" t="str">
        <f t="shared" si="7"/>
        <v>1000</v>
      </c>
      <c r="AA153" s="153" t="str">
        <f t="shared" si="98"/>
        <v/>
      </c>
      <c r="AD153" s="155" t="str">
        <f t="shared" si="99"/>
        <v/>
      </c>
      <c r="AI153" s="155">
        <f t="array" ref="AI153">MATCH(MIN(IF($AK$501:$AK$525&gt;=IF(G153&gt;1499,E153+7,E153+5), $AK$501:$AK$525)), $AK$501:$AK$525, 0)</f>
        <v>5</v>
      </c>
      <c r="AK153" s="233"/>
      <c r="AL153" s="233"/>
      <c r="AM153" s="155" t="str">
        <f t="shared" si="100"/>
        <v/>
      </c>
      <c r="AN153" s="155" t="str">
        <f t="shared" si="101"/>
        <v/>
      </c>
      <c r="AX153" s="155" t="str">
        <f t="shared" si="102"/>
        <v/>
      </c>
    </row>
    <row r="154" spans="1:50" s="155" customFormat="1" ht="30" hidden="1" customHeight="1">
      <c r="A154" s="141" t="str">
        <f t="shared" si="89"/>
        <v/>
      </c>
      <c r="B154" s="141" t="str">
        <f t="shared" si="90"/>
        <v/>
      </c>
      <c r="C154" s="157" t="str">
        <f>IF(D154="","",
    IF(ISERR(SEARCH("_",D154)),
        IFERROR(_xlfn.AGGREGATE(14,6,$C$12:C153,1),0)+1,
        IFERROR(
            VALUE(TRIM(MID(SUBSTITUTE(D154,"_",REPT(" ",LEN(D154))), (LEN(D154)-LEN(SUBSTITUTE(D154,"_",""))-1)*LEN(D154)+1, LEN(D154))))
            &amp; "." &amp;
            VALUE(TRIM(RIGHT(SUBSTITUTE(D154,"_",REPT(" ",LEN(D154))),LEN(D154)))),
            "")))</f>
        <v/>
      </c>
      <c r="D154" s="194"/>
      <c r="E154" s="163"/>
      <c r="F154" s="163"/>
      <c r="G154" s="163"/>
      <c r="H154" s="163"/>
      <c r="I154" s="194"/>
      <c r="J154" s="257"/>
      <c r="K154" s="159"/>
      <c r="L154" s="160"/>
      <c r="M154" s="159"/>
      <c r="N154" s="159"/>
      <c r="O154" s="161"/>
      <c r="P154" s="162" t="str">
        <f t="shared" si="91"/>
        <v/>
      </c>
      <c r="Q154" s="163" t="str">
        <f t="shared" si="92"/>
        <v/>
      </c>
      <c r="R154" s="164">
        <f t="shared" si="93"/>
        <v>0</v>
      </c>
      <c r="S154" s="165">
        <f t="shared" si="87"/>
        <v>0</v>
      </c>
      <c r="T154" s="165">
        <f t="shared" si="94"/>
        <v>0</v>
      </c>
      <c r="U154" s="166">
        <f t="shared" si="95"/>
        <v>0</v>
      </c>
      <c r="V154" s="153" t="str">
        <f t="shared" si="96"/>
        <v/>
      </c>
      <c r="W154" s="153" t="str">
        <f t="shared" si="97"/>
        <v/>
      </c>
      <c r="X154" s="244"/>
      <c r="Y154" s="154">
        <f t="shared" si="88"/>
        <v>0</v>
      </c>
      <c r="Z154" s="154" t="str">
        <f t="shared" si="7"/>
        <v>1000</v>
      </c>
      <c r="AA154" s="153" t="str">
        <f t="shared" si="98"/>
        <v/>
      </c>
      <c r="AD154" s="155" t="str">
        <f t="shared" si="99"/>
        <v/>
      </c>
      <c r="AI154" s="155">
        <f t="array" ref="AI154">MATCH(MIN(IF($AK$501:$AK$525&gt;=IF(G154&gt;1499,E154+7,E154+5), $AK$501:$AK$525)), $AK$501:$AK$525, 0)</f>
        <v>5</v>
      </c>
      <c r="AK154" s="233"/>
      <c r="AL154" s="233"/>
      <c r="AM154" s="155" t="str">
        <f t="shared" si="100"/>
        <v/>
      </c>
      <c r="AN154" s="155" t="str">
        <f t="shared" si="101"/>
        <v/>
      </c>
      <c r="AX154" s="155" t="str">
        <f t="shared" si="102"/>
        <v/>
      </c>
    </row>
    <row r="155" spans="1:50" s="155" customFormat="1" ht="30" hidden="1" customHeight="1">
      <c r="A155" s="141" t="str">
        <f t="shared" si="89"/>
        <v/>
      </c>
      <c r="B155" s="141" t="str">
        <f t="shared" si="90"/>
        <v/>
      </c>
      <c r="C155" s="157" t="str">
        <f>IF(D155="","",
    IF(ISERR(SEARCH("_",D155)),
        IFERROR(_xlfn.AGGREGATE(14,6,$C$12:C154,1),0)+1,
        IFERROR(
            VALUE(TRIM(MID(SUBSTITUTE(D155,"_",REPT(" ",LEN(D155))), (LEN(D155)-LEN(SUBSTITUTE(D155,"_",""))-1)*LEN(D155)+1, LEN(D155))))
            &amp; "." &amp;
            VALUE(TRIM(RIGHT(SUBSTITUTE(D155,"_",REPT(" ",LEN(D155))),LEN(D155)))),
            "")))</f>
        <v/>
      </c>
      <c r="D155" s="194"/>
      <c r="E155" s="163"/>
      <c r="F155" s="163"/>
      <c r="G155" s="163"/>
      <c r="H155" s="163"/>
      <c r="I155" s="194"/>
      <c r="J155" s="257"/>
      <c r="K155" s="159"/>
      <c r="L155" s="160"/>
      <c r="M155" s="159"/>
      <c r="N155" s="159"/>
      <c r="O155" s="161"/>
      <c r="P155" s="162" t="str">
        <f t="shared" si="91"/>
        <v/>
      </c>
      <c r="Q155" s="163" t="str">
        <f t="shared" si="92"/>
        <v/>
      </c>
      <c r="R155" s="164">
        <f t="shared" si="93"/>
        <v>0</v>
      </c>
      <c r="S155" s="165">
        <f t="shared" si="87"/>
        <v>0</v>
      </c>
      <c r="T155" s="165">
        <f t="shared" si="94"/>
        <v>0</v>
      </c>
      <c r="U155" s="166">
        <f t="shared" si="95"/>
        <v>0</v>
      </c>
      <c r="V155" s="153" t="str">
        <f t="shared" si="96"/>
        <v/>
      </c>
      <c r="W155" s="153" t="str">
        <f t="shared" si="97"/>
        <v/>
      </c>
      <c r="X155" s="244"/>
      <c r="Y155" s="154">
        <f t="shared" si="88"/>
        <v>0</v>
      </c>
      <c r="Z155" s="154" t="str">
        <f t="shared" si="7"/>
        <v>1000</v>
      </c>
      <c r="AA155" s="153" t="str">
        <f t="shared" si="98"/>
        <v/>
      </c>
      <c r="AD155" s="155" t="str">
        <f t="shared" si="99"/>
        <v/>
      </c>
      <c r="AI155" s="155">
        <f t="array" ref="AI155">MATCH(MIN(IF($AK$501:$AK$525&gt;=IF(G155&gt;1499,E155+7,E155+5), $AK$501:$AK$525)), $AK$501:$AK$525, 0)</f>
        <v>5</v>
      </c>
      <c r="AK155" s="233"/>
      <c r="AL155" s="233"/>
      <c r="AM155" s="155" t="str">
        <f t="shared" si="100"/>
        <v/>
      </c>
      <c r="AN155" s="155" t="str">
        <f t="shared" si="101"/>
        <v/>
      </c>
      <c r="AX155" s="155" t="str">
        <f t="shared" si="102"/>
        <v/>
      </c>
    </row>
    <row r="156" spans="1:50" s="155" customFormat="1" ht="30" hidden="1" customHeight="1">
      <c r="A156" s="141" t="str">
        <f t="shared" si="89"/>
        <v/>
      </c>
      <c r="B156" s="141" t="str">
        <f t="shared" si="90"/>
        <v/>
      </c>
      <c r="C156" s="157" t="str">
        <f>IF(D156="","",
    IF(ISERR(SEARCH("_",D156)),
        IFERROR(_xlfn.AGGREGATE(14,6,$C$12:C155,1),0)+1,
        IFERROR(
            VALUE(TRIM(MID(SUBSTITUTE(D156,"_",REPT(" ",LEN(D156))), (LEN(D156)-LEN(SUBSTITUTE(D156,"_",""))-1)*LEN(D156)+1, LEN(D156))))
            &amp; "." &amp;
            VALUE(TRIM(RIGHT(SUBSTITUTE(D156,"_",REPT(" ",LEN(D156))),LEN(D156)))),
            "")))</f>
        <v/>
      </c>
      <c r="D156" s="194"/>
      <c r="E156" s="163"/>
      <c r="F156" s="163"/>
      <c r="G156" s="163"/>
      <c r="H156" s="163"/>
      <c r="I156" s="194"/>
      <c r="J156" s="257"/>
      <c r="K156" s="159"/>
      <c r="L156" s="160"/>
      <c r="M156" s="159"/>
      <c r="N156" s="159"/>
      <c r="O156" s="161"/>
      <c r="P156" s="162" t="str">
        <f t="shared" si="91"/>
        <v/>
      </c>
      <c r="Q156" s="163" t="str">
        <f t="shared" si="92"/>
        <v/>
      </c>
      <c r="R156" s="164">
        <f t="shared" si="93"/>
        <v>0</v>
      </c>
      <c r="S156" s="165">
        <f t="shared" si="87"/>
        <v>0</v>
      </c>
      <c r="T156" s="165">
        <f t="shared" si="94"/>
        <v>0</v>
      </c>
      <c r="U156" s="166">
        <f t="shared" si="95"/>
        <v>0</v>
      </c>
      <c r="V156" s="153" t="str">
        <f t="shared" si="96"/>
        <v/>
      </c>
      <c r="W156" s="153" t="str">
        <f t="shared" si="97"/>
        <v/>
      </c>
      <c r="X156" s="244"/>
      <c r="Y156" s="154">
        <f t="shared" si="88"/>
        <v>0</v>
      </c>
      <c r="Z156" s="154" t="str">
        <f t="shared" si="7"/>
        <v>1000</v>
      </c>
      <c r="AA156" s="153" t="str">
        <f t="shared" si="98"/>
        <v/>
      </c>
      <c r="AD156" s="155" t="str">
        <f t="shared" si="99"/>
        <v/>
      </c>
      <c r="AI156" s="155">
        <f t="array" ref="AI156">MATCH(MIN(IF($AK$501:$AK$525&gt;=IF(G156&gt;1499,E156+7,E156+5), $AK$501:$AK$525)), $AK$501:$AK$525, 0)</f>
        <v>5</v>
      </c>
      <c r="AK156" s="233"/>
      <c r="AL156" s="233"/>
      <c r="AM156" s="155" t="str">
        <f t="shared" si="100"/>
        <v/>
      </c>
      <c r="AN156" s="155" t="str">
        <f t="shared" si="101"/>
        <v/>
      </c>
      <c r="AX156" s="155" t="str">
        <f t="shared" si="102"/>
        <v/>
      </c>
    </row>
    <row r="157" spans="1:50" s="155" customFormat="1" ht="30" hidden="1" customHeight="1">
      <c r="A157" s="141" t="str">
        <f t="shared" si="89"/>
        <v/>
      </c>
      <c r="B157" s="141" t="str">
        <f t="shared" si="90"/>
        <v/>
      </c>
      <c r="C157" s="157" t="str">
        <f>IF(D157="","",
    IF(ISERR(SEARCH("_",D157)),
        IFERROR(_xlfn.AGGREGATE(14,6,$C$12:C156,1),0)+1,
        IFERROR(
            VALUE(TRIM(MID(SUBSTITUTE(D157,"_",REPT(" ",LEN(D157))), (LEN(D157)-LEN(SUBSTITUTE(D157,"_",""))-1)*LEN(D157)+1, LEN(D157))))
            &amp; "." &amp;
            VALUE(TRIM(RIGHT(SUBSTITUTE(D157,"_",REPT(" ",LEN(D157))),LEN(D157)))),
            "")))</f>
        <v/>
      </c>
      <c r="D157" s="194"/>
      <c r="E157" s="163"/>
      <c r="F157" s="163"/>
      <c r="G157" s="163"/>
      <c r="H157" s="163"/>
      <c r="I157" s="194"/>
      <c r="J157" s="257"/>
      <c r="K157" s="159"/>
      <c r="L157" s="160"/>
      <c r="M157" s="159"/>
      <c r="N157" s="159"/>
      <c r="O157" s="161"/>
      <c r="P157" s="162" t="str">
        <f t="shared" si="91"/>
        <v/>
      </c>
      <c r="Q157" s="163" t="str">
        <f t="shared" si="92"/>
        <v/>
      </c>
      <c r="R157" s="164">
        <f t="shared" si="93"/>
        <v>0</v>
      </c>
      <c r="S157" s="165">
        <f t="shared" si="87"/>
        <v>0</v>
      </c>
      <c r="T157" s="165">
        <f t="shared" si="94"/>
        <v>0</v>
      </c>
      <c r="U157" s="166">
        <f t="shared" si="95"/>
        <v>0</v>
      </c>
      <c r="V157" s="153" t="str">
        <f t="shared" si="96"/>
        <v/>
      </c>
      <c r="W157" s="153" t="str">
        <f t="shared" si="97"/>
        <v/>
      </c>
      <c r="X157" s="244"/>
      <c r="Y157" s="154">
        <f t="shared" si="88"/>
        <v>0</v>
      </c>
      <c r="Z157" s="154" t="str">
        <f t="shared" si="7"/>
        <v>1000</v>
      </c>
      <c r="AA157" s="153" t="str">
        <f t="shared" si="98"/>
        <v/>
      </c>
      <c r="AD157" s="155" t="str">
        <f t="shared" si="99"/>
        <v/>
      </c>
      <c r="AI157" s="155">
        <f t="array" ref="AI157">MATCH(MIN(IF($AK$501:$AK$525&gt;=IF(G157&gt;1499,E157+7,E157+5), $AK$501:$AK$525)), $AK$501:$AK$525, 0)</f>
        <v>5</v>
      </c>
      <c r="AK157" s="233"/>
      <c r="AL157" s="233"/>
      <c r="AM157" s="155" t="str">
        <f t="shared" si="100"/>
        <v/>
      </c>
      <c r="AN157" s="155" t="str">
        <f t="shared" si="101"/>
        <v/>
      </c>
      <c r="AX157" s="155" t="str">
        <f t="shared" si="102"/>
        <v/>
      </c>
    </row>
    <row r="158" spans="1:50" s="155" customFormat="1" ht="30" hidden="1" customHeight="1">
      <c r="A158" s="141" t="str">
        <f t="shared" ref="A158:A207" si="103">IF(W158="IN",$E$6,"")</f>
        <v/>
      </c>
      <c r="B158" s="141" t="str">
        <f t="shared" ref="B158:B207" si="104">IF(W158="IN","Muc "&amp;$E$7,"")</f>
        <v/>
      </c>
      <c r="C158" s="157" t="str">
        <f>IF(D158="","",
    IF(ISERR(SEARCH("_",D158)),
        IFERROR(_xlfn.AGGREGATE(14,6,$C$12:C157,1),0)+1,
        IFERROR(
            VALUE(TRIM(MID(SUBSTITUTE(D158,"_",REPT(" ",LEN(D158))), (LEN(D158)-LEN(SUBSTITUTE(D158,"_",""))-1)*LEN(D158)+1, LEN(D158))))
            &amp; "." &amp;
            VALUE(TRIM(RIGHT(SUBSTITUTE(D158,"_",REPT(" ",LEN(D158))),LEN(D158)))),
            "")))</f>
        <v/>
      </c>
      <c r="D158" s="158"/>
      <c r="E158" s="159"/>
      <c r="F158" s="159"/>
      <c r="G158" s="159"/>
      <c r="H158" s="159"/>
      <c r="I158" s="158"/>
      <c r="J158" s="158"/>
      <c r="K158" s="159"/>
      <c r="L158" s="160"/>
      <c r="M158" s="159"/>
      <c r="N158" s="159"/>
      <c r="O158" s="161"/>
      <c r="P158" s="162" t="str">
        <f t="shared" ref="P158:P207" si="105">IF(AND(LEFT(I158,2)="gỗ",M158&lt;&gt;""),IF(LEFT(RIGHT(IF(E158="","",INDEX($AL$501:$AL$525,VALUE(AI158),1)),3),2)="/4",AM158,AN158)&amp;" "&amp;IF(E158="","",INDEX($AL$501:$AL$525,VALUE(AI158),1)),IF(AND(LEFT(I158,2)="gỗ",M158=""),"loại BC"&amp;" "&amp;IF(E158="","",INDEX($AL$501:$AL$525,VALUE(AI158),1)),""))</f>
        <v/>
      </c>
      <c r="Q158" s="163" t="str">
        <f t="shared" ref="Q158:Q207" si="106">IF(I158="","",IF(LEFT(I158,2)="gỗ","m3","Tấm"))</f>
        <v/>
      </c>
      <c r="R158" s="164">
        <f t="shared" ref="R158:R207" si="107">IF(OR(Q158="Con",Q158="Cụm",Q158="Hệ",Q158="Thanh"),H158,IF(Q158="Tấm",(F158*G158*H158)/(1220*2440),IF(Q158="Md",G158*H158/1000,IF(Q158="M2",F158*G158*H158/10^6,IF(Q158="M3",E158*F158*G158*H158/10^9,0)))))</f>
        <v>0</v>
      </c>
      <c r="S158" s="165">
        <f t="shared" si="87"/>
        <v>0</v>
      </c>
      <c r="T158" s="165">
        <f t="shared" ref="T158:T205" si="108">IF(ISERR(SEARCH("2m",M158)),IF(ISERR(SEARCH("1m",M158)),0,1),2)*$G158*$F158*$H158/10^6+IF(ISERR(SEARCH("2d",M158)),IF(ISERR(SEARCH("1d",M158)),0,1),2)*$G158*$E158*$H158/10^6+IF(ISERR(SEARCH("2r",M158)),IF(ISERR(SEARCH("1r",M158)),0,1),2)*$F158*$E158*$H158/10^6</f>
        <v>0</v>
      </c>
      <c r="U158" s="166">
        <f t="shared" ref="U158:U205" si="109">IF(ISERR(SEARCH("2m",N158)),IF(ISERR(SEARCH("1m",N158)),0,1),2)*$G158*$F158*$H158/10^6+IF(ISERR(SEARCH("2d",N158)),IF(ISERR(SEARCH("1d",N158)),0,1),2)*$G158*$E158*$H158/10^6+IF(ISERR(SEARCH("2r",N158)),IF(ISERR(SEARCH("1r",N158)),0,1),2)*$F158*$E158*$H158/10^6</f>
        <v>0</v>
      </c>
      <c r="V158" s="153" t="str">
        <f t="shared" ref="V158:V207" si="110">IF(W158="IN",$Y$3,"")</f>
        <v/>
      </c>
      <c r="W158" s="153" t="str">
        <f t="shared" ref="W158:W207" si="111">IF(OR(C158&lt;&gt;"",D158&lt;&gt;""),"IN","")</f>
        <v/>
      </c>
      <c r="X158" s="244"/>
      <c r="Y158" s="154">
        <f t="shared" si="88"/>
        <v>0</v>
      </c>
      <c r="Z158" s="154" t="str">
        <f t="shared" ref="Z158:Z204" si="112">IFERROR(FIND(".",$C159),"1000")</f>
        <v>1000</v>
      </c>
      <c r="AA158" s="153" t="str">
        <f t="shared" ref="AA158:AA207" si="113">IFERROR(MATCH(J158,$J$13:$J$482,0)&amp;",","")</f>
        <v/>
      </c>
      <c r="AD158" s="155" t="str">
        <f t="shared" ref="AD158:AD205" si="114">IF(OR(I158="_",LEFT(I158,4)="KTHT"),"",IF(C158="","",1))</f>
        <v/>
      </c>
      <c r="AI158" s="155">
        <f t="array" ref="AI158">MATCH(MIN(IF($AK$501:$AK$525&gt;=IF(G158&gt;1499,E158+7,E158+5), $AK$501:$AK$525)), $AK$501:$AK$525, 0)</f>
        <v>5</v>
      </c>
      <c r="AK158" s="233"/>
      <c r="AL158" s="233"/>
      <c r="AM158" s="155" t="str">
        <f t="shared" ref="AM158:AM207" si="115">IF(M158="","",IF(F158&gt;99,"FAS",IF(LEFT(I158,2)="Gỗ",IF(LEFT(M158,4)="2M2D","loại 1common",IF(AND(G158&gt;1699,LEFT(M158,4)&lt;&gt;"2M2D"),"loại 1common","loại 2common")),"")))</f>
        <v/>
      </c>
      <c r="AN158" s="155" t="str">
        <f t="shared" ref="AN158:AN207" si="116">IF(AM158="","",IF(AM158="loại 1common","loại A",IF(AM158="loại 2common","loại AB","loại FAS")))</f>
        <v/>
      </c>
      <c r="AX158" s="155" t="str">
        <f t="shared" ref="AX158:AX207" si="117">W158</f>
        <v/>
      </c>
    </row>
    <row r="159" spans="1:50" s="155" customFormat="1" ht="30" hidden="1" customHeight="1">
      <c r="A159" s="141" t="str">
        <f t="shared" si="103"/>
        <v/>
      </c>
      <c r="B159" s="141" t="str">
        <f t="shared" si="104"/>
        <v/>
      </c>
      <c r="C159" s="157" t="str">
        <f>IF(D159="","",
    IF(ISERR(SEARCH("_",D159)),
        IFERROR(_xlfn.AGGREGATE(14,6,$C$12:C158,1),0)+1,
        IFERROR(
            VALUE(TRIM(MID(SUBSTITUTE(D159,"_",REPT(" ",LEN(D159))), (LEN(D159)-LEN(SUBSTITUTE(D159,"_",""))-1)*LEN(D159)+1, LEN(D159))))
            &amp; "." &amp;
            VALUE(TRIM(RIGHT(SUBSTITUTE(D159,"_",REPT(" ",LEN(D159))),LEN(D159)))),
            "")))</f>
        <v/>
      </c>
      <c r="D159" s="158"/>
      <c r="E159" s="159"/>
      <c r="F159" s="159"/>
      <c r="G159" s="159"/>
      <c r="H159" s="159"/>
      <c r="I159" s="158"/>
      <c r="J159" s="158"/>
      <c r="K159" s="159"/>
      <c r="L159" s="160"/>
      <c r="M159" s="159"/>
      <c r="N159" s="159"/>
      <c r="O159" s="161"/>
      <c r="P159" s="162" t="str">
        <f t="shared" si="105"/>
        <v/>
      </c>
      <c r="Q159" s="163" t="str">
        <f t="shared" si="106"/>
        <v/>
      </c>
      <c r="R159" s="164">
        <f t="shared" si="107"/>
        <v>0</v>
      </c>
      <c r="S159" s="165">
        <f t="shared" si="87"/>
        <v>0</v>
      </c>
      <c r="T159" s="165">
        <f t="shared" si="108"/>
        <v>0</v>
      </c>
      <c r="U159" s="166">
        <f t="shared" si="109"/>
        <v>0</v>
      </c>
      <c r="V159" s="153" t="str">
        <f t="shared" si="110"/>
        <v/>
      </c>
      <c r="W159" s="153" t="str">
        <f t="shared" si="111"/>
        <v/>
      </c>
      <c r="X159" s="244"/>
      <c r="Y159" s="154">
        <f t="shared" si="88"/>
        <v>0</v>
      </c>
      <c r="Z159" s="154" t="str">
        <f t="shared" si="112"/>
        <v>1000</v>
      </c>
      <c r="AA159" s="153" t="str">
        <f t="shared" si="113"/>
        <v/>
      </c>
      <c r="AD159" s="155" t="str">
        <f t="shared" si="114"/>
        <v/>
      </c>
      <c r="AI159" s="155">
        <f t="array" ref="AI159">MATCH(MIN(IF($AK$501:$AK$525&gt;=IF(G159&gt;1499,E159+7,E159+5), $AK$501:$AK$525)), $AK$501:$AK$525, 0)</f>
        <v>5</v>
      </c>
      <c r="AK159" s="233"/>
      <c r="AL159" s="233"/>
      <c r="AM159" s="155" t="str">
        <f t="shared" si="115"/>
        <v/>
      </c>
      <c r="AN159" s="155" t="str">
        <f t="shared" si="116"/>
        <v/>
      </c>
      <c r="AX159" s="155" t="str">
        <f t="shared" si="117"/>
        <v/>
      </c>
    </row>
    <row r="160" spans="1:50" s="155" customFormat="1" ht="30" hidden="1" customHeight="1">
      <c r="A160" s="141" t="str">
        <f t="shared" si="103"/>
        <v/>
      </c>
      <c r="B160" s="141" t="str">
        <f t="shared" si="104"/>
        <v/>
      </c>
      <c r="C160" s="157" t="str">
        <f>IF(D160="","",
    IF(ISERR(SEARCH("_",D160)),
        IFERROR(_xlfn.AGGREGATE(14,6,$C$12:C159,1),0)+1,
        IFERROR(
            VALUE(TRIM(MID(SUBSTITUTE(D160,"_",REPT(" ",LEN(D160))), (LEN(D160)-LEN(SUBSTITUTE(D160,"_",""))-1)*LEN(D160)+1, LEN(D160))))
            &amp; "." &amp;
            VALUE(TRIM(RIGHT(SUBSTITUTE(D160,"_",REPT(" ",LEN(D160))),LEN(D160)))),
            "")))</f>
        <v/>
      </c>
      <c r="D160" s="158"/>
      <c r="E160" s="159"/>
      <c r="F160" s="159"/>
      <c r="G160" s="159"/>
      <c r="H160" s="159"/>
      <c r="I160" s="158"/>
      <c r="J160" s="158"/>
      <c r="K160" s="159"/>
      <c r="L160" s="160"/>
      <c r="M160" s="159"/>
      <c r="N160" s="159"/>
      <c r="O160" s="161"/>
      <c r="P160" s="162" t="str">
        <f t="shared" si="105"/>
        <v/>
      </c>
      <c r="Q160" s="163" t="str">
        <f t="shared" si="106"/>
        <v/>
      </c>
      <c r="R160" s="164">
        <f t="shared" si="107"/>
        <v>0</v>
      </c>
      <c r="S160" s="165">
        <f t="shared" si="87"/>
        <v>0</v>
      </c>
      <c r="T160" s="165">
        <f t="shared" si="108"/>
        <v>0</v>
      </c>
      <c r="U160" s="166">
        <f t="shared" si="109"/>
        <v>0</v>
      </c>
      <c r="V160" s="153" t="str">
        <f t="shared" si="110"/>
        <v/>
      </c>
      <c r="W160" s="153" t="str">
        <f t="shared" si="111"/>
        <v/>
      </c>
      <c r="X160" s="244"/>
      <c r="Y160" s="154">
        <f t="shared" si="88"/>
        <v>0</v>
      </c>
      <c r="Z160" s="154" t="str">
        <f t="shared" si="112"/>
        <v>1000</v>
      </c>
      <c r="AA160" s="153" t="str">
        <f t="shared" si="113"/>
        <v/>
      </c>
      <c r="AD160" s="155" t="str">
        <f t="shared" si="114"/>
        <v/>
      </c>
      <c r="AI160" s="155">
        <f t="array" ref="AI160">MATCH(MIN(IF($AK$501:$AK$525&gt;=IF(G160&gt;1499,E160+7,E160+5), $AK$501:$AK$525)), $AK$501:$AK$525, 0)</f>
        <v>5</v>
      </c>
      <c r="AK160" s="233"/>
      <c r="AL160" s="233"/>
      <c r="AM160" s="155" t="str">
        <f t="shared" si="115"/>
        <v/>
      </c>
      <c r="AN160" s="155" t="str">
        <f t="shared" si="116"/>
        <v/>
      </c>
      <c r="AX160" s="155" t="str">
        <f t="shared" si="117"/>
        <v/>
      </c>
    </row>
    <row r="161" spans="1:50" s="155" customFormat="1" ht="30" hidden="1" customHeight="1">
      <c r="A161" s="141" t="str">
        <f t="shared" si="103"/>
        <v/>
      </c>
      <c r="B161" s="141" t="str">
        <f t="shared" si="104"/>
        <v/>
      </c>
      <c r="C161" s="157" t="str">
        <f>IF(D161="","",
    IF(ISERR(SEARCH("_",D161)),
        IFERROR(_xlfn.AGGREGATE(14,6,$C$12:C160,1),0)+1,
        IFERROR(
            VALUE(TRIM(MID(SUBSTITUTE(D161,"_",REPT(" ",LEN(D161))), (LEN(D161)-LEN(SUBSTITUTE(D161,"_",""))-1)*LEN(D161)+1, LEN(D161))))
            &amp; "." &amp;
            VALUE(TRIM(RIGHT(SUBSTITUTE(D161,"_",REPT(" ",LEN(D161))),LEN(D161)))),
            "")))</f>
        <v/>
      </c>
      <c r="D161" s="158"/>
      <c r="E161" s="159"/>
      <c r="F161" s="159"/>
      <c r="G161" s="159"/>
      <c r="H161" s="159"/>
      <c r="I161" s="158"/>
      <c r="J161" s="158"/>
      <c r="K161" s="159"/>
      <c r="L161" s="160"/>
      <c r="M161" s="159"/>
      <c r="N161" s="159"/>
      <c r="O161" s="161"/>
      <c r="P161" s="162" t="str">
        <f t="shared" si="105"/>
        <v/>
      </c>
      <c r="Q161" s="163" t="str">
        <f t="shared" si="106"/>
        <v/>
      </c>
      <c r="R161" s="164">
        <f t="shared" si="107"/>
        <v>0</v>
      </c>
      <c r="S161" s="165">
        <f t="shared" si="87"/>
        <v>0</v>
      </c>
      <c r="T161" s="165">
        <f t="shared" si="108"/>
        <v>0</v>
      </c>
      <c r="U161" s="166">
        <f t="shared" si="109"/>
        <v>0</v>
      </c>
      <c r="V161" s="153" t="str">
        <f t="shared" si="110"/>
        <v/>
      </c>
      <c r="W161" s="153" t="str">
        <f t="shared" si="111"/>
        <v/>
      </c>
      <c r="X161" s="244"/>
      <c r="Y161" s="154">
        <f t="shared" si="88"/>
        <v>0</v>
      </c>
      <c r="Z161" s="154" t="str">
        <f t="shared" si="112"/>
        <v>1000</v>
      </c>
      <c r="AA161" s="153" t="str">
        <f t="shared" si="113"/>
        <v/>
      </c>
      <c r="AD161" s="155" t="str">
        <f t="shared" si="114"/>
        <v/>
      </c>
      <c r="AI161" s="155">
        <f t="array" ref="AI161">MATCH(MIN(IF($AK$501:$AK$525&gt;=IF(G161&gt;1499,E161+7,E161+5), $AK$501:$AK$525)), $AK$501:$AK$525, 0)</f>
        <v>5</v>
      </c>
      <c r="AK161" s="233"/>
      <c r="AL161" s="233"/>
      <c r="AM161" s="155" t="str">
        <f t="shared" si="115"/>
        <v/>
      </c>
      <c r="AN161" s="155" t="str">
        <f t="shared" si="116"/>
        <v/>
      </c>
      <c r="AX161" s="155" t="str">
        <f t="shared" si="117"/>
        <v/>
      </c>
    </row>
    <row r="162" spans="1:50" s="155" customFormat="1" ht="30" hidden="1" customHeight="1">
      <c r="A162" s="141" t="str">
        <f t="shared" si="103"/>
        <v/>
      </c>
      <c r="B162" s="141" t="str">
        <f t="shared" si="104"/>
        <v/>
      </c>
      <c r="C162" s="157" t="str">
        <f>IF(D162="","",
    IF(ISERR(SEARCH("_",D162)),
        IFERROR(_xlfn.AGGREGATE(14,6,$C$12:C161,1),0)+1,
        IFERROR(
            VALUE(TRIM(MID(SUBSTITUTE(D162,"_",REPT(" ",LEN(D162))), (LEN(D162)-LEN(SUBSTITUTE(D162,"_",""))-1)*LEN(D162)+1, LEN(D162))))
            &amp; "." &amp;
            VALUE(TRIM(RIGHT(SUBSTITUTE(D162,"_",REPT(" ",LEN(D162))),LEN(D162)))),
            "")))</f>
        <v/>
      </c>
      <c r="D162" s="158"/>
      <c r="E162" s="159"/>
      <c r="F162" s="159"/>
      <c r="G162" s="159"/>
      <c r="H162" s="159"/>
      <c r="I162" s="158"/>
      <c r="J162" s="158"/>
      <c r="K162" s="159"/>
      <c r="L162" s="160"/>
      <c r="M162" s="159"/>
      <c r="N162" s="159"/>
      <c r="O162" s="161"/>
      <c r="P162" s="162" t="str">
        <f t="shared" si="105"/>
        <v/>
      </c>
      <c r="Q162" s="163" t="str">
        <f t="shared" si="106"/>
        <v/>
      </c>
      <c r="R162" s="164">
        <f t="shared" si="107"/>
        <v>0</v>
      </c>
      <c r="S162" s="165">
        <f t="shared" si="87"/>
        <v>0</v>
      </c>
      <c r="T162" s="165">
        <f t="shared" si="108"/>
        <v>0</v>
      </c>
      <c r="U162" s="166">
        <f t="shared" si="109"/>
        <v>0</v>
      </c>
      <c r="V162" s="153" t="str">
        <f t="shared" si="110"/>
        <v/>
      </c>
      <c r="W162" s="153" t="str">
        <f t="shared" si="111"/>
        <v/>
      </c>
      <c r="X162" s="244"/>
      <c r="Y162" s="154">
        <f t="shared" si="88"/>
        <v>0</v>
      </c>
      <c r="Z162" s="154" t="str">
        <f t="shared" si="112"/>
        <v>1000</v>
      </c>
      <c r="AA162" s="153" t="str">
        <f t="shared" si="113"/>
        <v/>
      </c>
      <c r="AD162" s="155" t="str">
        <f t="shared" si="114"/>
        <v/>
      </c>
      <c r="AI162" s="155">
        <f t="array" ref="AI162">MATCH(MIN(IF($AK$501:$AK$525&gt;=IF(G162&gt;1499,E162+7,E162+5), $AK$501:$AK$525)), $AK$501:$AK$525, 0)</f>
        <v>5</v>
      </c>
      <c r="AK162" s="233"/>
      <c r="AL162" s="233"/>
      <c r="AM162" s="155" t="str">
        <f t="shared" si="115"/>
        <v/>
      </c>
      <c r="AN162" s="155" t="str">
        <f t="shared" si="116"/>
        <v/>
      </c>
      <c r="AX162" s="155" t="str">
        <f t="shared" si="117"/>
        <v/>
      </c>
    </row>
    <row r="163" spans="1:50" s="155" customFormat="1" ht="30" hidden="1" customHeight="1">
      <c r="A163" s="141" t="str">
        <f t="shared" si="103"/>
        <v/>
      </c>
      <c r="B163" s="141" t="str">
        <f t="shared" si="104"/>
        <v/>
      </c>
      <c r="C163" s="157" t="str">
        <f>IF(D163="","",
    IF(ISERR(SEARCH("_",D163)),
        IFERROR(_xlfn.AGGREGATE(14,6,$C$12:C162,1),0)+1,
        IFERROR(
            VALUE(TRIM(MID(SUBSTITUTE(D163,"_",REPT(" ",LEN(D163))), (LEN(D163)-LEN(SUBSTITUTE(D163,"_",""))-1)*LEN(D163)+1, LEN(D163))))
            &amp; "." &amp;
            VALUE(TRIM(RIGHT(SUBSTITUTE(D163,"_",REPT(" ",LEN(D163))),LEN(D163)))),
            "")))</f>
        <v/>
      </c>
      <c r="D163" s="158"/>
      <c r="E163" s="159"/>
      <c r="F163" s="159"/>
      <c r="G163" s="159"/>
      <c r="H163" s="159"/>
      <c r="I163" s="158"/>
      <c r="J163" s="158"/>
      <c r="K163" s="159"/>
      <c r="L163" s="160"/>
      <c r="M163" s="159"/>
      <c r="N163" s="159"/>
      <c r="O163" s="161"/>
      <c r="P163" s="162" t="str">
        <f t="shared" si="105"/>
        <v/>
      </c>
      <c r="Q163" s="163" t="str">
        <f t="shared" si="106"/>
        <v/>
      </c>
      <c r="R163" s="164">
        <f t="shared" si="107"/>
        <v>0</v>
      </c>
      <c r="S163" s="165">
        <f t="shared" si="87"/>
        <v>0</v>
      </c>
      <c r="T163" s="165">
        <f t="shared" si="108"/>
        <v>0</v>
      </c>
      <c r="U163" s="166">
        <f t="shared" si="109"/>
        <v>0</v>
      </c>
      <c r="V163" s="153" t="str">
        <f t="shared" si="110"/>
        <v/>
      </c>
      <c r="W163" s="153" t="str">
        <f t="shared" si="111"/>
        <v/>
      </c>
      <c r="X163" s="244"/>
      <c r="Y163" s="154">
        <f t="shared" si="88"/>
        <v>0</v>
      </c>
      <c r="Z163" s="154" t="str">
        <f t="shared" si="112"/>
        <v>1000</v>
      </c>
      <c r="AA163" s="153" t="str">
        <f t="shared" si="113"/>
        <v/>
      </c>
      <c r="AD163" s="155" t="str">
        <f t="shared" si="114"/>
        <v/>
      </c>
      <c r="AI163" s="155">
        <f t="array" ref="AI163">MATCH(MIN(IF($AK$501:$AK$525&gt;=IF(G163&gt;1499,E163+7,E163+5), $AK$501:$AK$525)), $AK$501:$AK$525, 0)</f>
        <v>5</v>
      </c>
      <c r="AK163" s="233"/>
      <c r="AL163" s="233"/>
      <c r="AM163" s="155" t="str">
        <f t="shared" si="115"/>
        <v/>
      </c>
      <c r="AN163" s="155" t="str">
        <f t="shared" si="116"/>
        <v/>
      </c>
      <c r="AX163" s="155" t="str">
        <f t="shared" si="117"/>
        <v/>
      </c>
    </row>
    <row r="164" spans="1:50" s="155" customFormat="1" ht="30" hidden="1" customHeight="1">
      <c r="A164" s="141" t="str">
        <f t="shared" si="103"/>
        <v/>
      </c>
      <c r="B164" s="141" t="str">
        <f t="shared" si="104"/>
        <v/>
      </c>
      <c r="C164" s="157" t="str">
        <f>IF(D164="","",
    IF(ISERR(SEARCH("_",D164)),
        IFERROR(_xlfn.AGGREGATE(14,6,$C$12:C163,1),0)+1,
        IFERROR(
            VALUE(TRIM(MID(SUBSTITUTE(D164,"_",REPT(" ",LEN(D164))), (LEN(D164)-LEN(SUBSTITUTE(D164,"_",""))-1)*LEN(D164)+1, LEN(D164))))
            &amp; "." &amp;
            VALUE(TRIM(RIGHT(SUBSTITUTE(D164,"_",REPT(" ",LEN(D164))),LEN(D164)))),
            "")))</f>
        <v/>
      </c>
      <c r="D164" s="158"/>
      <c r="E164" s="159"/>
      <c r="F164" s="159"/>
      <c r="G164" s="159"/>
      <c r="H164" s="159"/>
      <c r="I164" s="158"/>
      <c r="J164" s="158"/>
      <c r="K164" s="159"/>
      <c r="L164" s="160"/>
      <c r="M164" s="159"/>
      <c r="N164" s="159"/>
      <c r="O164" s="161"/>
      <c r="P164" s="162" t="str">
        <f t="shared" si="105"/>
        <v/>
      </c>
      <c r="Q164" s="163" t="str">
        <f t="shared" si="106"/>
        <v/>
      </c>
      <c r="R164" s="164">
        <f t="shared" si="107"/>
        <v>0</v>
      </c>
      <c r="S164" s="165">
        <f t="shared" si="87"/>
        <v>0</v>
      </c>
      <c r="T164" s="165">
        <f t="shared" si="108"/>
        <v>0</v>
      </c>
      <c r="U164" s="166">
        <f t="shared" si="109"/>
        <v>0</v>
      </c>
      <c r="V164" s="153" t="str">
        <f t="shared" si="110"/>
        <v/>
      </c>
      <c r="W164" s="153" t="str">
        <f t="shared" si="111"/>
        <v/>
      </c>
      <c r="X164" s="244"/>
      <c r="Y164" s="154">
        <f t="shared" si="88"/>
        <v>0</v>
      </c>
      <c r="Z164" s="154" t="str">
        <f t="shared" si="112"/>
        <v>1000</v>
      </c>
      <c r="AA164" s="153" t="str">
        <f t="shared" si="113"/>
        <v/>
      </c>
      <c r="AD164" s="155" t="str">
        <f t="shared" si="114"/>
        <v/>
      </c>
      <c r="AI164" s="155">
        <f t="array" ref="AI164">MATCH(MIN(IF($AK$501:$AK$525&gt;=IF(G164&gt;1499,E164+7,E164+5), $AK$501:$AK$525)), $AK$501:$AK$525, 0)</f>
        <v>5</v>
      </c>
      <c r="AK164" s="233"/>
      <c r="AL164" s="233"/>
      <c r="AM164" s="155" t="str">
        <f t="shared" si="115"/>
        <v/>
      </c>
      <c r="AN164" s="155" t="str">
        <f t="shared" si="116"/>
        <v/>
      </c>
      <c r="AX164" s="155" t="str">
        <f t="shared" si="117"/>
        <v/>
      </c>
    </row>
    <row r="165" spans="1:50" s="155" customFormat="1" ht="30" hidden="1" customHeight="1">
      <c r="A165" s="141" t="str">
        <f t="shared" si="103"/>
        <v/>
      </c>
      <c r="B165" s="141" t="str">
        <f t="shared" si="104"/>
        <v/>
      </c>
      <c r="C165" s="157" t="str">
        <f>IF(D165="","",
    IF(ISERR(SEARCH("_",D165)),
        IFERROR(_xlfn.AGGREGATE(14,6,$C$12:C164,1),0)+1,
        IFERROR(
            VALUE(TRIM(MID(SUBSTITUTE(D165,"_",REPT(" ",LEN(D165))), (LEN(D165)-LEN(SUBSTITUTE(D165,"_",""))-1)*LEN(D165)+1, LEN(D165))))
            &amp; "." &amp;
            VALUE(TRIM(RIGHT(SUBSTITUTE(D165,"_",REPT(" ",LEN(D165))),LEN(D165)))),
            "")))</f>
        <v/>
      </c>
      <c r="D165" s="158"/>
      <c r="E165" s="159"/>
      <c r="F165" s="159"/>
      <c r="G165" s="159"/>
      <c r="H165" s="159"/>
      <c r="I165" s="158"/>
      <c r="J165" s="158"/>
      <c r="K165" s="159"/>
      <c r="L165" s="160"/>
      <c r="M165" s="159"/>
      <c r="N165" s="159"/>
      <c r="O165" s="161"/>
      <c r="P165" s="162" t="str">
        <f t="shared" si="105"/>
        <v/>
      </c>
      <c r="Q165" s="163" t="str">
        <f t="shared" si="106"/>
        <v/>
      </c>
      <c r="R165" s="164">
        <f t="shared" si="107"/>
        <v>0</v>
      </c>
      <c r="S165" s="165">
        <f t="shared" si="87"/>
        <v>0</v>
      </c>
      <c r="T165" s="165">
        <f t="shared" si="108"/>
        <v>0</v>
      </c>
      <c r="U165" s="166">
        <f t="shared" si="109"/>
        <v>0</v>
      </c>
      <c r="V165" s="153" t="str">
        <f t="shared" si="110"/>
        <v/>
      </c>
      <c r="W165" s="153" t="str">
        <f t="shared" si="111"/>
        <v/>
      </c>
      <c r="X165" s="244"/>
      <c r="Y165" s="154">
        <f t="shared" si="88"/>
        <v>0</v>
      </c>
      <c r="Z165" s="154" t="str">
        <f t="shared" si="112"/>
        <v>1000</v>
      </c>
      <c r="AA165" s="153" t="str">
        <f t="shared" si="113"/>
        <v/>
      </c>
      <c r="AD165" s="155" t="str">
        <f t="shared" si="114"/>
        <v/>
      </c>
      <c r="AI165" s="155">
        <f t="array" ref="AI165">MATCH(MIN(IF($AK$501:$AK$525&gt;=IF(G165&gt;1499,E165+7,E165+5), $AK$501:$AK$525)), $AK$501:$AK$525, 0)</f>
        <v>5</v>
      </c>
      <c r="AK165" s="233"/>
      <c r="AL165" s="233"/>
      <c r="AM165" s="155" t="str">
        <f t="shared" si="115"/>
        <v/>
      </c>
      <c r="AN165" s="155" t="str">
        <f t="shared" si="116"/>
        <v/>
      </c>
      <c r="AX165" s="155" t="str">
        <f t="shared" si="117"/>
        <v/>
      </c>
    </row>
    <row r="166" spans="1:50" s="155" customFormat="1" ht="30" hidden="1" customHeight="1">
      <c r="A166" s="141" t="str">
        <f t="shared" si="103"/>
        <v/>
      </c>
      <c r="B166" s="141" t="str">
        <f t="shared" si="104"/>
        <v/>
      </c>
      <c r="C166" s="157" t="str">
        <f>IF(D166="","",
    IF(ISERR(SEARCH("_",D166)),
        IFERROR(_xlfn.AGGREGATE(14,6,$C$12:C165,1),0)+1,
        IFERROR(
            VALUE(TRIM(MID(SUBSTITUTE(D166,"_",REPT(" ",LEN(D166))), (LEN(D166)-LEN(SUBSTITUTE(D166,"_",""))-1)*LEN(D166)+1, LEN(D166))))
            &amp; "." &amp;
            VALUE(TRIM(RIGHT(SUBSTITUTE(D166,"_",REPT(" ",LEN(D166))),LEN(D166)))),
            "")))</f>
        <v/>
      </c>
      <c r="D166" s="158"/>
      <c r="E166" s="159"/>
      <c r="F166" s="159"/>
      <c r="G166" s="159"/>
      <c r="H166" s="159"/>
      <c r="I166" s="158"/>
      <c r="J166" s="158"/>
      <c r="K166" s="159"/>
      <c r="L166" s="160"/>
      <c r="M166" s="159"/>
      <c r="N166" s="159"/>
      <c r="O166" s="161"/>
      <c r="P166" s="162" t="str">
        <f t="shared" si="105"/>
        <v/>
      </c>
      <c r="Q166" s="163" t="str">
        <f t="shared" si="106"/>
        <v/>
      </c>
      <c r="R166" s="164">
        <f t="shared" si="107"/>
        <v>0</v>
      </c>
      <c r="S166" s="165">
        <f t="shared" si="87"/>
        <v>0</v>
      </c>
      <c r="T166" s="165">
        <f t="shared" si="108"/>
        <v>0</v>
      </c>
      <c r="U166" s="166">
        <f t="shared" si="109"/>
        <v>0</v>
      </c>
      <c r="V166" s="153" t="str">
        <f t="shared" si="110"/>
        <v/>
      </c>
      <c r="W166" s="153" t="str">
        <f t="shared" si="111"/>
        <v/>
      </c>
      <c r="X166" s="244"/>
      <c r="Y166" s="154">
        <f t="shared" si="88"/>
        <v>0</v>
      </c>
      <c r="Z166" s="154" t="str">
        <f t="shared" si="112"/>
        <v>1000</v>
      </c>
      <c r="AA166" s="153" t="str">
        <f t="shared" si="113"/>
        <v/>
      </c>
      <c r="AD166" s="155" t="str">
        <f t="shared" si="114"/>
        <v/>
      </c>
      <c r="AI166" s="155">
        <f t="array" ref="AI166">MATCH(MIN(IF($AK$501:$AK$525&gt;=IF(G166&gt;1499,E166+7,E166+5), $AK$501:$AK$525)), $AK$501:$AK$525, 0)</f>
        <v>5</v>
      </c>
      <c r="AK166" s="233"/>
      <c r="AL166" s="233"/>
      <c r="AM166" s="155" t="str">
        <f t="shared" si="115"/>
        <v/>
      </c>
      <c r="AN166" s="155" t="str">
        <f t="shared" si="116"/>
        <v/>
      </c>
      <c r="AX166" s="155" t="str">
        <f t="shared" si="117"/>
        <v/>
      </c>
    </row>
    <row r="167" spans="1:50" s="155" customFormat="1" ht="30" hidden="1" customHeight="1">
      <c r="A167" s="141" t="str">
        <f t="shared" si="103"/>
        <v/>
      </c>
      <c r="B167" s="141" t="str">
        <f t="shared" si="104"/>
        <v/>
      </c>
      <c r="C167" s="157" t="str">
        <f>IF(D167="","",
    IF(ISERR(SEARCH("_",D167)),
        IFERROR(_xlfn.AGGREGATE(14,6,$C$12:C166,1),0)+1,
        IFERROR(
            VALUE(TRIM(MID(SUBSTITUTE(D167,"_",REPT(" ",LEN(D167))), (LEN(D167)-LEN(SUBSTITUTE(D167,"_",""))-1)*LEN(D167)+1, LEN(D167))))
            &amp; "." &amp;
            VALUE(TRIM(RIGHT(SUBSTITUTE(D167,"_",REPT(" ",LEN(D167))),LEN(D167)))),
            "")))</f>
        <v/>
      </c>
      <c r="D167" s="158"/>
      <c r="E167" s="159"/>
      <c r="F167" s="159"/>
      <c r="G167" s="159"/>
      <c r="H167" s="159"/>
      <c r="I167" s="158"/>
      <c r="J167" s="158"/>
      <c r="K167" s="159"/>
      <c r="L167" s="160"/>
      <c r="M167" s="159"/>
      <c r="N167" s="159"/>
      <c r="O167" s="161"/>
      <c r="P167" s="162" t="str">
        <f t="shared" si="105"/>
        <v/>
      </c>
      <c r="Q167" s="163" t="str">
        <f t="shared" si="106"/>
        <v/>
      </c>
      <c r="R167" s="164">
        <f t="shared" si="107"/>
        <v>0</v>
      </c>
      <c r="S167" s="165">
        <f t="shared" si="87"/>
        <v>0</v>
      </c>
      <c r="T167" s="165">
        <f t="shared" si="108"/>
        <v>0</v>
      </c>
      <c r="U167" s="166">
        <f t="shared" si="109"/>
        <v>0</v>
      </c>
      <c r="V167" s="153" t="str">
        <f t="shared" si="110"/>
        <v/>
      </c>
      <c r="W167" s="153" t="str">
        <f t="shared" si="111"/>
        <v/>
      </c>
      <c r="X167" s="244"/>
      <c r="Y167" s="154">
        <f t="shared" si="88"/>
        <v>0</v>
      </c>
      <c r="Z167" s="154" t="str">
        <f t="shared" si="112"/>
        <v>1000</v>
      </c>
      <c r="AA167" s="153" t="str">
        <f t="shared" si="113"/>
        <v/>
      </c>
      <c r="AD167" s="155" t="str">
        <f t="shared" si="114"/>
        <v/>
      </c>
      <c r="AI167" s="155">
        <f t="array" ref="AI167">MATCH(MIN(IF($AK$501:$AK$525&gt;=IF(G167&gt;1499,E167+7,E167+5), $AK$501:$AK$525)), $AK$501:$AK$525, 0)</f>
        <v>5</v>
      </c>
      <c r="AK167" s="233"/>
      <c r="AL167" s="233"/>
      <c r="AM167" s="155" t="str">
        <f t="shared" si="115"/>
        <v/>
      </c>
      <c r="AN167" s="155" t="str">
        <f t="shared" si="116"/>
        <v/>
      </c>
      <c r="AX167" s="155" t="str">
        <f t="shared" si="117"/>
        <v/>
      </c>
    </row>
    <row r="168" spans="1:50" s="155" customFormat="1" ht="30" hidden="1" customHeight="1">
      <c r="A168" s="141" t="str">
        <f t="shared" si="103"/>
        <v/>
      </c>
      <c r="B168" s="141" t="str">
        <f t="shared" si="104"/>
        <v/>
      </c>
      <c r="C168" s="157" t="str">
        <f>IF(D168="","",
    IF(ISERR(SEARCH("_",D168)),
        IFERROR(_xlfn.AGGREGATE(14,6,$C$12:C167,1),0)+1,
        IFERROR(
            VALUE(TRIM(MID(SUBSTITUTE(D168,"_",REPT(" ",LEN(D168))), (LEN(D168)-LEN(SUBSTITUTE(D168,"_",""))-1)*LEN(D168)+1, LEN(D168))))
            &amp; "." &amp;
            VALUE(TRIM(RIGHT(SUBSTITUTE(D168,"_",REPT(" ",LEN(D168))),LEN(D168)))),
            "")))</f>
        <v/>
      </c>
      <c r="D168" s="158"/>
      <c r="E168" s="159"/>
      <c r="F168" s="159"/>
      <c r="G168" s="159"/>
      <c r="H168" s="159"/>
      <c r="I168" s="158"/>
      <c r="J168" s="158"/>
      <c r="K168" s="159"/>
      <c r="L168" s="160"/>
      <c r="M168" s="159"/>
      <c r="N168" s="159"/>
      <c r="O168" s="161"/>
      <c r="P168" s="162" t="str">
        <f t="shared" si="105"/>
        <v/>
      </c>
      <c r="Q168" s="163" t="str">
        <f t="shared" si="106"/>
        <v/>
      </c>
      <c r="R168" s="164">
        <f t="shared" si="107"/>
        <v>0</v>
      </c>
      <c r="S168" s="165">
        <f t="shared" si="87"/>
        <v>0</v>
      </c>
      <c r="T168" s="165">
        <f t="shared" si="108"/>
        <v>0</v>
      </c>
      <c r="U168" s="166">
        <f t="shared" si="109"/>
        <v>0</v>
      </c>
      <c r="V168" s="153" t="str">
        <f t="shared" si="110"/>
        <v/>
      </c>
      <c r="W168" s="153" t="str">
        <f t="shared" si="111"/>
        <v/>
      </c>
      <c r="X168" s="244"/>
      <c r="Y168" s="154">
        <f t="shared" si="88"/>
        <v>0</v>
      </c>
      <c r="Z168" s="154" t="str">
        <f t="shared" si="112"/>
        <v>1000</v>
      </c>
      <c r="AA168" s="153" t="str">
        <f t="shared" si="113"/>
        <v/>
      </c>
      <c r="AD168" s="155" t="str">
        <f t="shared" si="114"/>
        <v/>
      </c>
      <c r="AI168" s="155">
        <f t="array" ref="AI168">MATCH(MIN(IF($AK$501:$AK$525&gt;=IF(G168&gt;1499,E168+7,E168+5), $AK$501:$AK$525)), $AK$501:$AK$525, 0)</f>
        <v>5</v>
      </c>
      <c r="AK168" s="233"/>
      <c r="AL168" s="233"/>
      <c r="AM168" s="155" t="str">
        <f t="shared" si="115"/>
        <v/>
      </c>
      <c r="AN168" s="155" t="str">
        <f t="shared" si="116"/>
        <v/>
      </c>
      <c r="AX168" s="155" t="str">
        <f t="shared" si="117"/>
        <v/>
      </c>
    </row>
    <row r="169" spans="1:50" s="155" customFormat="1" ht="30" hidden="1" customHeight="1">
      <c r="A169" s="141" t="str">
        <f t="shared" si="103"/>
        <v/>
      </c>
      <c r="B169" s="141" t="str">
        <f t="shared" si="104"/>
        <v/>
      </c>
      <c r="C169" s="157" t="str">
        <f>IF(D169="","",
    IF(ISERR(SEARCH("_",D169)),
        IFERROR(_xlfn.AGGREGATE(14,6,$C$12:C168,1),0)+1,
        IFERROR(
            VALUE(TRIM(MID(SUBSTITUTE(D169,"_",REPT(" ",LEN(D169))), (LEN(D169)-LEN(SUBSTITUTE(D169,"_",""))-1)*LEN(D169)+1, LEN(D169))))
            &amp; "." &amp;
            VALUE(TRIM(RIGHT(SUBSTITUTE(D169,"_",REPT(" ",LEN(D169))),LEN(D169)))),
            "")))</f>
        <v/>
      </c>
      <c r="D169" s="158"/>
      <c r="E169" s="159"/>
      <c r="F169" s="159"/>
      <c r="G169" s="159"/>
      <c r="H169" s="159"/>
      <c r="I169" s="158"/>
      <c r="J169" s="158"/>
      <c r="K169" s="159"/>
      <c r="L169" s="160"/>
      <c r="M169" s="159"/>
      <c r="N169" s="159"/>
      <c r="O169" s="161"/>
      <c r="P169" s="162" t="str">
        <f t="shared" si="105"/>
        <v/>
      </c>
      <c r="Q169" s="163" t="str">
        <f t="shared" si="106"/>
        <v/>
      </c>
      <c r="R169" s="164">
        <f t="shared" si="107"/>
        <v>0</v>
      </c>
      <c r="S169" s="165">
        <f t="shared" si="87"/>
        <v>0</v>
      </c>
      <c r="T169" s="165">
        <f t="shared" si="108"/>
        <v>0</v>
      </c>
      <c r="U169" s="166">
        <f t="shared" si="109"/>
        <v>0</v>
      </c>
      <c r="V169" s="153" t="str">
        <f t="shared" si="110"/>
        <v/>
      </c>
      <c r="W169" s="153" t="str">
        <f t="shared" si="111"/>
        <v/>
      </c>
      <c r="X169" s="244"/>
      <c r="Y169" s="154">
        <f t="shared" si="88"/>
        <v>0</v>
      </c>
      <c r="Z169" s="154" t="str">
        <f t="shared" si="112"/>
        <v>1000</v>
      </c>
      <c r="AA169" s="153" t="str">
        <f t="shared" si="113"/>
        <v/>
      </c>
      <c r="AD169" s="155" t="str">
        <f t="shared" si="114"/>
        <v/>
      </c>
      <c r="AI169" s="155">
        <f t="array" ref="AI169">MATCH(MIN(IF($AK$501:$AK$525&gt;=IF(G169&gt;1499,E169+7,E169+5), $AK$501:$AK$525)), $AK$501:$AK$525, 0)</f>
        <v>5</v>
      </c>
      <c r="AK169" s="233"/>
      <c r="AL169" s="233"/>
      <c r="AM169" s="155" t="str">
        <f t="shared" si="115"/>
        <v/>
      </c>
      <c r="AN169" s="155" t="str">
        <f t="shared" si="116"/>
        <v/>
      </c>
      <c r="AX169" s="155" t="str">
        <f t="shared" si="117"/>
        <v/>
      </c>
    </row>
    <row r="170" spans="1:50" s="155" customFormat="1" ht="30" hidden="1" customHeight="1">
      <c r="A170" s="141" t="str">
        <f t="shared" si="103"/>
        <v/>
      </c>
      <c r="B170" s="141" t="str">
        <f t="shared" si="104"/>
        <v/>
      </c>
      <c r="C170" s="157" t="str">
        <f>IF(D170="","",
    IF(ISERR(SEARCH("_",D170)),
        IFERROR(_xlfn.AGGREGATE(14,6,$C$12:C169,1),0)+1,
        IFERROR(
            VALUE(TRIM(MID(SUBSTITUTE(D170,"_",REPT(" ",LEN(D170))), (LEN(D170)-LEN(SUBSTITUTE(D170,"_",""))-1)*LEN(D170)+1, LEN(D170))))
            &amp; "." &amp;
            VALUE(TRIM(RIGHT(SUBSTITUTE(D170,"_",REPT(" ",LEN(D170))),LEN(D170)))),
            "")))</f>
        <v/>
      </c>
      <c r="D170" s="158"/>
      <c r="E170" s="159"/>
      <c r="F170" s="159"/>
      <c r="G170" s="159"/>
      <c r="H170" s="159"/>
      <c r="I170" s="158"/>
      <c r="J170" s="158"/>
      <c r="K170" s="159"/>
      <c r="L170" s="160"/>
      <c r="M170" s="159"/>
      <c r="N170" s="159"/>
      <c r="O170" s="161"/>
      <c r="P170" s="162" t="str">
        <f t="shared" si="105"/>
        <v/>
      </c>
      <c r="Q170" s="163" t="str">
        <f t="shared" si="106"/>
        <v/>
      </c>
      <c r="R170" s="164">
        <f t="shared" si="107"/>
        <v>0</v>
      </c>
      <c r="S170" s="165">
        <f t="shared" si="87"/>
        <v>0</v>
      </c>
      <c r="T170" s="165">
        <f t="shared" si="108"/>
        <v>0</v>
      </c>
      <c r="U170" s="166">
        <f t="shared" si="109"/>
        <v>0</v>
      </c>
      <c r="V170" s="153" t="str">
        <f t="shared" si="110"/>
        <v/>
      </c>
      <c r="W170" s="153" t="str">
        <f t="shared" si="111"/>
        <v/>
      </c>
      <c r="X170" s="244"/>
      <c r="Y170" s="154">
        <f t="shared" si="88"/>
        <v>0</v>
      </c>
      <c r="Z170" s="154" t="str">
        <f t="shared" si="112"/>
        <v>1000</v>
      </c>
      <c r="AA170" s="153" t="str">
        <f t="shared" si="113"/>
        <v/>
      </c>
      <c r="AD170" s="155" t="str">
        <f t="shared" si="114"/>
        <v/>
      </c>
      <c r="AI170" s="155">
        <f t="array" ref="AI170">MATCH(MIN(IF($AK$501:$AK$525&gt;=IF(G170&gt;1499,E170+7,E170+5), $AK$501:$AK$525)), $AK$501:$AK$525, 0)</f>
        <v>5</v>
      </c>
      <c r="AK170" s="233"/>
      <c r="AL170" s="233"/>
      <c r="AM170" s="155" t="str">
        <f t="shared" si="115"/>
        <v/>
      </c>
      <c r="AN170" s="155" t="str">
        <f t="shared" si="116"/>
        <v/>
      </c>
      <c r="AX170" s="155" t="str">
        <f t="shared" si="117"/>
        <v/>
      </c>
    </row>
    <row r="171" spans="1:50" s="155" customFormat="1" ht="30" hidden="1" customHeight="1">
      <c r="A171" s="141" t="str">
        <f t="shared" si="103"/>
        <v/>
      </c>
      <c r="B171" s="141" t="str">
        <f t="shared" si="104"/>
        <v/>
      </c>
      <c r="C171" s="157" t="str">
        <f>IF(D171="","",
    IF(ISERR(SEARCH("_",D171)),
        IFERROR(_xlfn.AGGREGATE(14,6,$C$12:C170,1),0)+1,
        IFERROR(
            VALUE(TRIM(MID(SUBSTITUTE(D171,"_",REPT(" ",LEN(D171))), (LEN(D171)-LEN(SUBSTITUTE(D171,"_",""))-1)*LEN(D171)+1, LEN(D171))))
            &amp; "." &amp;
            VALUE(TRIM(RIGHT(SUBSTITUTE(D171,"_",REPT(" ",LEN(D171))),LEN(D171)))),
            "")))</f>
        <v/>
      </c>
      <c r="D171" s="158"/>
      <c r="E171" s="159"/>
      <c r="F171" s="159"/>
      <c r="G171" s="159"/>
      <c r="H171" s="159"/>
      <c r="I171" s="158"/>
      <c r="J171" s="158"/>
      <c r="K171" s="159"/>
      <c r="L171" s="160"/>
      <c r="M171" s="159"/>
      <c r="N171" s="159"/>
      <c r="O171" s="161"/>
      <c r="P171" s="162" t="str">
        <f t="shared" si="105"/>
        <v/>
      </c>
      <c r="Q171" s="163" t="str">
        <f t="shared" si="106"/>
        <v/>
      </c>
      <c r="R171" s="164">
        <f t="shared" si="107"/>
        <v>0</v>
      </c>
      <c r="S171" s="165">
        <f t="shared" si="87"/>
        <v>0</v>
      </c>
      <c r="T171" s="165">
        <f t="shared" si="108"/>
        <v>0</v>
      </c>
      <c r="U171" s="166">
        <f t="shared" si="109"/>
        <v>0</v>
      </c>
      <c r="V171" s="153" t="str">
        <f t="shared" si="110"/>
        <v/>
      </c>
      <c r="W171" s="153" t="str">
        <f t="shared" si="111"/>
        <v/>
      </c>
      <c r="X171" s="244"/>
      <c r="Y171" s="154">
        <f t="shared" si="88"/>
        <v>0</v>
      </c>
      <c r="Z171" s="154" t="str">
        <f t="shared" si="112"/>
        <v>1000</v>
      </c>
      <c r="AA171" s="153" t="str">
        <f t="shared" si="113"/>
        <v/>
      </c>
      <c r="AD171" s="155" t="str">
        <f t="shared" si="114"/>
        <v/>
      </c>
      <c r="AI171" s="155">
        <f t="array" ref="AI171">MATCH(MIN(IF($AK$501:$AK$525&gt;=IF(G171&gt;1499,E171+7,E171+5), $AK$501:$AK$525)), $AK$501:$AK$525, 0)</f>
        <v>5</v>
      </c>
      <c r="AK171" s="233"/>
      <c r="AL171" s="233"/>
      <c r="AM171" s="155" t="str">
        <f t="shared" si="115"/>
        <v/>
      </c>
      <c r="AN171" s="155" t="str">
        <f t="shared" si="116"/>
        <v/>
      </c>
      <c r="AX171" s="155" t="str">
        <f t="shared" si="117"/>
        <v/>
      </c>
    </row>
    <row r="172" spans="1:50" s="155" customFormat="1" ht="30" hidden="1" customHeight="1">
      <c r="A172" s="141" t="str">
        <f t="shared" si="103"/>
        <v/>
      </c>
      <c r="B172" s="141" t="str">
        <f t="shared" si="104"/>
        <v/>
      </c>
      <c r="C172" s="157" t="str">
        <f>IF(D172="","",
    IF(ISERR(SEARCH("_",D172)),
        IFERROR(_xlfn.AGGREGATE(14,6,$C$12:C171,1),0)+1,
        IFERROR(
            VALUE(TRIM(MID(SUBSTITUTE(D172,"_",REPT(" ",LEN(D172))), (LEN(D172)-LEN(SUBSTITUTE(D172,"_",""))-1)*LEN(D172)+1, LEN(D172))))
            &amp; "." &amp;
            VALUE(TRIM(RIGHT(SUBSTITUTE(D172,"_",REPT(" ",LEN(D172))),LEN(D172)))),
            "")))</f>
        <v/>
      </c>
      <c r="D172" s="158"/>
      <c r="E172" s="159"/>
      <c r="F172" s="159"/>
      <c r="G172" s="159"/>
      <c r="H172" s="159"/>
      <c r="I172" s="158"/>
      <c r="J172" s="158"/>
      <c r="K172" s="159"/>
      <c r="L172" s="160"/>
      <c r="M172" s="159"/>
      <c r="N172" s="159"/>
      <c r="O172" s="161"/>
      <c r="P172" s="162" t="str">
        <f t="shared" si="105"/>
        <v/>
      </c>
      <c r="Q172" s="163" t="str">
        <f t="shared" si="106"/>
        <v/>
      </c>
      <c r="R172" s="164">
        <f t="shared" si="107"/>
        <v>0</v>
      </c>
      <c r="S172" s="165">
        <f t="shared" si="87"/>
        <v>0</v>
      </c>
      <c r="T172" s="165">
        <f t="shared" si="108"/>
        <v>0</v>
      </c>
      <c r="U172" s="166">
        <f t="shared" si="109"/>
        <v>0</v>
      </c>
      <c r="V172" s="153" t="str">
        <f t="shared" si="110"/>
        <v/>
      </c>
      <c r="W172" s="153" t="str">
        <f t="shared" si="111"/>
        <v/>
      </c>
      <c r="X172" s="244"/>
      <c r="Y172" s="154">
        <f t="shared" si="88"/>
        <v>0</v>
      </c>
      <c r="Z172" s="154" t="str">
        <f t="shared" si="112"/>
        <v>1000</v>
      </c>
      <c r="AA172" s="153" t="str">
        <f t="shared" si="113"/>
        <v/>
      </c>
      <c r="AD172" s="155" t="str">
        <f t="shared" si="114"/>
        <v/>
      </c>
      <c r="AI172" s="155">
        <f t="array" ref="AI172">MATCH(MIN(IF($AK$501:$AK$525&gt;=IF(G172&gt;1499,E172+7,E172+5), $AK$501:$AK$525)), $AK$501:$AK$525, 0)</f>
        <v>5</v>
      </c>
      <c r="AK172" s="233"/>
      <c r="AL172" s="233"/>
      <c r="AM172" s="155" t="str">
        <f t="shared" si="115"/>
        <v/>
      </c>
      <c r="AN172" s="155" t="str">
        <f t="shared" si="116"/>
        <v/>
      </c>
      <c r="AX172" s="155" t="str">
        <f t="shared" si="117"/>
        <v/>
      </c>
    </row>
    <row r="173" spans="1:50" s="155" customFormat="1" ht="30" hidden="1" customHeight="1">
      <c r="A173" s="141" t="str">
        <f t="shared" si="103"/>
        <v/>
      </c>
      <c r="B173" s="141" t="str">
        <f t="shared" si="104"/>
        <v/>
      </c>
      <c r="C173" s="157" t="str">
        <f>IF(D173="","",
    IF(ISERR(SEARCH("_",D173)),
        IFERROR(_xlfn.AGGREGATE(14,6,$C$12:C172,1),0)+1,
        IFERROR(
            VALUE(TRIM(MID(SUBSTITUTE(D173,"_",REPT(" ",LEN(D173))), (LEN(D173)-LEN(SUBSTITUTE(D173,"_",""))-1)*LEN(D173)+1, LEN(D173))))
            &amp; "." &amp;
            VALUE(TRIM(RIGHT(SUBSTITUTE(D173,"_",REPT(" ",LEN(D173))),LEN(D173)))),
            "")))</f>
        <v/>
      </c>
      <c r="D173" s="158"/>
      <c r="E173" s="159"/>
      <c r="F173" s="159"/>
      <c r="G173" s="159"/>
      <c r="H173" s="159"/>
      <c r="I173" s="158"/>
      <c r="J173" s="158"/>
      <c r="K173" s="159"/>
      <c r="L173" s="160"/>
      <c r="M173" s="159"/>
      <c r="N173" s="159"/>
      <c r="O173" s="161"/>
      <c r="P173" s="162" t="str">
        <f t="shared" si="105"/>
        <v/>
      </c>
      <c r="Q173" s="163" t="str">
        <f t="shared" si="106"/>
        <v/>
      </c>
      <c r="R173" s="164">
        <f t="shared" si="107"/>
        <v>0</v>
      </c>
      <c r="S173" s="165">
        <f t="shared" si="87"/>
        <v>0</v>
      </c>
      <c r="T173" s="165">
        <f t="shared" si="108"/>
        <v>0</v>
      </c>
      <c r="U173" s="166">
        <f t="shared" si="109"/>
        <v>0</v>
      </c>
      <c r="V173" s="153" t="str">
        <f t="shared" si="110"/>
        <v/>
      </c>
      <c r="W173" s="153" t="str">
        <f t="shared" si="111"/>
        <v/>
      </c>
      <c r="X173" s="244"/>
      <c r="Y173" s="154">
        <f t="shared" si="88"/>
        <v>0</v>
      </c>
      <c r="Z173" s="154" t="str">
        <f t="shared" si="112"/>
        <v>1000</v>
      </c>
      <c r="AA173" s="153" t="str">
        <f t="shared" si="113"/>
        <v/>
      </c>
      <c r="AD173" s="155" t="str">
        <f t="shared" si="114"/>
        <v/>
      </c>
      <c r="AI173" s="155">
        <f t="array" ref="AI173">MATCH(MIN(IF($AK$501:$AK$525&gt;=IF(G173&gt;1499,E173+7,E173+5), $AK$501:$AK$525)), $AK$501:$AK$525, 0)</f>
        <v>5</v>
      </c>
      <c r="AK173" s="233"/>
      <c r="AL173" s="233"/>
      <c r="AM173" s="155" t="str">
        <f t="shared" si="115"/>
        <v/>
      </c>
      <c r="AN173" s="155" t="str">
        <f t="shared" si="116"/>
        <v/>
      </c>
      <c r="AX173" s="155" t="str">
        <f t="shared" si="117"/>
        <v/>
      </c>
    </row>
    <row r="174" spans="1:50" s="155" customFormat="1" ht="30" hidden="1" customHeight="1">
      <c r="A174" s="141" t="str">
        <f t="shared" si="103"/>
        <v/>
      </c>
      <c r="B174" s="141" t="str">
        <f t="shared" si="104"/>
        <v/>
      </c>
      <c r="C174" s="157" t="str">
        <f>IF(D174="","",
    IF(ISERR(SEARCH("_",D174)),
        IFERROR(_xlfn.AGGREGATE(14,6,$C$12:C173,1),0)+1,
        IFERROR(
            VALUE(TRIM(MID(SUBSTITUTE(D174,"_",REPT(" ",LEN(D174))), (LEN(D174)-LEN(SUBSTITUTE(D174,"_",""))-1)*LEN(D174)+1, LEN(D174))))
            &amp; "." &amp;
            VALUE(TRIM(RIGHT(SUBSTITUTE(D174,"_",REPT(" ",LEN(D174))),LEN(D174)))),
            "")))</f>
        <v/>
      </c>
      <c r="D174" s="158"/>
      <c r="E174" s="159"/>
      <c r="F174" s="159"/>
      <c r="G174" s="159"/>
      <c r="H174" s="159"/>
      <c r="I174" s="158"/>
      <c r="J174" s="158"/>
      <c r="K174" s="159"/>
      <c r="L174" s="160"/>
      <c r="M174" s="159"/>
      <c r="N174" s="159"/>
      <c r="O174" s="161"/>
      <c r="P174" s="162" t="str">
        <f t="shared" si="105"/>
        <v/>
      </c>
      <c r="Q174" s="163" t="str">
        <f t="shared" si="106"/>
        <v/>
      </c>
      <c r="R174" s="164">
        <f t="shared" si="107"/>
        <v>0</v>
      </c>
      <c r="S174" s="165">
        <f t="shared" si="87"/>
        <v>0</v>
      </c>
      <c r="T174" s="165">
        <f t="shared" si="108"/>
        <v>0</v>
      </c>
      <c r="U174" s="166">
        <f t="shared" si="109"/>
        <v>0</v>
      </c>
      <c r="V174" s="153" t="str">
        <f t="shared" si="110"/>
        <v/>
      </c>
      <c r="W174" s="153" t="str">
        <f t="shared" si="111"/>
        <v/>
      </c>
      <c r="X174" s="244"/>
      <c r="Y174" s="154">
        <f t="shared" si="88"/>
        <v>0</v>
      </c>
      <c r="Z174" s="154" t="str">
        <f t="shared" si="112"/>
        <v>1000</v>
      </c>
      <c r="AA174" s="153" t="str">
        <f t="shared" si="113"/>
        <v/>
      </c>
      <c r="AD174" s="155" t="str">
        <f t="shared" si="114"/>
        <v/>
      </c>
      <c r="AI174" s="155">
        <f t="array" ref="AI174">MATCH(MIN(IF($AK$501:$AK$525&gt;=IF(G174&gt;1499,E174+7,E174+5), $AK$501:$AK$525)), $AK$501:$AK$525, 0)</f>
        <v>5</v>
      </c>
      <c r="AK174" s="233"/>
      <c r="AL174" s="233"/>
      <c r="AM174" s="155" t="str">
        <f t="shared" si="115"/>
        <v/>
      </c>
      <c r="AN174" s="155" t="str">
        <f t="shared" si="116"/>
        <v/>
      </c>
      <c r="AX174" s="155" t="str">
        <f t="shared" si="117"/>
        <v/>
      </c>
    </row>
    <row r="175" spans="1:50" s="155" customFormat="1" ht="30" hidden="1" customHeight="1">
      <c r="A175" s="141" t="str">
        <f t="shared" si="103"/>
        <v/>
      </c>
      <c r="B175" s="141" t="str">
        <f t="shared" si="104"/>
        <v/>
      </c>
      <c r="C175" s="157" t="str">
        <f>IF(D175="","",
    IF(ISERR(SEARCH("_",D175)),
        IFERROR(_xlfn.AGGREGATE(14,6,$C$12:C174,1),0)+1,
        IFERROR(
            VALUE(TRIM(MID(SUBSTITUTE(D175,"_",REPT(" ",LEN(D175))), (LEN(D175)-LEN(SUBSTITUTE(D175,"_",""))-1)*LEN(D175)+1, LEN(D175))))
            &amp; "." &amp;
            VALUE(TRIM(RIGHT(SUBSTITUTE(D175,"_",REPT(" ",LEN(D175))),LEN(D175)))),
            "")))</f>
        <v/>
      </c>
      <c r="D175" s="158"/>
      <c r="E175" s="159"/>
      <c r="F175" s="159"/>
      <c r="G175" s="159"/>
      <c r="H175" s="159"/>
      <c r="I175" s="158"/>
      <c r="J175" s="158"/>
      <c r="K175" s="159"/>
      <c r="L175" s="160"/>
      <c r="M175" s="159"/>
      <c r="N175" s="159"/>
      <c r="O175" s="161"/>
      <c r="P175" s="162" t="str">
        <f t="shared" si="105"/>
        <v/>
      </c>
      <c r="Q175" s="163" t="str">
        <f t="shared" si="106"/>
        <v/>
      </c>
      <c r="R175" s="164">
        <f t="shared" si="107"/>
        <v>0</v>
      </c>
      <c r="S175" s="165">
        <f t="shared" si="87"/>
        <v>0</v>
      </c>
      <c r="T175" s="165">
        <f t="shared" si="108"/>
        <v>0</v>
      </c>
      <c r="U175" s="166">
        <f t="shared" si="109"/>
        <v>0</v>
      </c>
      <c r="V175" s="153" t="str">
        <f t="shared" si="110"/>
        <v/>
      </c>
      <c r="W175" s="153" t="str">
        <f t="shared" si="111"/>
        <v/>
      </c>
      <c r="X175" s="244"/>
      <c r="Y175" s="154">
        <f t="shared" si="88"/>
        <v>0</v>
      </c>
      <c r="Z175" s="154" t="str">
        <f t="shared" si="112"/>
        <v>1000</v>
      </c>
      <c r="AA175" s="153" t="str">
        <f t="shared" si="113"/>
        <v/>
      </c>
      <c r="AD175" s="155" t="str">
        <f t="shared" si="114"/>
        <v/>
      </c>
      <c r="AI175" s="155">
        <f t="array" ref="AI175">MATCH(MIN(IF($AK$501:$AK$525&gt;=IF(G175&gt;1499,E175+7,E175+5), $AK$501:$AK$525)), $AK$501:$AK$525, 0)</f>
        <v>5</v>
      </c>
      <c r="AK175" s="233"/>
      <c r="AL175" s="233"/>
      <c r="AM175" s="155" t="str">
        <f t="shared" si="115"/>
        <v/>
      </c>
      <c r="AN175" s="155" t="str">
        <f t="shared" si="116"/>
        <v/>
      </c>
      <c r="AX175" s="155" t="str">
        <f t="shared" si="117"/>
        <v/>
      </c>
    </row>
    <row r="176" spans="1:50" s="155" customFormat="1" ht="30" hidden="1" customHeight="1">
      <c r="A176" s="141" t="str">
        <f t="shared" si="103"/>
        <v/>
      </c>
      <c r="B176" s="141" t="str">
        <f t="shared" si="104"/>
        <v/>
      </c>
      <c r="C176" s="157" t="str">
        <f>IF(D176="","",
    IF(ISERR(SEARCH("_",D176)),
        IFERROR(_xlfn.AGGREGATE(14,6,$C$12:C175,1),0)+1,
        IFERROR(
            VALUE(TRIM(MID(SUBSTITUTE(D176,"_",REPT(" ",LEN(D176))), (LEN(D176)-LEN(SUBSTITUTE(D176,"_",""))-1)*LEN(D176)+1, LEN(D176))))
            &amp; "." &amp;
            VALUE(TRIM(RIGHT(SUBSTITUTE(D176,"_",REPT(" ",LEN(D176))),LEN(D176)))),
            "")))</f>
        <v/>
      </c>
      <c r="D176" s="158"/>
      <c r="E176" s="159"/>
      <c r="F176" s="159"/>
      <c r="G176" s="159"/>
      <c r="H176" s="159"/>
      <c r="I176" s="158"/>
      <c r="J176" s="158"/>
      <c r="K176" s="159"/>
      <c r="L176" s="160"/>
      <c r="M176" s="159"/>
      <c r="N176" s="159"/>
      <c r="O176" s="161"/>
      <c r="P176" s="162" t="str">
        <f t="shared" si="105"/>
        <v/>
      </c>
      <c r="Q176" s="163" t="str">
        <f t="shared" si="106"/>
        <v/>
      </c>
      <c r="R176" s="164">
        <f t="shared" si="107"/>
        <v>0</v>
      </c>
      <c r="S176" s="165">
        <f t="shared" si="87"/>
        <v>0</v>
      </c>
      <c r="T176" s="165">
        <f t="shared" si="108"/>
        <v>0</v>
      </c>
      <c r="U176" s="166">
        <f t="shared" si="109"/>
        <v>0</v>
      </c>
      <c r="V176" s="153" t="str">
        <f t="shared" si="110"/>
        <v/>
      </c>
      <c r="W176" s="153" t="str">
        <f t="shared" si="111"/>
        <v/>
      </c>
      <c r="X176" s="244"/>
      <c r="Y176" s="154">
        <f t="shared" si="88"/>
        <v>0</v>
      </c>
      <c r="Z176" s="154" t="str">
        <f t="shared" si="112"/>
        <v>1000</v>
      </c>
      <c r="AA176" s="153" t="str">
        <f t="shared" si="113"/>
        <v/>
      </c>
      <c r="AD176" s="155" t="str">
        <f t="shared" si="114"/>
        <v/>
      </c>
      <c r="AI176" s="155">
        <f t="array" ref="AI176">MATCH(MIN(IF($AK$501:$AK$525&gt;=IF(G176&gt;1499,E176+7,E176+5), $AK$501:$AK$525)), $AK$501:$AK$525, 0)</f>
        <v>5</v>
      </c>
      <c r="AK176" s="233"/>
      <c r="AL176" s="233"/>
      <c r="AM176" s="155" t="str">
        <f t="shared" si="115"/>
        <v/>
      </c>
      <c r="AN176" s="155" t="str">
        <f t="shared" si="116"/>
        <v/>
      </c>
      <c r="AX176" s="155" t="str">
        <f t="shared" si="117"/>
        <v/>
      </c>
    </row>
    <row r="177" spans="1:50" s="155" customFormat="1" ht="30" hidden="1" customHeight="1">
      <c r="A177" s="141" t="str">
        <f t="shared" si="103"/>
        <v/>
      </c>
      <c r="B177" s="141" t="str">
        <f t="shared" si="104"/>
        <v/>
      </c>
      <c r="C177" s="157" t="str">
        <f>IF(D177="","",
    IF(ISERR(SEARCH("_",D177)),
        IFERROR(_xlfn.AGGREGATE(14,6,$C$12:C176,1),0)+1,
        IFERROR(
            VALUE(TRIM(MID(SUBSTITUTE(D177,"_",REPT(" ",LEN(D177))), (LEN(D177)-LEN(SUBSTITUTE(D177,"_",""))-1)*LEN(D177)+1, LEN(D177))))
            &amp; "." &amp;
            VALUE(TRIM(RIGHT(SUBSTITUTE(D177,"_",REPT(" ",LEN(D177))),LEN(D177)))),
            "")))</f>
        <v/>
      </c>
      <c r="D177" s="158"/>
      <c r="E177" s="159"/>
      <c r="F177" s="159"/>
      <c r="G177" s="159"/>
      <c r="H177" s="159"/>
      <c r="I177" s="158"/>
      <c r="J177" s="158"/>
      <c r="K177" s="159"/>
      <c r="L177" s="160"/>
      <c r="M177" s="159"/>
      <c r="N177" s="159"/>
      <c r="O177" s="161"/>
      <c r="P177" s="162" t="str">
        <f t="shared" si="105"/>
        <v/>
      </c>
      <c r="Q177" s="163" t="str">
        <f t="shared" si="106"/>
        <v/>
      </c>
      <c r="R177" s="164">
        <f t="shared" si="107"/>
        <v>0</v>
      </c>
      <c r="S177" s="165">
        <f t="shared" si="87"/>
        <v>0</v>
      </c>
      <c r="T177" s="165">
        <f t="shared" si="108"/>
        <v>0</v>
      </c>
      <c r="U177" s="166">
        <f t="shared" si="109"/>
        <v>0</v>
      </c>
      <c r="V177" s="153" t="str">
        <f t="shared" si="110"/>
        <v/>
      </c>
      <c r="W177" s="153" t="str">
        <f t="shared" si="111"/>
        <v/>
      </c>
      <c r="X177" s="244"/>
      <c r="Y177" s="154">
        <f t="shared" si="88"/>
        <v>0</v>
      </c>
      <c r="Z177" s="154" t="str">
        <f t="shared" si="112"/>
        <v>1000</v>
      </c>
      <c r="AA177" s="153" t="str">
        <f t="shared" si="113"/>
        <v/>
      </c>
      <c r="AD177" s="155" t="str">
        <f t="shared" si="114"/>
        <v/>
      </c>
      <c r="AI177" s="155">
        <f t="array" ref="AI177">MATCH(MIN(IF($AK$501:$AK$525&gt;=IF(G177&gt;1499,E177+7,E177+5), $AK$501:$AK$525)), $AK$501:$AK$525, 0)</f>
        <v>5</v>
      </c>
      <c r="AK177" s="233"/>
      <c r="AL177" s="233"/>
      <c r="AM177" s="155" t="str">
        <f t="shared" si="115"/>
        <v/>
      </c>
      <c r="AN177" s="155" t="str">
        <f t="shared" si="116"/>
        <v/>
      </c>
      <c r="AX177" s="155" t="str">
        <f t="shared" si="117"/>
        <v/>
      </c>
    </row>
    <row r="178" spans="1:50" s="155" customFormat="1" ht="30" hidden="1" customHeight="1">
      <c r="A178" s="141" t="str">
        <f t="shared" si="103"/>
        <v/>
      </c>
      <c r="B178" s="141" t="str">
        <f t="shared" si="104"/>
        <v/>
      </c>
      <c r="C178" s="157" t="str">
        <f>IF(D178="","",
    IF(ISERR(SEARCH("_",D178)),
        IFERROR(_xlfn.AGGREGATE(14,6,$C$12:C177,1),0)+1,
        IFERROR(
            VALUE(TRIM(MID(SUBSTITUTE(D178,"_",REPT(" ",LEN(D178))), (LEN(D178)-LEN(SUBSTITUTE(D178,"_",""))-1)*LEN(D178)+1, LEN(D178))))
            &amp; "." &amp;
            VALUE(TRIM(RIGHT(SUBSTITUTE(D178,"_",REPT(" ",LEN(D178))),LEN(D178)))),
            "")))</f>
        <v/>
      </c>
      <c r="D178" s="158"/>
      <c r="E178" s="159"/>
      <c r="F178" s="159"/>
      <c r="G178" s="159"/>
      <c r="H178" s="159"/>
      <c r="I178" s="158"/>
      <c r="J178" s="158"/>
      <c r="K178" s="159"/>
      <c r="L178" s="160"/>
      <c r="M178" s="159"/>
      <c r="N178" s="159"/>
      <c r="O178" s="161"/>
      <c r="P178" s="162" t="str">
        <f t="shared" si="105"/>
        <v/>
      </c>
      <c r="Q178" s="163" t="str">
        <f t="shared" si="106"/>
        <v/>
      </c>
      <c r="R178" s="164">
        <f t="shared" si="107"/>
        <v>0</v>
      </c>
      <c r="S178" s="165">
        <f t="shared" si="87"/>
        <v>0</v>
      </c>
      <c r="T178" s="165">
        <f t="shared" si="108"/>
        <v>0</v>
      </c>
      <c r="U178" s="166">
        <f t="shared" si="109"/>
        <v>0</v>
      </c>
      <c r="V178" s="153" t="str">
        <f t="shared" si="110"/>
        <v/>
      </c>
      <c r="W178" s="153" t="str">
        <f t="shared" si="111"/>
        <v/>
      </c>
      <c r="X178" s="244"/>
      <c r="Y178" s="154">
        <f t="shared" si="88"/>
        <v>0</v>
      </c>
      <c r="Z178" s="154" t="str">
        <f t="shared" si="112"/>
        <v>1000</v>
      </c>
      <c r="AA178" s="153" t="str">
        <f t="shared" si="113"/>
        <v/>
      </c>
      <c r="AD178" s="155" t="str">
        <f t="shared" si="114"/>
        <v/>
      </c>
      <c r="AI178" s="155">
        <f t="array" ref="AI178">MATCH(MIN(IF($AK$501:$AK$525&gt;=IF(G178&gt;1499,E178+7,E178+5), $AK$501:$AK$525)), $AK$501:$AK$525, 0)</f>
        <v>5</v>
      </c>
      <c r="AK178" s="233"/>
      <c r="AL178" s="233"/>
      <c r="AM178" s="155" t="str">
        <f t="shared" si="115"/>
        <v/>
      </c>
      <c r="AN178" s="155" t="str">
        <f t="shared" si="116"/>
        <v/>
      </c>
      <c r="AX178" s="155" t="str">
        <f t="shared" si="117"/>
        <v/>
      </c>
    </row>
    <row r="179" spans="1:50" s="155" customFormat="1" ht="30" hidden="1" customHeight="1">
      <c r="A179" s="141" t="str">
        <f t="shared" si="103"/>
        <v/>
      </c>
      <c r="B179" s="141" t="str">
        <f t="shared" si="104"/>
        <v/>
      </c>
      <c r="C179" s="157" t="str">
        <f>IF(D179="","",
    IF(ISERR(SEARCH("_",D179)),
        IFERROR(_xlfn.AGGREGATE(14,6,$C$12:C178,1),0)+1,
        IFERROR(
            VALUE(TRIM(MID(SUBSTITUTE(D179,"_",REPT(" ",LEN(D179))), (LEN(D179)-LEN(SUBSTITUTE(D179,"_",""))-1)*LEN(D179)+1, LEN(D179))))
            &amp; "." &amp;
            VALUE(TRIM(RIGHT(SUBSTITUTE(D179,"_",REPT(" ",LEN(D179))),LEN(D179)))),
            "")))</f>
        <v/>
      </c>
      <c r="D179" s="158"/>
      <c r="E179" s="159"/>
      <c r="F179" s="159"/>
      <c r="G179" s="159"/>
      <c r="H179" s="159"/>
      <c r="I179" s="158"/>
      <c r="J179" s="158"/>
      <c r="K179" s="159"/>
      <c r="L179" s="160"/>
      <c r="M179" s="159"/>
      <c r="N179" s="159"/>
      <c r="O179" s="161"/>
      <c r="P179" s="162" t="str">
        <f t="shared" si="105"/>
        <v/>
      </c>
      <c r="Q179" s="163" t="str">
        <f t="shared" si="106"/>
        <v/>
      </c>
      <c r="R179" s="164">
        <f t="shared" si="107"/>
        <v>0</v>
      </c>
      <c r="S179" s="165">
        <f t="shared" si="87"/>
        <v>0</v>
      </c>
      <c r="T179" s="165">
        <f t="shared" si="108"/>
        <v>0</v>
      </c>
      <c r="U179" s="166">
        <f t="shared" si="109"/>
        <v>0</v>
      </c>
      <c r="V179" s="153" t="str">
        <f t="shared" si="110"/>
        <v/>
      </c>
      <c r="W179" s="153" t="str">
        <f t="shared" si="111"/>
        <v/>
      </c>
      <c r="X179" s="244"/>
      <c r="Y179" s="154">
        <f t="shared" si="88"/>
        <v>0</v>
      </c>
      <c r="Z179" s="154" t="str">
        <f t="shared" si="112"/>
        <v>1000</v>
      </c>
      <c r="AA179" s="153" t="str">
        <f t="shared" si="113"/>
        <v/>
      </c>
      <c r="AD179" s="155" t="str">
        <f t="shared" si="114"/>
        <v/>
      </c>
      <c r="AI179" s="155">
        <f t="array" ref="AI179">MATCH(MIN(IF($AK$501:$AK$525&gt;=IF(G179&gt;1499,E179+7,E179+5), $AK$501:$AK$525)), $AK$501:$AK$525, 0)</f>
        <v>5</v>
      </c>
      <c r="AK179" s="233"/>
      <c r="AL179" s="233"/>
      <c r="AM179" s="155" t="str">
        <f t="shared" si="115"/>
        <v/>
      </c>
      <c r="AN179" s="155" t="str">
        <f t="shared" si="116"/>
        <v/>
      </c>
      <c r="AX179" s="155" t="str">
        <f t="shared" si="117"/>
        <v/>
      </c>
    </row>
    <row r="180" spans="1:50" s="155" customFormat="1" ht="30" hidden="1" customHeight="1">
      <c r="A180" s="141" t="str">
        <f t="shared" si="103"/>
        <v/>
      </c>
      <c r="B180" s="141" t="str">
        <f t="shared" si="104"/>
        <v/>
      </c>
      <c r="C180" s="157" t="str">
        <f>IF(D180="","",
    IF(ISERR(SEARCH("_",D180)),
        IFERROR(_xlfn.AGGREGATE(14,6,$C$12:C179,1),0)+1,
        IFERROR(
            VALUE(TRIM(MID(SUBSTITUTE(D180,"_",REPT(" ",LEN(D180))), (LEN(D180)-LEN(SUBSTITUTE(D180,"_",""))-1)*LEN(D180)+1, LEN(D180))))
            &amp; "." &amp;
            VALUE(TRIM(RIGHT(SUBSTITUTE(D180,"_",REPT(" ",LEN(D180))),LEN(D180)))),
            "")))</f>
        <v/>
      </c>
      <c r="D180" s="158"/>
      <c r="E180" s="159"/>
      <c r="F180" s="159"/>
      <c r="G180" s="159"/>
      <c r="H180" s="159"/>
      <c r="I180" s="158"/>
      <c r="J180" s="158"/>
      <c r="K180" s="159"/>
      <c r="L180" s="160"/>
      <c r="M180" s="159"/>
      <c r="N180" s="159"/>
      <c r="O180" s="161"/>
      <c r="P180" s="162" t="str">
        <f t="shared" si="105"/>
        <v/>
      </c>
      <c r="Q180" s="163" t="str">
        <f t="shared" si="106"/>
        <v/>
      </c>
      <c r="R180" s="164">
        <f t="shared" si="107"/>
        <v>0</v>
      </c>
      <c r="S180" s="165">
        <f t="shared" si="87"/>
        <v>0</v>
      </c>
      <c r="T180" s="165">
        <f t="shared" si="108"/>
        <v>0</v>
      </c>
      <c r="U180" s="166">
        <f t="shared" si="109"/>
        <v>0</v>
      </c>
      <c r="V180" s="153" t="str">
        <f t="shared" si="110"/>
        <v/>
      </c>
      <c r="W180" s="153" t="str">
        <f t="shared" si="111"/>
        <v/>
      </c>
      <c r="X180" s="244"/>
      <c r="Y180" s="154">
        <f t="shared" si="88"/>
        <v>0</v>
      </c>
      <c r="Z180" s="154" t="str">
        <f t="shared" si="112"/>
        <v>1000</v>
      </c>
      <c r="AA180" s="153" t="str">
        <f t="shared" si="113"/>
        <v/>
      </c>
      <c r="AD180" s="155" t="str">
        <f t="shared" si="114"/>
        <v/>
      </c>
      <c r="AI180" s="155">
        <f t="array" ref="AI180">MATCH(MIN(IF($AK$501:$AK$525&gt;=IF(G180&gt;1499,E180+7,E180+5), $AK$501:$AK$525)), $AK$501:$AK$525, 0)</f>
        <v>5</v>
      </c>
      <c r="AK180" s="233"/>
      <c r="AL180" s="233"/>
      <c r="AM180" s="155" t="str">
        <f t="shared" si="115"/>
        <v/>
      </c>
      <c r="AN180" s="155" t="str">
        <f t="shared" si="116"/>
        <v/>
      </c>
      <c r="AX180" s="155" t="str">
        <f t="shared" si="117"/>
        <v/>
      </c>
    </row>
    <row r="181" spans="1:50" s="155" customFormat="1" ht="30" hidden="1" customHeight="1">
      <c r="A181" s="141" t="str">
        <f t="shared" si="103"/>
        <v/>
      </c>
      <c r="B181" s="141" t="str">
        <f t="shared" si="104"/>
        <v/>
      </c>
      <c r="C181" s="157" t="str">
        <f>IF(D181="","",
    IF(ISERR(SEARCH("_",D181)),
        IFERROR(_xlfn.AGGREGATE(14,6,$C$12:C180,1),0)+1,
        IFERROR(
            VALUE(TRIM(MID(SUBSTITUTE(D181,"_",REPT(" ",LEN(D181))), (LEN(D181)-LEN(SUBSTITUTE(D181,"_",""))-1)*LEN(D181)+1, LEN(D181))))
            &amp; "." &amp;
            VALUE(TRIM(RIGHT(SUBSTITUTE(D181,"_",REPT(" ",LEN(D181))),LEN(D181)))),
            "")))</f>
        <v/>
      </c>
      <c r="D181" s="158"/>
      <c r="E181" s="159"/>
      <c r="F181" s="159"/>
      <c r="G181" s="159"/>
      <c r="H181" s="159"/>
      <c r="I181" s="158"/>
      <c r="J181" s="158"/>
      <c r="K181" s="159"/>
      <c r="L181" s="160"/>
      <c r="M181" s="159"/>
      <c r="N181" s="159"/>
      <c r="O181" s="161"/>
      <c r="P181" s="162" t="str">
        <f t="shared" si="105"/>
        <v/>
      </c>
      <c r="Q181" s="163" t="str">
        <f t="shared" si="106"/>
        <v/>
      </c>
      <c r="R181" s="164">
        <f t="shared" si="107"/>
        <v>0</v>
      </c>
      <c r="S181" s="165">
        <f t="shared" si="87"/>
        <v>0</v>
      </c>
      <c r="T181" s="165">
        <f t="shared" si="108"/>
        <v>0</v>
      </c>
      <c r="U181" s="166">
        <f t="shared" si="109"/>
        <v>0</v>
      </c>
      <c r="V181" s="153" t="str">
        <f t="shared" si="110"/>
        <v/>
      </c>
      <c r="W181" s="153" t="str">
        <f t="shared" si="111"/>
        <v/>
      </c>
      <c r="X181" s="244"/>
      <c r="Y181" s="154">
        <f t="shared" si="88"/>
        <v>0</v>
      </c>
      <c r="Z181" s="154" t="str">
        <f t="shared" si="112"/>
        <v>1000</v>
      </c>
      <c r="AA181" s="153" t="str">
        <f t="shared" si="113"/>
        <v/>
      </c>
      <c r="AD181" s="155" t="str">
        <f t="shared" si="114"/>
        <v/>
      </c>
      <c r="AI181" s="155">
        <f t="array" ref="AI181">MATCH(MIN(IF($AK$501:$AK$525&gt;=IF(G181&gt;1499,E181+7,E181+5), $AK$501:$AK$525)), $AK$501:$AK$525, 0)</f>
        <v>5</v>
      </c>
      <c r="AK181" s="233"/>
      <c r="AL181" s="233"/>
      <c r="AM181" s="155" t="str">
        <f t="shared" si="115"/>
        <v/>
      </c>
      <c r="AN181" s="155" t="str">
        <f t="shared" si="116"/>
        <v/>
      </c>
      <c r="AX181" s="155" t="str">
        <f t="shared" si="117"/>
        <v/>
      </c>
    </row>
    <row r="182" spans="1:50" s="155" customFormat="1" ht="30" hidden="1" customHeight="1">
      <c r="A182" s="141" t="str">
        <f t="shared" si="103"/>
        <v/>
      </c>
      <c r="B182" s="141" t="str">
        <f t="shared" si="104"/>
        <v/>
      </c>
      <c r="C182" s="157" t="str">
        <f>IF(D182="","",
    IF(ISERR(SEARCH("_",D182)),
        IFERROR(_xlfn.AGGREGATE(14,6,$C$12:C181,1),0)+1,
        IFERROR(
            VALUE(TRIM(MID(SUBSTITUTE(D182,"_",REPT(" ",LEN(D182))), (LEN(D182)-LEN(SUBSTITUTE(D182,"_",""))-1)*LEN(D182)+1, LEN(D182))))
            &amp; "." &amp;
            VALUE(TRIM(RIGHT(SUBSTITUTE(D182,"_",REPT(" ",LEN(D182))),LEN(D182)))),
            "")))</f>
        <v/>
      </c>
      <c r="D182" s="158"/>
      <c r="E182" s="159"/>
      <c r="F182" s="159"/>
      <c r="G182" s="159"/>
      <c r="H182" s="159"/>
      <c r="I182" s="158"/>
      <c r="J182" s="158"/>
      <c r="K182" s="159"/>
      <c r="L182" s="160"/>
      <c r="M182" s="159"/>
      <c r="N182" s="159"/>
      <c r="O182" s="161"/>
      <c r="P182" s="162" t="str">
        <f t="shared" si="105"/>
        <v/>
      </c>
      <c r="Q182" s="163" t="str">
        <f t="shared" si="106"/>
        <v/>
      </c>
      <c r="R182" s="164">
        <f t="shared" si="107"/>
        <v>0</v>
      </c>
      <c r="S182" s="165">
        <f t="shared" si="87"/>
        <v>0</v>
      </c>
      <c r="T182" s="165">
        <f t="shared" si="108"/>
        <v>0</v>
      </c>
      <c r="U182" s="166">
        <f t="shared" si="109"/>
        <v>0</v>
      </c>
      <c r="V182" s="153" t="str">
        <f t="shared" si="110"/>
        <v/>
      </c>
      <c r="W182" s="153" t="str">
        <f t="shared" si="111"/>
        <v/>
      </c>
      <c r="X182" s="244"/>
      <c r="Y182" s="154">
        <f t="shared" si="88"/>
        <v>0</v>
      </c>
      <c r="Z182" s="154" t="str">
        <f t="shared" si="112"/>
        <v>1000</v>
      </c>
      <c r="AA182" s="153" t="str">
        <f t="shared" si="113"/>
        <v/>
      </c>
      <c r="AD182" s="155" t="str">
        <f t="shared" si="114"/>
        <v/>
      </c>
      <c r="AI182" s="155">
        <f t="array" ref="AI182">MATCH(MIN(IF($AK$501:$AK$525&gt;=IF(G182&gt;1499,E182+7,E182+5), $AK$501:$AK$525)), $AK$501:$AK$525, 0)</f>
        <v>5</v>
      </c>
      <c r="AK182" s="233"/>
      <c r="AL182" s="233"/>
      <c r="AM182" s="155" t="str">
        <f t="shared" si="115"/>
        <v/>
      </c>
      <c r="AN182" s="155" t="str">
        <f t="shared" si="116"/>
        <v/>
      </c>
      <c r="AX182" s="155" t="str">
        <f t="shared" si="117"/>
        <v/>
      </c>
    </row>
    <row r="183" spans="1:50" s="155" customFormat="1" ht="30" hidden="1" customHeight="1">
      <c r="A183" s="141" t="str">
        <f t="shared" si="103"/>
        <v/>
      </c>
      <c r="B183" s="141" t="str">
        <f t="shared" si="104"/>
        <v/>
      </c>
      <c r="C183" s="157" t="str">
        <f>IF(D183="","",
    IF(ISERR(SEARCH("_",D183)),
        IFERROR(_xlfn.AGGREGATE(14,6,$C$12:C182,1),0)+1,
        IFERROR(
            VALUE(TRIM(MID(SUBSTITUTE(D183,"_",REPT(" ",LEN(D183))), (LEN(D183)-LEN(SUBSTITUTE(D183,"_",""))-1)*LEN(D183)+1, LEN(D183))))
            &amp; "." &amp;
            VALUE(TRIM(RIGHT(SUBSTITUTE(D183,"_",REPT(" ",LEN(D183))),LEN(D183)))),
            "")))</f>
        <v/>
      </c>
      <c r="D183" s="158"/>
      <c r="E183" s="159"/>
      <c r="F183" s="159"/>
      <c r="G183" s="159"/>
      <c r="H183" s="159"/>
      <c r="I183" s="158"/>
      <c r="J183" s="158"/>
      <c r="K183" s="159"/>
      <c r="L183" s="160"/>
      <c r="M183" s="159"/>
      <c r="N183" s="159"/>
      <c r="O183" s="161"/>
      <c r="P183" s="162" t="str">
        <f t="shared" si="105"/>
        <v/>
      </c>
      <c r="Q183" s="163" t="str">
        <f t="shared" si="106"/>
        <v/>
      </c>
      <c r="R183" s="164">
        <f t="shared" si="107"/>
        <v>0</v>
      </c>
      <c r="S183" s="165">
        <f t="shared" si="87"/>
        <v>0</v>
      </c>
      <c r="T183" s="165">
        <f t="shared" si="108"/>
        <v>0</v>
      </c>
      <c r="U183" s="166">
        <f t="shared" si="109"/>
        <v>0</v>
      </c>
      <c r="V183" s="153" t="str">
        <f t="shared" si="110"/>
        <v/>
      </c>
      <c r="W183" s="153" t="str">
        <f t="shared" si="111"/>
        <v/>
      </c>
      <c r="X183" s="244"/>
      <c r="Y183" s="154">
        <f t="shared" si="88"/>
        <v>0</v>
      </c>
      <c r="Z183" s="154" t="str">
        <f t="shared" si="112"/>
        <v>1000</v>
      </c>
      <c r="AA183" s="153" t="str">
        <f t="shared" si="113"/>
        <v/>
      </c>
      <c r="AD183" s="155" t="str">
        <f t="shared" si="114"/>
        <v/>
      </c>
      <c r="AI183" s="155">
        <f t="array" ref="AI183">MATCH(MIN(IF($AK$501:$AK$525&gt;=IF(G183&gt;1499,E183+7,E183+5), $AK$501:$AK$525)), $AK$501:$AK$525, 0)</f>
        <v>5</v>
      </c>
      <c r="AK183" s="233"/>
      <c r="AL183" s="233"/>
      <c r="AM183" s="155" t="str">
        <f t="shared" si="115"/>
        <v/>
      </c>
      <c r="AN183" s="155" t="str">
        <f t="shared" si="116"/>
        <v/>
      </c>
      <c r="AX183" s="155" t="str">
        <f t="shared" si="117"/>
        <v/>
      </c>
    </row>
    <row r="184" spans="1:50" s="155" customFormat="1" ht="30" hidden="1" customHeight="1">
      <c r="A184" s="141" t="str">
        <f t="shared" si="103"/>
        <v/>
      </c>
      <c r="B184" s="141" t="str">
        <f t="shared" si="104"/>
        <v/>
      </c>
      <c r="C184" s="157" t="str">
        <f>IF(D184="","",
    IF(ISERR(SEARCH("_",D184)),
        IFERROR(_xlfn.AGGREGATE(14,6,$C$12:C183,1),0)+1,
        IFERROR(
            VALUE(TRIM(MID(SUBSTITUTE(D184,"_",REPT(" ",LEN(D184))), (LEN(D184)-LEN(SUBSTITUTE(D184,"_",""))-1)*LEN(D184)+1, LEN(D184))))
            &amp; "." &amp;
            VALUE(TRIM(RIGHT(SUBSTITUTE(D184,"_",REPT(" ",LEN(D184))),LEN(D184)))),
            "")))</f>
        <v/>
      </c>
      <c r="D184" s="158"/>
      <c r="E184" s="159"/>
      <c r="F184" s="159"/>
      <c r="G184" s="159"/>
      <c r="H184" s="159"/>
      <c r="I184" s="158"/>
      <c r="J184" s="158"/>
      <c r="K184" s="159"/>
      <c r="L184" s="160"/>
      <c r="M184" s="159"/>
      <c r="N184" s="159"/>
      <c r="O184" s="161"/>
      <c r="P184" s="162" t="str">
        <f t="shared" si="105"/>
        <v/>
      </c>
      <c r="Q184" s="163" t="str">
        <f t="shared" si="106"/>
        <v/>
      </c>
      <c r="R184" s="164">
        <f t="shared" si="107"/>
        <v>0</v>
      </c>
      <c r="S184" s="165">
        <f t="shared" si="87"/>
        <v>0</v>
      </c>
      <c r="T184" s="165">
        <f t="shared" si="108"/>
        <v>0</v>
      </c>
      <c r="U184" s="166">
        <f t="shared" si="109"/>
        <v>0</v>
      </c>
      <c r="V184" s="153" t="str">
        <f t="shared" si="110"/>
        <v/>
      </c>
      <c r="W184" s="153" t="str">
        <f t="shared" si="111"/>
        <v/>
      </c>
      <c r="X184" s="244"/>
      <c r="Y184" s="154">
        <f t="shared" si="88"/>
        <v>0</v>
      </c>
      <c r="Z184" s="154" t="str">
        <f t="shared" si="112"/>
        <v>1000</v>
      </c>
      <c r="AA184" s="153" t="str">
        <f t="shared" si="113"/>
        <v/>
      </c>
      <c r="AD184" s="155" t="str">
        <f t="shared" si="114"/>
        <v/>
      </c>
      <c r="AI184" s="155">
        <f t="array" ref="AI184">MATCH(MIN(IF($AK$501:$AK$525&gt;=IF(G184&gt;1499,E184+7,E184+5), $AK$501:$AK$525)), $AK$501:$AK$525, 0)</f>
        <v>5</v>
      </c>
      <c r="AK184" s="233"/>
      <c r="AL184" s="233"/>
      <c r="AM184" s="155" t="str">
        <f t="shared" si="115"/>
        <v/>
      </c>
      <c r="AN184" s="155" t="str">
        <f t="shared" si="116"/>
        <v/>
      </c>
      <c r="AX184" s="155" t="str">
        <f t="shared" si="117"/>
        <v/>
      </c>
    </row>
    <row r="185" spans="1:50" s="155" customFormat="1" ht="30" hidden="1" customHeight="1">
      <c r="A185" s="141" t="str">
        <f t="shared" si="103"/>
        <v/>
      </c>
      <c r="B185" s="141" t="str">
        <f t="shared" si="104"/>
        <v/>
      </c>
      <c r="C185" s="157" t="str">
        <f>IF(D185="","",
    IF(ISERR(SEARCH("_",D185)),
        IFERROR(_xlfn.AGGREGATE(14,6,$C$12:C184,1),0)+1,
        IFERROR(
            VALUE(TRIM(MID(SUBSTITUTE(D185,"_",REPT(" ",LEN(D185))), (LEN(D185)-LEN(SUBSTITUTE(D185,"_",""))-1)*LEN(D185)+1, LEN(D185))))
            &amp; "." &amp;
            VALUE(TRIM(RIGHT(SUBSTITUTE(D185,"_",REPT(" ",LEN(D185))),LEN(D185)))),
            "")))</f>
        <v/>
      </c>
      <c r="D185" s="158"/>
      <c r="E185" s="159"/>
      <c r="F185" s="159"/>
      <c r="G185" s="159"/>
      <c r="H185" s="159"/>
      <c r="I185" s="158"/>
      <c r="J185" s="158"/>
      <c r="K185" s="159"/>
      <c r="L185" s="160"/>
      <c r="M185" s="159"/>
      <c r="N185" s="159"/>
      <c r="O185" s="161"/>
      <c r="P185" s="162" t="str">
        <f t="shared" si="105"/>
        <v/>
      </c>
      <c r="Q185" s="163" t="str">
        <f t="shared" si="106"/>
        <v/>
      </c>
      <c r="R185" s="164">
        <f t="shared" si="107"/>
        <v>0</v>
      </c>
      <c r="S185" s="165">
        <f t="shared" si="87"/>
        <v>0</v>
      </c>
      <c r="T185" s="165">
        <f t="shared" si="108"/>
        <v>0</v>
      </c>
      <c r="U185" s="166">
        <f t="shared" si="109"/>
        <v>0</v>
      </c>
      <c r="V185" s="153" t="str">
        <f t="shared" si="110"/>
        <v/>
      </c>
      <c r="W185" s="153" t="str">
        <f t="shared" si="111"/>
        <v/>
      </c>
      <c r="X185" s="244"/>
      <c r="Y185" s="154">
        <f t="shared" si="88"/>
        <v>0</v>
      </c>
      <c r="Z185" s="154" t="str">
        <f t="shared" si="112"/>
        <v>1000</v>
      </c>
      <c r="AA185" s="153" t="str">
        <f t="shared" si="113"/>
        <v/>
      </c>
      <c r="AD185" s="155" t="str">
        <f t="shared" si="114"/>
        <v/>
      </c>
      <c r="AI185" s="155">
        <f t="array" ref="AI185">MATCH(MIN(IF($AK$501:$AK$525&gt;=IF(G185&gt;1499,E185+7,E185+5), $AK$501:$AK$525)), $AK$501:$AK$525, 0)</f>
        <v>5</v>
      </c>
      <c r="AK185" s="233"/>
      <c r="AL185" s="233"/>
      <c r="AM185" s="155" t="str">
        <f t="shared" si="115"/>
        <v/>
      </c>
      <c r="AN185" s="155" t="str">
        <f t="shared" si="116"/>
        <v/>
      </c>
      <c r="AX185" s="155" t="str">
        <f t="shared" si="117"/>
        <v/>
      </c>
    </row>
    <row r="186" spans="1:50" s="155" customFormat="1" ht="30" hidden="1" customHeight="1">
      <c r="A186" s="141" t="str">
        <f t="shared" si="103"/>
        <v/>
      </c>
      <c r="B186" s="141" t="str">
        <f t="shared" si="104"/>
        <v/>
      </c>
      <c r="C186" s="157" t="str">
        <f>IF(D186="","",
    IF(ISERR(SEARCH("_",D186)),
        IFERROR(_xlfn.AGGREGATE(14,6,$C$12:C185,1),0)+1,
        IFERROR(
            VALUE(TRIM(MID(SUBSTITUTE(D186,"_",REPT(" ",LEN(D186))), (LEN(D186)-LEN(SUBSTITUTE(D186,"_",""))-1)*LEN(D186)+1, LEN(D186))))
            &amp; "." &amp;
            VALUE(TRIM(RIGHT(SUBSTITUTE(D186,"_",REPT(" ",LEN(D186))),LEN(D186)))),
            "")))</f>
        <v/>
      </c>
      <c r="D186" s="158"/>
      <c r="E186" s="159"/>
      <c r="F186" s="159"/>
      <c r="G186" s="159"/>
      <c r="H186" s="159"/>
      <c r="I186" s="158"/>
      <c r="J186" s="158"/>
      <c r="K186" s="159"/>
      <c r="L186" s="160"/>
      <c r="M186" s="159"/>
      <c r="N186" s="159"/>
      <c r="O186" s="161"/>
      <c r="P186" s="162" t="str">
        <f t="shared" si="105"/>
        <v/>
      </c>
      <c r="Q186" s="163" t="str">
        <f t="shared" si="106"/>
        <v/>
      </c>
      <c r="R186" s="164">
        <f t="shared" si="107"/>
        <v>0</v>
      </c>
      <c r="S186" s="165">
        <f t="shared" si="87"/>
        <v>0</v>
      </c>
      <c r="T186" s="165">
        <f t="shared" si="108"/>
        <v>0</v>
      </c>
      <c r="U186" s="166">
        <f t="shared" si="109"/>
        <v>0</v>
      </c>
      <c r="V186" s="153" t="str">
        <f t="shared" si="110"/>
        <v/>
      </c>
      <c r="W186" s="153" t="str">
        <f t="shared" si="111"/>
        <v/>
      </c>
      <c r="X186" s="244"/>
      <c r="Y186" s="154">
        <f t="shared" si="88"/>
        <v>0</v>
      </c>
      <c r="Z186" s="154" t="str">
        <f t="shared" si="112"/>
        <v>1000</v>
      </c>
      <c r="AA186" s="153" t="str">
        <f t="shared" si="113"/>
        <v/>
      </c>
      <c r="AD186" s="155" t="str">
        <f t="shared" si="114"/>
        <v/>
      </c>
      <c r="AI186" s="155">
        <f t="array" ref="AI186">MATCH(MIN(IF($AK$501:$AK$525&gt;=IF(G186&gt;1499,E186+7,E186+5), $AK$501:$AK$525)), $AK$501:$AK$525, 0)</f>
        <v>5</v>
      </c>
      <c r="AK186" s="233"/>
      <c r="AL186" s="233"/>
      <c r="AM186" s="155" t="str">
        <f t="shared" si="115"/>
        <v/>
      </c>
      <c r="AN186" s="155" t="str">
        <f t="shared" si="116"/>
        <v/>
      </c>
      <c r="AX186" s="155" t="str">
        <f t="shared" si="117"/>
        <v/>
      </c>
    </row>
    <row r="187" spans="1:50" s="155" customFormat="1" ht="30" hidden="1" customHeight="1">
      <c r="A187" s="141" t="str">
        <f t="shared" si="103"/>
        <v/>
      </c>
      <c r="B187" s="141" t="str">
        <f t="shared" si="104"/>
        <v/>
      </c>
      <c r="C187" s="157" t="str">
        <f>IF(D187="","",
    IF(ISERR(SEARCH("_",D187)),
        IFERROR(_xlfn.AGGREGATE(14,6,$C$12:C186,1),0)+1,
        IFERROR(
            VALUE(TRIM(MID(SUBSTITUTE(D187,"_",REPT(" ",LEN(D187))), (LEN(D187)-LEN(SUBSTITUTE(D187,"_",""))-1)*LEN(D187)+1, LEN(D187))))
            &amp; "." &amp;
            VALUE(TRIM(RIGHT(SUBSTITUTE(D187,"_",REPT(" ",LEN(D187))),LEN(D187)))),
            "")))</f>
        <v/>
      </c>
      <c r="D187" s="158"/>
      <c r="E187" s="159"/>
      <c r="F187" s="159"/>
      <c r="G187" s="159"/>
      <c r="H187" s="159"/>
      <c r="I187" s="158"/>
      <c r="J187" s="158"/>
      <c r="K187" s="159"/>
      <c r="L187" s="160"/>
      <c r="M187" s="159"/>
      <c r="N187" s="159"/>
      <c r="O187" s="161"/>
      <c r="P187" s="162" t="str">
        <f t="shared" si="105"/>
        <v/>
      </c>
      <c r="Q187" s="163" t="str">
        <f t="shared" si="106"/>
        <v/>
      </c>
      <c r="R187" s="164">
        <f t="shared" si="107"/>
        <v>0</v>
      </c>
      <c r="S187" s="165">
        <f t="shared" si="87"/>
        <v>0</v>
      </c>
      <c r="T187" s="165">
        <f t="shared" si="108"/>
        <v>0</v>
      </c>
      <c r="U187" s="166">
        <f t="shared" si="109"/>
        <v>0</v>
      </c>
      <c r="V187" s="153" t="str">
        <f t="shared" si="110"/>
        <v/>
      </c>
      <c r="W187" s="153" t="str">
        <f t="shared" si="111"/>
        <v/>
      </c>
      <c r="X187" s="244"/>
      <c r="Y187" s="154">
        <f t="shared" si="88"/>
        <v>0</v>
      </c>
      <c r="Z187" s="154" t="str">
        <f t="shared" si="112"/>
        <v>1000</v>
      </c>
      <c r="AA187" s="153" t="str">
        <f t="shared" si="113"/>
        <v/>
      </c>
      <c r="AD187" s="155" t="str">
        <f t="shared" si="114"/>
        <v/>
      </c>
      <c r="AI187" s="155">
        <f t="array" ref="AI187">MATCH(MIN(IF($AK$501:$AK$525&gt;=IF(G187&gt;1499,E187+7,E187+5), $AK$501:$AK$525)), $AK$501:$AK$525, 0)</f>
        <v>5</v>
      </c>
      <c r="AK187" s="233"/>
      <c r="AL187" s="233"/>
      <c r="AM187" s="155" t="str">
        <f t="shared" si="115"/>
        <v/>
      </c>
      <c r="AN187" s="155" t="str">
        <f t="shared" si="116"/>
        <v/>
      </c>
      <c r="AX187" s="155" t="str">
        <f t="shared" si="117"/>
        <v/>
      </c>
    </row>
    <row r="188" spans="1:50" s="155" customFormat="1" ht="30" hidden="1" customHeight="1">
      <c r="A188" s="141" t="str">
        <f t="shared" si="103"/>
        <v/>
      </c>
      <c r="B188" s="141" t="str">
        <f t="shared" si="104"/>
        <v/>
      </c>
      <c r="C188" s="157" t="str">
        <f>IF(D188="","",
    IF(ISERR(SEARCH("_",D188)),
        IFERROR(_xlfn.AGGREGATE(14,6,$C$12:C187,1),0)+1,
        IFERROR(
            VALUE(TRIM(MID(SUBSTITUTE(D188,"_",REPT(" ",LEN(D188))), (LEN(D188)-LEN(SUBSTITUTE(D188,"_",""))-1)*LEN(D188)+1, LEN(D188))))
            &amp; "." &amp;
            VALUE(TRIM(RIGHT(SUBSTITUTE(D188,"_",REPT(" ",LEN(D188))),LEN(D188)))),
            "")))</f>
        <v/>
      </c>
      <c r="D188" s="158"/>
      <c r="E188" s="159"/>
      <c r="F188" s="159"/>
      <c r="G188" s="159"/>
      <c r="H188" s="159"/>
      <c r="I188" s="158"/>
      <c r="J188" s="158"/>
      <c r="K188" s="159"/>
      <c r="L188" s="160"/>
      <c r="M188" s="159"/>
      <c r="N188" s="159"/>
      <c r="O188" s="161"/>
      <c r="P188" s="162" t="str">
        <f t="shared" si="105"/>
        <v/>
      </c>
      <c r="Q188" s="163" t="str">
        <f t="shared" si="106"/>
        <v/>
      </c>
      <c r="R188" s="164">
        <f t="shared" si="107"/>
        <v>0</v>
      </c>
      <c r="S188" s="165">
        <f t="shared" si="87"/>
        <v>0</v>
      </c>
      <c r="T188" s="165">
        <f t="shared" si="108"/>
        <v>0</v>
      </c>
      <c r="U188" s="166">
        <f t="shared" si="109"/>
        <v>0</v>
      </c>
      <c r="V188" s="153" t="str">
        <f t="shared" si="110"/>
        <v/>
      </c>
      <c r="W188" s="153" t="str">
        <f t="shared" si="111"/>
        <v/>
      </c>
      <c r="X188" s="244"/>
      <c r="Y188" s="154">
        <f t="shared" si="88"/>
        <v>0</v>
      </c>
      <c r="Z188" s="154" t="str">
        <f t="shared" si="112"/>
        <v>1000</v>
      </c>
      <c r="AA188" s="153" t="str">
        <f t="shared" si="113"/>
        <v/>
      </c>
      <c r="AD188" s="155" t="str">
        <f t="shared" si="114"/>
        <v/>
      </c>
      <c r="AI188" s="155">
        <f t="array" ref="AI188">MATCH(MIN(IF($AK$501:$AK$525&gt;=IF(G188&gt;1499,E188+7,E188+5), $AK$501:$AK$525)), $AK$501:$AK$525, 0)</f>
        <v>5</v>
      </c>
      <c r="AK188" s="233"/>
      <c r="AL188" s="233"/>
      <c r="AM188" s="155" t="str">
        <f t="shared" si="115"/>
        <v/>
      </c>
      <c r="AN188" s="155" t="str">
        <f t="shared" si="116"/>
        <v/>
      </c>
      <c r="AX188" s="155" t="str">
        <f t="shared" si="117"/>
        <v/>
      </c>
    </row>
    <row r="189" spans="1:50" s="155" customFormat="1" ht="30" hidden="1" customHeight="1">
      <c r="A189" s="141" t="str">
        <f t="shared" si="103"/>
        <v/>
      </c>
      <c r="B189" s="141" t="str">
        <f t="shared" si="104"/>
        <v/>
      </c>
      <c r="C189" s="157" t="str">
        <f>IF(D189="","",
    IF(ISERR(SEARCH("_",D189)),
        IFERROR(_xlfn.AGGREGATE(14,6,$C$12:C188,1),0)+1,
        IFERROR(
            VALUE(TRIM(MID(SUBSTITUTE(D189,"_",REPT(" ",LEN(D189))), (LEN(D189)-LEN(SUBSTITUTE(D189,"_",""))-1)*LEN(D189)+1, LEN(D189))))
            &amp; "." &amp;
            VALUE(TRIM(RIGHT(SUBSTITUTE(D189,"_",REPT(" ",LEN(D189))),LEN(D189)))),
            "")))</f>
        <v/>
      </c>
      <c r="D189" s="158"/>
      <c r="E189" s="159"/>
      <c r="F189" s="159"/>
      <c r="G189" s="159"/>
      <c r="H189" s="159"/>
      <c r="I189" s="158"/>
      <c r="J189" s="158"/>
      <c r="K189" s="159"/>
      <c r="L189" s="160"/>
      <c r="M189" s="159"/>
      <c r="N189" s="159"/>
      <c r="O189" s="161"/>
      <c r="P189" s="162" t="str">
        <f t="shared" si="105"/>
        <v/>
      </c>
      <c r="Q189" s="163" t="str">
        <f t="shared" si="106"/>
        <v/>
      </c>
      <c r="R189" s="164">
        <f t="shared" si="107"/>
        <v>0</v>
      </c>
      <c r="S189" s="165">
        <f t="shared" si="87"/>
        <v>0</v>
      </c>
      <c r="T189" s="165">
        <f t="shared" si="108"/>
        <v>0</v>
      </c>
      <c r="U189" s="166">
        <f t="shared" si="109"/>
        <v>0</v>
      </c>
      <c r="V189" s="153" t="str">
        <f t="shared" si="110"/>
        <v/>
      </c>
      <c r="W189" s="153" t="str">
        <f t="shared" si="111"/>
        <v/>
      </c>
      <c r="X189" s="244"/>
      <c r="Y189" s="154">
        <f t="shared" si="88"/>
        <v>0</v>
      </c>
      <c r="Z189" s="154" t="str">
        <f t="shared" si="112"/>
        <v>1000</v>
      </c>
      <c r="AA189" s="153" t="str">
        <f t="shared" si="113"/>
        <v/>
      </c>
      <c r="AD189" s="155" t="str">
        <f t="shared" si="114"/>
        <v/>
      </c>
      <c r="AI189" s="155">
        <f t="array" ref="AI189">MATCH(MIN(IF($AK$501:$AK$525&gt;=IF(G189&gt;1499,E189+7,E189+5), $AK$501:$AK$525)), $AK$501:$AK$525, 0)</f>
        <v>5</v>
      </c>
      <c r="AK189" s="233"/>
      <c r="AL189" s="233"/>
      <c r="AM189" s="155" t="str">
        <f t="shared" si="115"/>
        <v/>
      </c>
      <c r="AN189" s="155" t="str">
        <f t="shared" si="116"/>
        <v/>
      </c>
      <c r="AX189" s="155" t="str">
        <f t="shared" si="117"/>
        <v/>
      </c>
    </row>
    <row r="190" spans="1:50" s="155" customFormat="1" ht="30" hidden="1" customHeight="1">
      <c r="A190" s="141" t="str">
        <f t="shared" si="103"/>
        <v/>
      </c>
      <c r="B190" s="141" t="str">
        <f t="shared" si="104"/>
        <v/>
      </c>
      <c r="C190" s="157" t="str">
        <f>IF(D190="","",
    IF(ISERR(SEARCH("_",D190)),
        IFERROR(_xlfn.AGGREGATE(14,6,$C$12:C189,1),0)+1,
        IFERROR(
            VALUE(TRIM(MID(SUBSTITUTE(D190,"_",REPT(" ",LEN(D190))), (LEN(D190)-LEN(SUBSTITUTE(D190,"_",""))-1)*LEN(D190)+1, LEN(D190))))
            &amp; "." &amp;
            VALUE(TRIM(RIGHT(SUBSTITUTE(D190,"_",REPT(" ",LEN(D190))),LEN(D190)))),
            "")))</f>
        <v/>
      </c>
      <c r="D190" s="158"/>
      <c r="E190" s="159"/>
      <c r="F190" s="159"/>
      <c r="G190" s="159"/>
      <c r="H190" s="159"/>
      <c r="I190" s="158"/>
      <c r="J190" s="158"/>
      <c r="K190" s="159"/>
      <c r="L190" s="160"/>
      <c r="M190" s="159"/>
      <c r="N190" s="159"/>
      <c r="O190" s="161"/>
      <c r="P190" s="162" t="str">
        <f t="shared" si="105"/>
        <v/>
      </c>
      <c r="Q190" s="163" t="str">
        <f t="shared" si="106"/>
        <v/>
      </c>
      <c r="R190" s="164">
        <f t="shared" si="107"/>
        <v>0</v>
      </c>
      <c r="S190" s="165">
        <f t="shared" si="87"/>
        <v>0</v>
      </c>
      <c r="T190" s="165">
        <f t="shared" si="108"/>
        <v>0</v>
      </c>
      <c r="U190" s="166">
        <f t="shared" si="109"/>
        <v>0</v>
      </c>
      <c r="V190" s="153" t="str">
        <f t="shared" si="110"/>
        <v/>
      </c>
      <c r="W190" s="153" t="str">
        <f t="shared" si="111"/>
        <v/>
      </c>
      <c r="X190" s="244"/>
      <c r="Y190" s="154">
        <f t="shared" si="88"/>
        <v>0</v>
      </c>
      <c r="Z190" s="154" t="str">
        <f t="shared" si="112"/>
        <v>1000</v>
      </c>
      <c r="AA190" s="153" t="str">
        <f t="shared" si="113"/>
        <v/>
      </c>
      <c r="AD190" s="155" t="str">
        <f t="shared" si="114"/>
        <v/>
      </c>
      <c r="AI190" s="155">
        <f t="array" ref="AI190">MATCH(MIN(IF($AK$501:$AK$525&gt;=IF(G190&gt;1499,E190+7,E190+5), $AK$501:$AK$525)), $AK$501:$AK$525, 0)</f>
        <v>5</v>
      </c>
      <c r="AK190" s="233"/>
      <c r="AL190" s="233"/>
      <c r="AM190" s="155" t="str">
        <f t="shared" si="115"/>
        <v/>
      </c>
      <c r="AN190" s="155" t="str">
        <f t="shared" si="116"/>
        <v/>
      </c>
      <c r="AX190" s="155" t="str">
        <f t="shared" si="117"/>
        <v/>
      </c>
    </row>
    <row r="191" spans="1:50" s="155" customFormat="1" ht="30" hidden="1" customHeight="1">
      <c r="A191" s="141" t="str">
        <f t="shared" si="103"/>
        <v/>
      </c>
      <c r="B191" s="141" t="str">
        <f t="shared" si="104"/>
        <v/>
      </c>
      <c r="C191" s="157" t="str">
        <f>IF(D191="","",
    IF(ISERR(SEARCH("_",D191)),
        IFERROR(_xlfn.AGGREGATE(14,6,$C$12:C190,1),0)+1,
        IFERROR(
            VALUE(TRIM(MID(SUBSTITUTE(D191,"_",REPT(" ",LEN(D191))), (LEN(D191)-LEN(SUBSTITUTE(D191,"_",""))-1)*LEN(D191)+1, LEN(D191))))
            &amp; "." &amp;
            VALUE(TRIM(RIGHT(SUBSTITUTE(D191,"_",REPT(" ",LEN(D191))),LEN(D191)))),
            "")))</f>
        <v/>
      </c>
      <c r="D191" s="158"/>
      <c r="E191" s="159"/>
      <c r="F191" s="159"/>
      <c r="G191" s="159"/>
      <c r="H191" s="159"/>
      <c r="I191" s="158"/>
      <c r="J191" s="158"/>
      <c r="K191" s="159"/>
      <c r="L191" s="160"/>
      <c r="M191" s="159"/>
      <c r="N191" s="159"/>
      <c r="O191" s="161"/>
      <c r="P191" s="162" t="str">
        <f t="shared" si="105"/>
        <v/>
      </c>
      <c r="Q191" s="163" t="str">
        <f t="shared" si="106"/>
        <v/>
      </c>
      <c r="R191" s="164">
        <f t="shared" si="107"/>
        <v>0</v>
      </c>
      <c r="S191" s="165">
        <f t="shared" si="87"/>
        <v>0</v>
      </c>
      <c r="T191" s="165">
        <f t="shared" si="108"/>
        <v>0</v>
      </c>
      <c r="U191" s="166">
        <f t="shared" si="109"/>
        <v>0</v>
      </c>
      <c r="V191" s="153" t="str">
        <f t="shared" si="110"/>
        <v/>
      </c>
      <c r="W191" s="153" t="str">
        <f t="shared" si="111"/>
        <v/>
      </c>
      <c r="X191" s="244"/>
      <c r="Y191" s="154">
        <f t="shared" si="88"/>
        <v>0</v>
      </c>
      <c r="Z191" s="154" t="str">
        <f t="shared" si="112"/>
        <v>1000</v>
      </c>
      <c r="AA191" s="153" t="str">
        <f t="shared" si="113"/>
        <v/>
      </c>
      <c r="AD191" s="155" t="str">
        <f t="shared" si="114"/>
        <v/>
      </c>
      <c r="AI191" s="155">
        <f t="array" ref="AI191">MATCH(MIN(IF($AK$501:$AK$525&gt;=IF(G191&gt;1499,E191+7,E191+5), $AK$501:$AK$525)), $AK$501:$AK$525, 0)</f>
        <v>5</v>
      </c>
      <c r="AK191" s="233"/>
      <c r="AL191" s="233"/>
      <c r="AM191" s="155" t="str">
        <f t="shared" si="115"/>
        <v/>
      </c>
      <c r="AN191" s="155" t="str">
        <f t="shared" si="116"/>
        <v/>
      </c>
      <c r="AX191" s="155" t="str">
        <f t="shared" si="117"/>
        <v/>
      </c>
    </row>
    <row r="192" spans="1:50" s="155" customFormat="1" ht="30" hidden="1" customHeight="1">
      <c r="A192" s="141" t="str">
        <f t="shared" si="103"/>
        <v/>
      </c>
      <c r="B192" s="141" t="str">
        <f t="shared" si="104"/>
        <v/>
      </c>
      <c r="C192" s="157" t="str">
        <f>IF(D192="","",
    IF(ISERR(SEARCH("_",D192)),
        IFERROR(_xlfn.AGGREGATE(14,6,$C$12:C191,1),0)+1,
        IFERROR(
            VALUE(TRIM(MID(SUBSTITUTE(D192,"_",REPT(" ",LEN(D192))), (LEN(D192)-LEN(SUBSTITUTE(D192,"_",""))-1)*LEN(D192)+1, LEN(D192))))
            &amp; "." &amp;
            VALUE(TRIM(RIGHT(SUBSTITUTE(D192,"_",REPT(" ",LEN(D192))),LEN(D192)))),
            "")))</f>
        <v/>
      </c>
      <c r="D192" s="158"/>
      <c r="E192" s="159"/>
      <c r="F192" s="159"/>
      <c r="G192" s="159"/>
      <c r="H192" s="159"/>
      <c r="I192" s="158"/>
      <c r="J192" s="158"/>
      <c r="K192" s="159"/>
      <c r="L192" s="160"/>
      <c r="M192" s="159"/>
      <c r="N192" s="159"/>
      <c r="O192" s="161"/>
      <c r="P192" s="162" t="str">
        <f t="shared" si="105"/>
        <v/>
      </c>
      <c r="Q192" s="163" t="str">
        <f t="shared" si="106"/>
        <v/>
      </c>
      <c r="R192" s="164">
        <f t="shared" si="107"/>
        <v>0</v>
      </c>
      <c r="S192" s="165">
        <f t="shared" si="87"/>
        <v>0</v>
      </c>
      <c r="T192" s="165">
        <f t="shared" si="108"/>
        <v>0</v>
      </c>
      <c r="U192" s="166">
        <f t="shared" si="109"/>
        <v>0</v>
      </c>
      <c r="V192" s="153" t="str">
        <f t="shared" si="110"/>
        <v/>
      </c>
      <c r="W192" s="153" t="str">
        <f t="shared" si="111"/>
        <v/>
      </c>
      <c r="X192" s="244"/>
      <c r="Y192" s="154">
        <f t="shared" si="88"/>
        <v>0</v>
      </c>
      <c r="Z192" s="154" t="str">
        <f t="shared" si="112"/>
        <v>1000</v>
      </c>
      <c r="AA192" s="153" t="str">
        <f t="shared" si="113"/>
        <v/>
      </c>
      <c r="AD192" s="155" t="str">
        <f t="shared" si="114"/>
        <v/>
      </c>
      <c r="AI192" s="155">
        <f t="array" ref="AI192">MATCH(MIN(IF($AK$501:$AK$525&gt;=IF(G192&gt;1499,E192+7,E192+5), $AK$501:$AK$525)), $AK$501:$AK$525, 0)</f>
        <v>5</v>
      </c>
      <c r="AK192" s="233"/>
      <c r="AL192" s="233"/>
      <c r="AM192" s="155" t="str">
        <f t="shared" si="115"/>
        <v/>
      </c>
      <c r="AN192" s="155" t="str">
        <f t="shared" si="116"/>
        <v/>
      </c>
      <c r="AX192" s="155" t="str">
        <f t="shared" si="117"/>
        <v/>
      </c>
    </row>
    <row r="193" spans="1:50" s="155" customFormat="1" ht="30" hidden="1" customHeight="1">
      <c r="A193" s="141" t="str">
        <f t="shared" si="103"/>
        <v/>
      </c>
      <c r="B193" s="141" t="str">
        <f t="shared" si="104"/>
        <v/>
      </c>
      <c r="C193" s="157" t="str">
        <f>IF(D193="","",
    IF(ISERR(SEARCH("_",D193)),
        IFERROR(_xlfn.AGGREGATE(14,6,$C$12:C192,1),0)+1,
        IFERROR(
            VALUE(TRIM(MID(SUBSTITUTE(D193,"_",REPT(" ",LEN(D193))), (LEN(D193)-LEN(SUBSTITUTE(D193,"_",""))-1)*LEN(D193)+1, LEN(D193))))
            &amp; "." &amp;
            VALUE(TRIM(RIGHT(SUBSTITUTE(D193,"_",REPT(" ",LEN(D193))),LEN(D193)))),
            "")))</f>
        <v/>
      </c>
      <c r="D193" s="158"/>
      <c r="E193" s="159"/>
      <c r="F193" s="159"/>
      <c r="G193" s="159"/>
      <c r="H193" s="159"/>
      <c r="I193" s="158"/>
      <c r="J193" s="158"/>
      <c r="K193" s="159"/>
      <c r="L193" s="160"/>
      <c r="M193" s="159"/>
      <c r="N193" s="159"/>
      <c r="O193" s="161"/>
      <c r="P193" s="162" t="str">
        <f t="shared" si="105"/>
        <v/>
      </c>
      <c r="Q193" s="163" t="str">
        <f t="shared" si="106"/>
        <v/>
      </c>
      <c r="R193" s="164">
        <f t="shared" si="107"/>
        <v>0</v>
      </c>
      <c r="S193" s="165">
        <f t="shared" si="87"/>
        <v>0</v>
      </c>
      <c r="T193" s="165">
        <f t="shared" si="108"/>
        <v>0</v>
      </c>
      <c r="U193" s="166">
        <f t="shared" si="109"/>
        <v>0</v>
      </c>
      <c r="V193" s="153" t="str">
        <f t="shared" si="110"/>
        <v/>
      </c>
      <c r="W193" s="153" t="str">
        <f t="shared" si="111"/>
        <v/>
      </c>
      <c r="X193" s="244"/>
      <c r="Y193" s="154">
        <f t="shared" si="88"/>
        <v>0</v>
      </c>
      <c r="Z193" s="154" t="str">
        <f t="shared" si="112"/>
        <v>1000</v>
      </c>
      <c r="AA193" s="153" t="str">
        <f t="shared" si="113"/>
        <v/>
      </c>
      <c r="AD193" s="155" t="str">
        <f t="shared" si="114"/>
        <v/>
      </c>
      <c r="AI193" s="155">
        <f t="array" ref="AI193">MATCH(MIN(IF($AK$501:$AK$525&gt;=IF(G193&gt;1499,E193+7,E193+5), $AK$501:$AK$525)), $AK$501:$AK$525, 0)</f>
        <v>5</v>
      </c>
      <c r="AK193" s="233"/>
      <c r="AL193" s="233"/>
      <c r="AM193" s="155" t="str">
        <f t="shared" si="115"/>
        <v/>
      </c>
      <c r="AN193" s="155" t="str">
        <f t="shared" si="116"/>
        <v/>
      </c>
      <c r="AX193" s="155" t="str">
        <f t="shared" si="117"/>
        <v/>
      </c>
    </row>
    <row r="194" spans="1:50" s="155" customFormat="1" ht="30" hidden="1" customHeight="1">
      <c r="A194" s="141" t="str">
        <f t="shared" si="103"/>
        <v/>
      </c>
      <c r="B194" s="141" t="str">
        <f t="shared" si="104"/>
        <v/>
      </c>
      <c r="C194" s="157" t="str">
        <f>IF(D194="","",
    IF(ISERR(SEARCH("_",D194)),
        IFERROR(_xlfn.AGGREGATE(14,6,$C$12:C193,1),0)+1,
        IFERROR(
            VALUE(TRIM(MID(SUBSTITUTE(D194,"_",REPT(" ",LEN(D194))), (LEN(D194)-LEN(SUBSTITUTE(D194,"_",""))-1)*LEN(D194)+1, LEN(D194))))
            &amp; "." &amp;
            VALUE(TRIM(RIGHT(SUBSTITUTE(D194,"_",REPT(" ",LEN(D194))),LEN(D194)))),
            "")))</f>
        <v/>
      </c>
      <c r="D194" s="158"/>
      <c r="E194" s="159"/>
      <c r="F194" s="159"/>
      <c r="G194" s="159"/>
      <c r="H194" s="159"/>
      <c r="I194" s="158"/>
      <c r="J194" s="158"/>
      <c r="K194" s="159"/>
      <c r="L194" s="160"/>
      <c r="M194" s="159"/>
      <c r="N194" s="159"/>
      <c r="O194" s="161"/>
      <c r="P194" s="162" t="str">
        <f t="shared" si="105"/>
        <v/>
      </c>
      <c r="Q194" s="163" t="str">
        <f t="shared" si="106"/>
        <v/>
      </c>
      <c r="R194" s="164">
        <f t="shared" si="107"/>
        <v>0</v>
      </c>
      <c r="S194" s="165">
        <f t="shared" si="87"/>
        <v>0</v>
      </c>
      <c r="T194" s="165">
        <f t="shared" si="108"/>
        <v>0</v>
      </c>
      <c r="U194" s="166">
        <f t="shared" si="109"/>
        <v>0</v>
      </c>
      <c r="V194" s="153" t="str">
        <f t="shared" si="110"/>
        <v/>
      </c>
      <c r="W194" s="153" t="str">
        <f t="shared" si="111"/>
        <v/>
      </c>
      <c r="X194" s="244"/>
      <c r="Y194" s="154">
        <f t="shared" si="88"/>
        <v>0</v>
      </c>
      <c r="Z194" s="154" t="str">
        <f t="shared" si="112"/>
        <v>1000</v>
      </c>
      <c r="AA194" s="153" t="str">
        <f t="shared" si="113"/>
        <v/>
      </c>
      <c r="AD194" s="155" t="str">
        <f t="shared" si="114"/>
        <v/>
      </c>
      <c r="AI194" s="155">
        <f t="array" ref="AI194">MATCH(MIN(IF($AK$501:$AK$525&gt;=IF(G194&gt;1499,E194+7,E194+5), $AK$501:$AK$525)), $AK$501:$AK$525, 0)</f>
        <v>5</v>
      </c>
      <c r="AK194" s="233"/>
      <c r="AL194" s="233"/>
      <c r="AM194" s="155" t="str">
        <f t="shared" si="115"/>
        <v/>
      </c>
      <c r="AN194" s="155" t="str">
        <f t="shared" si="116"/>
        <v/>
      </c>
      <c r="AX194" s="155" t="str">
        <f t="shared" si="117"/>
        <v/>
      </c>
    </row>
    <row r="195" spans="1:50" s="155" customFormat="1" ht="30" hidden="1" customHeight="1">
      <c r="A195" s="141" t="str">
        <f t="shared" si="103"/>
        <v/>
      </c>
      <c r="B195" s="141" t="str">
        <f t="shared" si="104"/>
        <v/>
      </c>
      <c r="C195" s="157" t="str">
        <f>IF(D195="","",
    IF(ISERR(SEARCH("_",D195)),
        IFERROR(_xlfn.AGGREGATE(14,6,$C$12:C194,1),0)+1,
        IFERROR(
            VALUE(TRIM(MID(SUBSTITUTE(D195,"_",REPT(" ",LEN(D195))), (LEN(D195)-LEN(SUBSTITUTE(D195,"_",""))-1)*LEN(D195)+1, LEN(D195))))
            &amp; "." &amp;
            VALUE(TRIM(RIGHT(SUBSTITUTE(D195,"_",REPT(" ",LEN(D195))),LEN(D195)))),
            "")))</f>
        <v/>
      </c>
      <c r="D195" s="158"/>
      <c r="E195" s="159"/>
      <c r="F195" s="159"/>
      <c r="G195" s="159"/>
      <c r="H195" s="159"/>
      <c r="I195" s="158"/>
      <c r="J195" s="158"/>
      <c r="K195" s="159"/>
      <c r="L195" s="160"/>
      <c r="M195" s="159"/>
      <c r="N195" s="159"/>
      <c r="O195" s="161"/>
      <c r="P195" s="162" t="str">
        <f t="shared" si="105"/>
        <v/>
      </c>
      <c r="Q195" s="163" t="str">
        <f t="shared" si="106"/>
        <v/>
      </c>
      <c r="R195" s="164">
        <f t="shared" si="107"/>
        <v>0</v>
      </c>
      <c r="S195" s="165">
        <f t="shared" si="87"/>
        <v>0</v>
      </c>
      <c r="T195" s="165">
        <f t="shared" si="108"/>
        <v>0</v>
      </c>
      <c r="U195" s="166">
        <f t="shared" si="109"/>
        <v>0</v>
      </c>
      <c r="V195" s="153" t="str">
        <f t="shared" si="110"/>
        <v/>
      </c>
      <c r="W195" s="153" t="str">
        <f t="shared" si="111"/>
        <v/>
      </c>
      <c r="X195" s="244"/>
      <c r="Y195" s="154">
        <f t="shared" si="88"/>
        <v>0</v>
      </c>
      <c r="Z195" s="154" t="str">
        <f t="shared" si="112"/>
        <v>1000</v>
      </c>
      <c r="AA195" s="153" t="str">
        <f t="shared" si="113"/>
        <v/>
      </c>
      <c r="AD195" s="155" t="str">
        <f t="shared" si="114"/>
        <v/>
      </c>
      <c r="AI195" s="155">
        <f t="array" ref="AI195">MATCH(MIN(IF($AK$501:$AK$525&gt;=IF(G195&gt;1499,E195+7,E195+5), $AK$501:$AK$525)), $AK$501:$AK$525, 0)</f>
        <v>5</v>
      </c>
      <c r="AK195" s="233"/>
      <c r="AL195" s="233"/>
      <c r="AM195" s="155" t="str">
        <f t="shared" si="115"/>
        <v/>
      </c>
      <c r="AN195" s="155" t="str">
        <f t="shared" si="116"/>
        <v/>
      </c>
      <c r="AX195" s="155" t="str">
        <f t="shared" si="117"/>
        <v/>
      </c>
    </row>
    <row r="196" spans="1:50" s="155" customFormat="1" ht="30" hidden="1" customHeight="1">
      <c r="A196" s="141" t="str">
        <f t="shared" si="103"/>
        <v/>
      </c>
      <c r="B196" s="141" t="str">
        <f t="shared" si="104"/>
        <v/>
      </c>
      <c r="C196" s="157" t="str">
        <f>IF(D196="","",
    IF(ISERR(SEARCH("_",D196)),
        IFERROR(_xlfn.AGGREGATE(14,6,$C$12:C195,1),0)+1,
        IFERROR(
            VALUE(TRIM(MID(SUBSTITUTE(D196,"_",REPT(" ",LEN(D196))), (LEN(D196)-LEN(SUBSTITUTE(D196,"_",""))-1)*LEN(D196)+1, LEN(D196))))
            &amp; "." &amp;
            VALUE(TRIM(RIGHT(SUBSTITUTE(D196,"_",REPT(" ",LEN(D196))),LEN(D196)))),
            "")))</f>
        <v/>
      </c>
      <c r="D196" s="158"/>
      <c r="E196" s="159"/>
      <c r="F196" s="159"/>
      <c r="G196" s="159"/>
      <c r="H196" s="159"/>
      <c r="I196" s="158"/>
      <c r="J196" s="158"/>
      <c r="K196" s="159"/>
      <c r="L196" s="160"/>
      <c r="M196" s="159"/>
      <c r="N196" s="159"/>
      <c r="O196" s="161"/>
      <c r="P196" s="162" t="str">
        <f t="shared" si="105"/>
        <v/>
      </c>
      <c r="Q196" s="163" t="str">
        <f t="shared" si="106"/>
        <v/>
      </c>
      <c r="R196" s="164">
        <f t="shared" si="107"/>
        <v>0</v>
      </c>
      <c r="S196" s="165">
        <f t="shared" si="87"/>
        <v>0</v>
      </c>
      <c r="T196" s="165">
        <f t="shared" si="108"/>
        <v>0</v>
      </c>
      <c r="U196" s="166">
        <f t="shared" si="109"/>
        <v>0</v>
      </c>
      <c r="V196" s="153" t="str">
        <f t="shared" si="110"/>
        <v/>
      </c>
      <c r="W196" s="153" t="str">
        <f t="shared" si="111"/>
        <v/>
      </c>
      <c r="X196" s="244"/>
      <c r="Y196" s="154">
        <f t="shared" si="88"/>
        <v>0</v>
      </c>
      <c r="Z196" s="154" t="str">
        <f t="shared" si="112"/>
        <v>1000</v>
      </c>
      <c r="AA196" s="153" t="str">
        <f t="shared" si="113"/>
        <v/>
      </c>
      <c r="AD196" s="155" t="str">
        <f t="shared" si="114"/>
        <v/>
      </c>
      <c r="AI196" s="155">
        <f t="array" ref="AI196">MATCH(MIN(IF($AK$501:$AK$525&gt;=IF(G196&gt;1499,E196+7,E196+5), $AK$501:$AK$525)), $AK$501:$AK$525, 0)</f>
        <v>5</v>
      </c>
      <c r="AK196" s="233"/>
      <c r="AL196" s="233"/>
      <c r="AM196" s="155" t="str">
        <f t="shared" si="115"/>
        <v/>
      </c>
      <c r="AN196" s="155" t="str">
        <f t="shared" si="116"/>
        <v/>
      </c>
      <c r="AX196" s="155" t="str">
        <f t="shared" si="117"/>
        <v/>
      </c>
    </row>
    <row r="197" spans="1:50" s="155" customFormat="1" ht="30" hidden="1" customHeight="1">
      <c r="A197" s="141" t="str">
        <f t="shared" si="103"/>
        <v/>
      </c>
      <c r="B197" s="141" t="str">
        <f t="shared" si="104"/>
        <v/>
      </c>
      <c r="C197" s="157" t="str">
        <f>IF(D197="","",
    IF(ISERR(SEARCH("_",D197)),
        IFERROR(_xlfn.AGGREGATE(14,6,$C$12:C196,1),0)+1,
        IFERROR(
            VALUE(TRIM(MID(SUBSTITUTE(D197,"_",REPT(" ",LEN(D197))), (LEN(D197)-LEN(SUBSTITUTE(D197,"_",""))-1)*LEN(D197)+1, LEN(D197))))
            &amp; "." &amp;
            VALUE(TRIM(RIGHT(SUBSTITUTE(D197,"_",REPT(" ",LEN(D197))),LEN(D197)))),
            "")))</f>
        <v/>
      </c>
      <c r="D197" s="158"/>
      <c r="E197" s="159"/>
      <c r="F197" s="159"/>
      <c r="G197" s="159"/>
      <c r="H197" s="159"/>
      <c r="I197" s="158"/>
      <c r="J197" s="158"/>
      <c r="K197" s="159"/>
      <c r="L197" s="160"/>
      <c r="M197" s="159"/>
      <c r="N197" s="159"/>
      <c r="O197" s="161"/>
      <c r="P197" s="162" t="str">
        <f t="shared" si="105"/>
        <v/>
      </c>
      <c r="Q197" s="163" t="str">
        <f t="shared" si="106"/>
        <v/>
      </c>
      <c r="R197" s="164">
        <f t="shared" si="107"/>
        <v>0</v>
      </c>
      <c r="S197" s="165">
        <f t="shared" si="87"/>
        <v>0</v>
      </c>
      <c r="T197" s="165">
        <f t="shared" si="108"/>
        <v>0</v>
      </c>
      <c r="U197" s="166">
        <f t="shared" si="109"/>
        <v>0</v>
      </c>
      <c r="V197" s="153" t="str">
        <f t="shared" si="110"/>
        <v/>
      </c>
      <c r="W197" s="153" t="str">
        <f t="shared" si="111"/>
        <v/>
      </c>
      <c r="X197" s="244"/>
      <c r="Y197" s="154">
        <f t="shared" si="88"/>
        <v>0</v>
      </c>
      <c r="Z197" s="154" t="str">
        <f t="shared" si="112"/>
        <v>1000</v>
      </c>
      <c r="AA197" s="153" t="str">
        <f t="shared" si="113"/>
        <v/>
      </c>
      <c r="AD197" s="155" t="str">
        <f t="shared" si="114"/>
        <v/>
      </c>
      <c r="AI197" s="155">
        <f t="array" ref="AI197">MATCH(MIN(IF($AK$501:$AK$525&gt;=IF(G197&gt;1499,E197+7,E197+5), $AK$501:$AK$525)), $AK$501:$AK$525, 0)</f>
        <v>5</v>
      </c>
      <c r="AK197" s="233"/>
      <c r="AL197" s="233"/>
      <c r="AM197" s="155" t="str">
        <f t="shared" si="115"/>
        <v/>
      </c>
      <c r="AN197" s="155" t="str">
        <f t="shared" si="116"/>
        <v/>
      </c>
      <c r="AX197" s="155" t="str">
        <f t="shared" si="117"/>
        <v/>
      </c>
    </row>
    <row r="198" spans="1:50" s="155" customFormat="1" ht="30" hidden="1" customHeight="1">
      <c r="A198" s="141" t="str">
        <f t="shared" si="103"/>
        <v/>
      </c>
      <c r="B198" s="141" t="str">
        <f t="shared" si="104"/>
        <v/>
      </c>
      <c r="C198" s="157" t="str">
        <f>IF(D198="","",
    IF(ISERR(SEARCH("_",D198)),
        IFERROR(_xlfn.AGGREGATE(14,6,$C$12:C197,1),0)+1,
        IFERROR(
            VALUE(TRIM(MID(SUBSTITUTE(D198,"_",REPT(" ",LEN(D198))), (LEN(D198)-LEN(SUBSTITUTE(D198,"_",""))-1)*LEN(D198)+1, LEN(D198))))
            &amp; "." &amp;
            VALUE(TRIM(RIGHT(SUBSTITUTE(D198,"_",REPT(" ",LEN(D198))),LEN(D198)))),
            "")))</f>
        <v/>
      </c>
      <c r="D198" s="158"/>
      <c r="E198" s="159"/>
      <c r="F198" s="159"/>
      <c r="G198" s="159"/>
      <c r="H198" s="159"/>
      <c r="I198" s="158"/>
      <c r="J198" s="158"/>
      <c r="K198" s="159"/>
      <c r="L198" s="160"/>
      <c r="M198" s="159"/>
      <c r="N198" s="159"/>
      <c r="O198" s="161"/>
      <c r="P198" s="162" t="str">
        <f t="shared" si="105"/>
        <v/>
      </c>
      <c r="Q198" s="163" t="str">
        <f t="shared" si="106"/>
        <v/>
      </c>
      <c r="R198" s="164">
        <f t="shared" si="107"/>
        <v>0</v>
      </c>
      <c r="S198" s="165">
        <f t="shared" si="87"/>
        <v>0</v>
      </c>
      <c r="T198" s="165">
        <f t="shared" si="108"/>
        <v>0</v>
      </c>
      <c r="U198" s="166">
        <f t="shared" si="109"/>
        <v>0</v>
      </c>
      <c r="V198" s="153" t="str">
        <f t="shared" si="110"/>
        <v/>
      </c>
      <c r="W198" s="153" t="str">
        <f t="shared" si="111"/>
        <v/>
      </c>
      <c r="X198" s="244"/>
      <c r="Y198" s="154">
        <f t="shared" si="88"/>
        <v>0</v>
      </c>
      <c r="Z198" s="154" t="str">
        <f t="shared" si="112"/>
        <v>1000</v>
      </c>
      <c r="AA198" s="153" t="str">
        <f t="shared" si="113"/>
        <v/>
      </c>
      <c r="AD198" s="155" t="str">
        <f t="shared" si="114"/>
        <v/>
      </c>
      <c r="AI198" s="155">
        <f t="array" ref="AI198">MATCH(MIN(IF($AK$501:$AK$525&gt;=IF(G198&gt;1499,E198+7,E198+5), $AK$501:$AK$525)), $AK$501:$AK$525, 0)</f>
        <v>5</v>
      </c>
      <c r="AK198" s="233"/>
      <c r="AL198" s="233"/>
      <c r="AM198" s="155" t="str">
        <f t="shared" si="115"/>
        <v/>
      </c>
      <c r="AN198" s="155" t="str">
        <f t="shared" si="116"/>
        <v/>
      </c>
      <c r="AX198" s="155" t="str">
        <f t="shared" si="117"/>
        <v/>
      </c>
    </row>
    <row r="199" spans="1:50" s="155" customFormat="1" ht="30" hidden="1" customHeight="1">
      <c r="A199" s="141" t="str">
        <f t="shared" si="103"/>
        <v/>
      </c>
      <c r="B199" s="141" t="str">
        <f t="shared" si="104"/>
        <v/>
      </c>
      <c r="C199" s="157" t="str">
        <f>IF(D199="","",
    IF(ISERR(SEARCH("_",D199)),
        IFERROR(_xlfn.AGGREGATE(14,6,$C$12:C198,1),0)+1,
        IFERROR(
            VALUE(TRIM(MID(SUBSTITUTE(D199,"_",REPT(" ",LEN(D199))), (LEN(D199)-LEN(SUBSTITUTE(D199,"_",""))-1)*LEN(D199)+1, LEN(D199))))
            &amp; "." &amp;
            VALUE(TRIM(RIGHT(SUBSTITUTE(D199,"_",REPT(" ",LEN(D199))),LEN(D199)))),
            "")))</f>
        <v/>
      </c>
      <c r="D199" s="158"/>
      <c r="E199" s="159"/>
      <c r="F199" s="159"/>
      <c r="G199" s="159"/>
      <c r="H199" s="159"/>
      <c r="I199" s="158"/>
      <c r="J199" s="158"/>
      <c r="K199" s="159"/>
      <c r="L199" s="160"/>
      <c r="M199" s="159"/>
      <c r="N199" s="159"/>
      <c r="O199" s="161"/>
      <c r="P199" s="162" t="str">
        <f t="shared" si="105"/>
        <v/>
      </c>
      <c r="Q199" s="163" t="str">
        <f t="shared" si="106"/>
        <v/>
      </c>
      <c r="R199" s="164">
        <f t="shared" si="107"/>
        <v>0</v>
      </c>
      <c r="S199" s="165">
        <f t="shared" si="87"/>
        <v>0</v>
      </c>
      <c r="T199" s="165">
        <f t="shared" si="108"/>
        <v>0</v>
      </c>
      <c r="U199" s="166">
        <f t="shared" si="109"/>
        <v>0</v>
      </c>
      <c r="V199" s="153" t="str">
        <f t="shared" si="110"/>
        <v/>
      </c>
      <c r="W199" s="153" t="str">
        <f t="shared" si="111"/>
        <v/>
      </c>
      <c r="X199" s="244"/>
      <c r="Y199" s="154">
        <f t="shared" si="88"/>
        <v>0</v>
      </c>
      <c r="Z199" s="154" t="str">
        <f t="shared" si="112"/>
        <v>1000</v>
      </c>
      <c r="AA199" s="153" t="str">
        <f t="shared" si="113"/>
        <v/>
      </c>
      <c r="AD199" s="155" t="str">
        <f t="shared" si="114"/>
        <v/>
      </c>
      <c r="AI199" s="155">
        <f t="array" ref="AI199">MATCH(MIN(IF($AK$501:$AK$525&gt;=IF(G199&gt;1499,E199+7,E199+5), $AK$501:$AK$525)), $AK$501:$AK$525, 0)</f>
        <v>5</v>
      </c>
      <c r="AK199" s="233"/>
      <c r="AL199" s="233"/>
      <c r="AM199" s="155" t="str">
        <f t="shared" si="115"/>
        <v/>
      </c>
      <c r="AN199" s="155" t="str">
        <f t="shared" si="116"/>
        <v/>
      </c>
      <c r="AX199" s="155" t="str">
        <f t="shared" si="117"/>
        <v/>
      </c>
    </row>
    <row r="200" spans="1:50" s="155" customFormat="1" ht="30" hidden="1" customHeight="1">
      <c r="A200" s="141" t="str">
        <f t="shared" si="103"/>
        <v/>
      </c>
      <c r="B200" s="141" t="str">
        <f t="shared" si="104"/>
        <v/>
      </c>
      <c r="C200" s="157" t="str">
        <f>IF(D200="","",
    IF(ISERR(SEARCH("_",D200)),
        IFERROR(_xlfn.AGGREGATE(14,6,$C$12:C199,1),0)+1,
        IFERROR(
            VALUE(TRIM(MID(SUBSTITUTE(D200,"_",REPT(" ",LEN(D200))), (LEN(D200)-LEN(SUBSTITUTE(D200,"_",""))-1)*LEN(D200)+1, LEN(D200))))
            &amp; "." &amp;
            VALUE(TRIM(RIGHT(SUBSTITUTE(D200,"_",REPT(" ",LEN(D200))),LEN(D200)))),
            "")))</f>
        <v/>
      </c>
      <c r="D200" s="158"/>
      <c r="E200" s="159"/>
      <c r="F200" s="159"/>
      <c r="G200" s="159"/>
      <c r="H200" s="159"/>
      <c r="I200" s="158"/>
      <c r="J200" s="158"/>
      <c r="K200" s="159"/>
      <c r="L200" s="160"/>
      <c r="M200" s="159"/>
      <c r="N200" s="159"/>
      <c r="O200" s="161"/>
      <c r="P200" s="162" t="str">
        <f t="shared" si="105"/>
        <v/>
      </c>
      <c r="Q200" s="163" t="str">
        <f t="shared" si="106"/>
        <v/>
      </c>
      <c r="R200" s="164">
        <f t="shared" si="107"/>
        <v>0</v>
      </c>
      <c r="S200" s="165">
        <f t="shared" si="87"/>
        <v>0</v>
      </c>
      <c r="T200" s="165">
        <f t="shared" si="108"/>
        <v>0</v>
      </c>
      <c r="U200" s="166">
        <f t="shared" si="109"/>
        <v>0</v>
      </c>
      <c r="V200" s="153" t="str">
        <f t="shared" si="110"/>
        <v/>
      </c>
      <c r="W200" s="153" t="str">
        <f t="shared" si="111"/>
        <v/>
      </c>
      <c r="X200" s="244"/>
      <c r="Y200" s="154">
        <f t="shared" si="88"/>
        <v>0</v>
      </c>
      <c r="Z200" s="154" t="str">
        <f t="shared" si="112"/>
        <v>1000</v>
      </c>
      <c r="AA200" s="153" t="str">
        <f t="shared" si="113"/>
        <v/>
      </c>
      <c r="AD200" s="155" t="str">
        <f t="shared" si="114"/>
        <v/>
      </c>
      <c r="AI200" s="155">
        <f t="array" ref="AI200">MATCH(MIN(IF($AK$501:$AK$525&gt;=IF(G200&gt;1499,E200+7,E200+5), $AK$501:$AK$525)), $AK$501:$AK$525, 0)</f>
        <v>5</v>
      </c>
      <c r="AK200" s="233"/>
      <c r="AL200" s="233"/>
      <c r="AM200" s="155" t="str">
        <f t="shared" si="115"/>
        <v/>
      </c>
      <c r="AN200" s="155" t="str">
        <f t="shared" si="116"/>
        <v/>
      </c>
      <c r="AX200" s="155" t="str">
        <f t="shared" si="117"/>
        <v/>
      </c>
    </row>
    <row r="201" spans="1:50" s="155" customFormat="1" ht="30" hidden="1" customHeight="1">
      <c r="A201" s="141" t="str">
        <f t="shared" si="103"/>
        <v/>
      </c>
      <c r="B201" s="141" t="str">
        <f t="shared" si="104"/>
        <v/>
      </c>
      <c r="C201" s="157" t="str">
        <f>IF(D201="","",
    IF(ISERR(SEARCH("_",D201)),
        IFERROR(_xlfn.AGGREGATE(14,6,$C$12:C200,1),0)+1,
        IFERROR(
            VALUE(TRIM(MID(SUBSTITUTE(D201,"_",REPT(" ",LEN(D201))), (LEN(D201)-LEN(SUBSTITUTE(D201,"_",""))-1)*LEN(D201)+1, LEN(D201))))
            &amp; "." &amp;
            VALUE(TRIM(RIGHT(SUBSTITUTE(D201,"_",REPT(" ",LEN(D201))),LEN(D201)))),
            "")))</f>
        <v/>
      </c>
      <c r="D201" s="158"/>
      <c r="E201" s="159"/>
      <c r="F201" s="159"/>
      <c r="G201" s="159"/>
      <c r="H201" s="159"/>
      <c r="I201" s="158"/>
      <c r="J201" s="158"/>
      <c r="K201" s="159"/>
      <c r="L201" s="160"/>
      <c r="M201" s="159"/>
      <c r="N201" s="159"/>
      <c r="O201" s="161"/>
      <c r="P201" s="162" t="str">
        <f t="shared" si="105"/>
        <v/>
      </c>
      <c r="Q201" s="163" t="str">
        <f t="shared" si="106"/>
        <v/>
      </c>
      <c r="R201" s="164">
        <f t="shared" si="107"/>
        <v>0</v>
      </c>
      <c r="S201" s="165">
        <f t="shared" si="87"/>
        <v>0</v>
      </c>
      <c r="T201" s="165">
        <f t="shared" si="108"/>
        <v>0</v>
      </c>
      <c r="U201" s="166">
        <f t="shared" si="109"/>
        <v>0</v>
      </c>
      <c r="V201" s="153" t="str">
        <f t="shared" si="110"/>
        <v/>
      </c>
      <c r="W201" s="153" t="str">
        <f t="shared" si="111"/>
        <v/>
      </c>
      <c r="X201" s="244"/>
      <c r="Y201" s="154">
        <f t="shared" si="88"/>
        <v>0</v>
      </c>
      <c r="Z201" s="154" t="str">
        <f t="shared" si="112"/>
        <v>1000</v>
      </c>
      <c r="AA201" s="153" t="str">
        <f t="shared" si="113"/>
        <v/>
      </c>
      <c r="AD201" s="155" t="str">
        <f t="shared" si="114"/>
        <v/>
      </c>
      <c r="AI201" s="155">
        <f t="array" ref="AI201">MATCH(MIN(IF($AK$501:$AK$525&gt;=IF(G201&gt;1499,E201+7,E201+5), $AK$501:$AK$525)), $AK$501:$AK$525, 0)</f>
        <v>5</v>
      </c>
      <c r="AK201" s="233"/>
      <c r="AL201" s="233"/>
      <c r="AM201" s="155" t="str">
        <f t="shared" si="115"/>
        <v/>
      </c>
      <c r="AN201" s="155" t="str">
        <f t="shared" si="116"/>
        <v/>
      </c>
      <c r="AX201" s="155" t="str">
        <f t="shared" si="117"/>
        <v/>
      </c>
    </row>
    <row r="202" spans="1:50" s="155" customFormat="1" ht="30" hidden="1" customHeight="1">
      <c r="A202" s="141" t="str">
        <f t="shared" si="103"/>
        <v/>
      </c>
      <c r="B202" s="141" t="str">
        <f t="shared" si="104"/>
        <v/>
      </c>
      <c r="C202" s="157" t="str">
        <f>IF(D202="","",
    IF(ISERR(SEARCH("_",D202)),
        IFERROR(_xlfn.AGGREGATE(14,6,$C$12:C201,1),0)+1,
        IFERROR(
            VALUE(TRIM(MID(SUBSTITUTE(D202,"_",REPT(" ",LEN(D202))), (LEN(D202)-LEN(SUBSTITUTE(D202,"_",""))-1)*LEN(D202)+1, LEN(D202))))
            &amp; "." &amp;
            VALUE(TRIM(RIGHT(SUBSTITUTE(D202,"_",REPT(" ",LEN(D202))),LEN(D202)))),
            "")))</f>
        <v/>
      </c>
      <c r="D202" s="158"/>
      <c r="E202" s="159"/>
      <c r="F202" s="159"/>
      <c r="G202" s="159"/>
      <c r="H202" s="159"/>
      <c r="I202" s="158"/>
      <c r="J202" s="158"/>
      <c r="K202" s="159"/>
      <c r="L202" s="160"/>
      <c r="M202" s="159"/>
      <c r="N202" s="159"/>
      <c r="O202" s="161"/>
      <c r="P202" s="162" t="str">
        <f t="shared" si="105"/>
        <v/>
      </c>
      <c r="Q202" s="163" t="str">
        <f t="shared" si="106"/>
        <v/>
      </c>
      <c r="R202" s="164">
        <f t="shared" si="107"/>
        <v>0</v>
      </c>
      <c r="S202" s="165">
        <f t="shared" si="87"/>
        <v>0</v>
      </c>
      <c r="T202" s="165">
        <f t="shared" si="108"/>
        <v>0</v>
      </c>
      <c r="U202" s="166">
        <f t="shared" si="109"/>
        <v>0</v>
      </c>
      <c r="V202" s="153" t="str">
        <f t="shared" si="110"/>
        <v/>
      </c>
      <c r="W202" s="153" t="str">
        <f t="shared" si="111"/>
        <v/>
      </c>
      <c r="X202" s="244"/>
      <c r="Y202" s="154">
        <f t="shared" si="88"/>
        <v>0</v>
      </c>
      <c r="Z202" s="154" t="str">
        <f t="shared" si="112"/>
        <v>1000</v>
      </c>
      <c r="AA202" s="153" t="str">
        <f t="shared" si="113"/>
        <v/>
      </c>
      <c r="AD202" s="155" t="str">
        <f t="shared" si="114"/>
        <v/>
      </c>
      <c r="AI202" s="155">
        <f t="array" ref="AI202">MATCH(MIN(IF($AK$501:$AK$525&gt;=IF(G202&gt;1499,E202+7,E202+5), $AK$501:$AK$525)), $AK$501:$AK$525, 0)</f>
        <v>5</v>
      </c>
      <c r="AK202" s="233"/>
      <c r="AL202" s="233"/>
      <c r="AM202" s="155" t="str">
        <f t="shared" si="115"/>
        <v/>
      </c>
      <c r="AN202" s="155" t="str">
        <f t="shared" si="116"/>
        <v/>
      </c>
      <c r="AX202" s="155" t="str">
        <f t="shared" si="117"/>
        <v/>
      </c>
    </row>
    <row r="203" spans="1:50" s="155" customFormat="1" ht="30" hidden="1" customHeight="1">
      <c r="A203" s="141" t="str">
        <f t="shared" si="103"/>
        <v/>
      </c>
      <c r="B203" s="141" t="str">
        <f t="shared" si="104"/>
        <v/>
      </c>
      <c r="C203" s="157" t="str">
        <f>IF(D203="","",
    IF(ISERR(SEARCH("_",D203)),
        IFERROR(_xlfn.AGGREGATE(14,6,$C$12:C202,1),0)+1,
        IFERROR(
            VALUE(TRIM(MID(SUBSTITUTE(D203,"_",REPT(" ",LEN(D203))), (LEN(D203)-LEN(SUBSTITUTE(D203,"_",""))-1)*LEN(D203)+1, LEN(D203))))
            &amp; "." &amp;
            VALUE(TRIM(RIGHT(SUBSTITUTE(D203,"_",REPT(" ",LEN(D203))),LEN(D203)))),
            "")))</f>
        <v/>
      </c>
      <c r="D203" s="158"/>
      <c r="E203" s="159"/>
      <c r="F203" s="159"/>
      <c r="G203" s="159"/>
      <c r="H203" s="159"/>
      <c r="I203" s="158"/>
      <c r="J203" s="158"/>
      <c r="K203" s="159"/>
      <c r="L203" s="160"/>
      <c r="M203" s="159"/>
      <c r="N203" s="159"/>
      <c r="O203" s="161"/>
      <c r="P203" s="162" t="str">
        <f t="shared" si="105"/>
        <v/>
      </c>
      <c r="Q203" s="163" t="str">
        <f t="shared" si="106"/>
        <v/>
      </c>
      <c r="R203" s="164">
        <f t="shared" si="107"/>
        <v>0</v>
      </c>
      <c r="S203" s="165">
        <f t="shared" si="87"/>
        <v>0</v>
      </c>
      <c r="T203" s="165">
        <f t="shared" si="108"/>
        <v>0</v>
      </c>
      <c r="U203" s="166">
        <f t="shared" si="109"/>
        <v>0</v>
      </c>
      <c r="V203" s="153" t="str">
        <f t="shared" si="110"/>
        <v/>
      </c>
      <c r="W203" s="153" t="str">
        <f t="shared" si="111"/>
        <v/>
      </c>
      <c r="X203" s="244"/>
      <c r="Y203" s="154">
        <f t="shared" si="88"/>
        <v>0</v>
      </c>
      <c r="Z203" s="154" t="str">
        <f t="shared" si="112"/>
        <v>1000</v>
      </c>
      <c r="AA203" s="153" t="str">
        <f t="shared" si="113"/>
        <v/>
      </c>
      <c r="AD203" s="155" t="str">
        <f t="shared" si="114"/>
        <v/>
      </c>
      <c r="AI203" s="155">
        <f t="array" ref="AI203">MATCH(MIN(IF($AK$501:$AK$525&gt;=IF(G203&gt;1499,E203+7,E203+5), $AK$501:$AK$525)), $AK$501:$AK$525, 0)</f>
        <v>5</v>
      </c>
      <c r="AK203" s="233"/>
      <c r="AL203" s="233"/>
      <c r="AM203" s="155" t="str">
        <f t="shared" si="115"/>
        <v/>
      </c>
      <c r="AN203" s="155" t="str">
        <f t="shared" si="116"/>
        <v/>
      </c>
      <c r="AX203" s="155" t="str">
        <f t="shared" si="117"/>
        <v/>
      </c>
    </row>
    <row r="204" spans="1:50" s="155" customFormat="1" ht="30" hidden="1" customHeight="1">
      <c r="A204" s="141" t="str">
        <f t="shared" si="103"/>
        <v/>
      </c>
      <c r="B204" s="141" t="str">
        <f t="shared" si="104"/>
        <v/>
      </c>
      <c r="C204" s="157" t="str">
        <f>IF(D204="","",
    IF(ISERR(SEARCH("_",D204)),
        IFERROR(_xlfn.AGGREGATE(14,6,$C$12:C203,1),0)+1,
        IFERROR(
            VALUE(TRIM(MID(SUBSTITUTE(D204,"_",REPT(" ",LEN(D204))), (LEN(D204)-LEN(SUBSTITUTE(D204,"_",""))-1)*LEN(D204)+1, LEN(D204))))
            &amp; "." &amp;
            VALUE(TRIM(RIGHT(SUBSTITUTE(D204,"_",REPT(" ",LEN(D204))),LEN(D204)))),
            "")))</f>
        <v/>
      </c>
      <c r="D204" s="158"/>
      <c r="E204" s="159"/>
      <c r="F204" s="159"/>
      <c r="G204" s="159"/>
      <c r="H204" s="159"/>
      <c r="I204" s="158"/>
      <c r="J204" s="158"/>
      <c r="K204" s="159"/>
      <c r="L204" s="160"/>
      <c r="M204" s="159"/>
      <c r="N204" s="159"/>
      <c r="O204" s="161"/>
      <c r="P204" s="162" t="str">
        <f t="shared" si="105"/>
        <v/>
      </c>
      <c r="Q204" s="163" t="str">
        <f t="shared" si="106"/>
        <v/>
      </c>
      <c r="R204" s="164">
        <f t="shared" si="107"/>
        <v>0</v>
      </c>
      <c r="S204" s="165">
        <f t="shared" si="87"/>
        <v>0</v>
      </c>
      <c r="T204" s="165">
        <f t="shared" si="108"/>
        <v>0</v>
      </c>
      <c r="U204" s="166">
        <f t="shared" si="109"/>
        <v>0</v>
      </c>
      <c r="V204" s="153" t="str">
        <f t="shared" si="110"/>
        <v/>
      </c>
      <c r="W204" s="153" t="str">
        <f t="shared" si="111"/>
        <v/>
      </c>
      <c r="X204" s="244"/>
      <c r="Y204" s="154">
        <f t="shared" si="88"/>
        <v>0</v>
      </c>
      <c r="Z204" s="154" t="str">
        <f t="shared" si="112"/>
        <v>1000</v>
      </c>
      <c r="AA204" s="153" t="str">
        <f t="shared" si="113"/>
        <v/>
      </c>
      <c r="AD204" s="155" t="str">
        <f t="shared" si="114"/>
        <v/>
      </c>
      <c r="AI204" s="155">
        <f t="array" ref="AI204">MATCH(MIN(IF($AK$501:$AK$525&gt;=IF(G204&gt;1499,E204+7,E204+5), $AK$501:$AK$525)), $AK$501:$AK$525, 0)</f>
        <v>5</v>
      </c>
      <c r="AK204" s="233"/>
      <c r="AL204" s="233"/>
      <c r="AM204" s="155" t="str">
        <f t="shared" si="115"/>
        <v/>
      </c>
      <c r="AN204" s="155" t="str">
        <f t="shared" si="116"/>
        <v/>
      </c>
      <c r="AX204" s="155" t="str">
        <f t="shared" si="117"/>
        <v/>
      </c>
    </row>
    <row r="205" spans="1:50" s="155" customFormat="1" ht="30" hidden="1" customHeight="1">
      <c r="A205" s="141" t="str">
        <f t="shared" si="103"/>
        <v/>
      </c>
      <c r="B205" s="141" t="str">
        <f t="shared" si="104"/>
        <v/>
      </c>
      <c r="C205" s="157" t="str">
        <f>IF(D205="","",
    IF(ISERR(SEARCH("_",D205)),
        IFERROR(_xlfn.AGGREGATE(14,6,$C$12:C204,1),0)+1,
        IFERROR(
            VALUE(TRIM(MID(SUBSTITUTE(D205,"_",REPT(" ",LEN(D205))), (LEN(D205)-LEN(SUBSTITUTE(D205,"_",""))-1)*LEN(D205)+1, LEN(D205))))
            &amp; "." &amp;
            VALUE(TRIM(RIGHT(SUBSTITUTE(D205,"_",REPT(" ",LEN(D205))),LEN(D205)))),
            "")))</f>
        <v/>
      </c>
      <c r="D205" s="158"/>
      <c r="E205" s="159"/>
      <c r="F205" s="159"/>
      <c r="G205" s="159"/>
      <c r="H205" s="159"/>
      <c r="I205" s="158"/>
      <c r="J205" s="158"/>
      <c r="K205" s="159"/>
      <c r="L205" s="160"/>
      <c r="M205" s="159"/>
      <c r="N205" s="159"/>
      <c r="O205" s="161"/>
      <c r="P205" s="162" t="str">
        <f t="shared" si="105"/>
        <v/>
      </c>
      <c r="Q205" s="163" t="str">
        <f t="shared" si="106"/>
        <v/>
      </c>
      <c r="R205" s="164">
        <f t="shared" si="107"/>
        <v>0</v>
      </c>
      <c r="S205" s="165">
        <f t="shared" si="87"/>
        <v>0</v>
      </c>
      <c r="T205" s="165">
        <f t="shared" si="108"/>
        <v>0</v>
      </c>
      <c r="U205" s="166">
        <f t="shared" si="109"/>
        <v>0</v>
      </c>
      <c r="V205" s="153" t="str">
        <f t="shared" si="110"/>
        <v/>
      </c>
      <c r="W205" s="153" t="str">
        <f t="shared" si="111"/>
        <v/>
      </c>
      <c r="X205" s="244"/>
      <c r="Y205" s="154">
        <f t="shared" si="88"/>
        <v>0</v>
      </c>
      <c r="Z205" s="154" t="str">
        <f t="shared" ref="Z205:Z268" si="118">IFERROR(FIND(".",$C206),"1000")</f>
        <v>1000</v>
      </c>
      <c r="AA205" s="153" t="str">
        <f t="shared" si="113"/>
        <v/>
      </c>
      <c r="AD205" s="155" t="str">
        <f t="shared" si="114"/>
        <v/>
      </c>
      <c r="AI205" s="155">
        <f t="array" ref="AI205">MATCH(MIN(IF($AK$501:$AK$525&gt;=IF(G205&gt;1499,E205+7,E205+5), $AK$501:$AK$525)), $AK$501:$AK$525, 0)</f>
        <v>5</v>
      </c>
      <c r="AK205" s="233"/>
      <c r="AL205" s="233"/>
      <c r="AM205" s="155" t="str">
        <f t="shared" si="115"/>
        <v/>
      </c>
      <c r="AN205" s="155" t="str">
        <f t="shared" si="116"/>
        <v/>
      </c>
      <c r="AX205" s="155" t="str">
        <f t="shared" si="117"/>
        <v/>
      </c>
    </row>
    <row r="206" spans="1:50" s="155" customFormat="1" ht="30" hidden="1" customHeight="1">
      <c r="A206" s="141" t="str">
        <f t="shared" si="103"/>
        <v/>
      </c>
      <c r="B206" s="141" t="str">
        <f t="shared" si="104"/>
        <v/>
      </c>
      <c r="C206" s="157" t="str">
        <f>IF(D206="","",
    IF(ISERR(SEARCH("_",D206)),
        IFERROR(_xlfn.AGGREGATE(14,6,$C$12:C205,1),0)+1,
        IFERROR(
            VALUE(TRIM(MID(SUBSTITUTE(D206,"_",REPT(" ",LEN(D206))), (LEN(D206)-LEN(SUBSTITUTE(D206,"_",""))-1)*LEN(D206)+1, LEN(D206))))
            &amp; "." &amp;
            VALUE(TRIM(RIGHT(SUBSTITUTE(D206,"_",REPT(" ",LEN(D206))),LEN(D206)))),
            "")))</f>
        <v/>
      </c>
      <c r="D206" s="158"/>
      <c r="E206" s="159"/>
      <c r="F206" s="159"/>
      <c r="G206" s="159"/>
      <c r="H206" s="159"/>
      <c r="I206" s="158"/>
      <c r="J206" s="158"/>
      <c r="K206" s="159"/>
      <c r="L206" s="160"/>
      <c r="M206" s="159"/>
      <c r="N206" s="159"/>
      <c r="O206" s="161"/>
      <c r="P206" s="162" t="str">
        <f t="shared" si="105"/>
        <v/>
      </c>
      <c r="Q206" s="163" t="str">
        <f t="shared" si="106"/>
        <v/>
      </c>
      <c r="R206" s="164">
        <f t="shared" si="107"/>
        <v>0</v>
      </c>
      <c r="S206" s="165">
        <f t="shared" ref="S206:S269" si="119">IF(ISERR(SEARCH("2d",K206)),IF(ISERR(SEARCH("1d",K206)),0,1),2)*($G206+40)*$H206/10^3+IF(ISERR(SEARCH("2r",K206)),IF(ISERR(SEARCH("1r",K206)),0,1),2)*($F206+40)*$H206/10^3</f>
        <v>0</v>
      </c>
      <c r="T206" s="165">
        <f t="shared" ref="T206:T269" si="120">IF(ISERR(SEARCH("2m",M206)),IF(ISERR(SEARCH("1m",M206)),0,1),2)*$G206*$F206*$H206/10^6+IF(ISERR(SEARCH("2d",M206)),IF(ISERR(SEARCH("1d",M206)),0,1),2)*$G206*$E206*$H206/10^6+IF(ISERR(SEARCH("2r",M206)),IF(ISERR(SEARCH("1r",M206)),0,1),2)*$F206*$E206*$H206/10^6</f>
        <v>0</v>
      </c>
      <c r="U206" s="166">
        <f t="shared" ref="U206:U269" si="121">IF(ISERR(SEARCH("2m",N206)),IF(ISERR(SEARCH("1m",N206)),0,1),2)*$G206*$F206*$H206/10^6+IF(ISERR(SEARCH("2d",N206)),IF(ISERR(SEARCH("1d",N206)),0,1),2)*$G206*$E206*$H206/10^6+IF(ISERR(SEARCH("2r",N206)),IF(ISERR(SEARCH("1r",N206)),0,1),2)*$F206*$E206*$H206/10^6</f>
        <v>0</v>
      </c>
      <c r="V206" s="153" t="str">
        <f t="shared" si="110"/>
        <v/>
      </c>
      <c r="W206" s="153" t="str">
        <f t="shared" si="111"/>
        <v/>
      </c>
      <c r="X206" s="244"/>
      <c r="Y206" s="154">
        <f t="shared" ref="Y206:Y269" si="122">IFERROR((E206*F206*G206*H206*10^-9)*750,"")</f>
        <v>0</v>
      </c>
      <c r="Z206" s="154" t="str">
        <f t="shared" si="118"/>
        <v>1000</v>
      </c>
      <c r="AA206" s="153" t="str">
        <f t="shared" si="113"/>
        <v/>
      </c>
      <c r="AD206" s="155" t="str">
        <f t="shared" ref="AD206:AD269" si="123">IF(OR(I206="_",LEFT(I206,4)="KTHT"),"",IF(C206="","",1))</f>
        <v/>
      </c>
      <c r="AI206" s="155">
        <f t="array" ref="AI206">MATCH(MIN(IF($AK$501:$AK$525&gt;=IF(G206&gt;1499,E206+7,E206+5), $AK$501:$AK$525)), $AK$501:$AK$525, 0)</f>
        <v>5</v>
      </c>
      <c r="AK206" s="233"/>
      <c r="AL206" s="233"/>
      <c r="AM206" s="155" t="str">
        <f t="shared" si="115"/>
        <v/>
      </c>
      <c r="AN206" s="155" t="str">
        <f t="shared" si="116"/>
        <v/>
      </c>
      <c r="AX206" s="155" t="str">
        <f t="shared" si="117"/>
        <v/>
      </c>
    </row>
    <row r="207" spans="1:50" s="155" customFormat="1" ht="30" hidden="1" customHeight="1">
      <c r="A207" s="141" t="str">
        <f t="shared" si="103"/>
        <v/>
      </c>
      <c r="B207" s="141" t="str">
        <f t="shared" si="104"/>
        <v/>
      </c>
      <c r="C207" s="157" t="str">
        <f>IF(D207="","",
    IF(ISERR(SEARCH("_",D207)),
        IFERROR(_xlfn.AGGREGATE(14,6,$C$12:C206,1),0)+1,
        IFERROR(
            VALUE(TRIM(MID(SUBSTITUTE(D207,"_",REPT(" ",LEN(D207))), (LEN(D207)-LEN(SUBSTITUTE(D207,"_",""))-1)*LEN(D207)+1, LEN(D207))))
            &amp; "." &amp;
            VALUE(TRIM(RIGHT(SUBSTITUTE(D207,"_",REPT(" ",LEN(D207))),LEN(D207)))),
            "")))</f>
        <v/>
      </c>
      <c r="D207" s="158"/>
      <c r="E207" s="159"/>
      <c r="F207" s="159"/>
      <c r="G207" s="159"/>
      <c r="H207" s="159"/>
      <c r="I207" s="158"/>
      <c r="J207" s="158"/>
      <c r="K207" s="159"/>
      <c r="L207" s="160"/>
      <c r="M207" s="159"/>
      <c r="N207" s="159"/>
      <c r="O207" s="161"/>
      <c r="P207" s="162" t="str">
        <f t="shared" si="105"/>
        <v/>
      </c>
      <c r="Q207" s="163" t="str">
        <f t="shared" si="106"/>
        <v/>
      </c>
      <c r="R207" s="164">
        <f t="shared" si="107"/>
        <v>0</v>
      </c>
      <c r="S207" s="165">
        <f t="shared" si="119"/>
        <v>0</v>
      </c>
      <c r="T207" s="165">
        <f t="shared" si="120"/>
        <v>0</v>
      </c>
      <c r="U207" s="166">
        <f t="shared" si="121"/>
        <v>0</v>
      </c>
      <c r="V207" s="153" t="str">
        <f t="shared" si="110"/>
        <v/>
      </c>
      <c r="W207" s="153" t="str">
        <f t="shared" si="111"/>
        <v/>
      </c>
      <c r="X207" s="244"/>
      <c r="Y207" s="154">
        <f t="shared" si="122"/>
        <v>0</v>
      </c>
      <c r="Z207" s="154" t="str">
        <f t="shared" si="118"/>
        <v>1000</v>
      </c>
      <c r="AA207" s="153" t="str">
        <f t="shared" si="113"/>
        <v/>
      </c>
      <c r="AD207" s="155" t="str">
        <f t="shared" si="123"/>
        <v/>
      </c>
      <c r="AI207" s="155">
        <f t="array" ref="AI207">MATCH(MIN(IF($AK$501:$AK$525&gt;=IF(G207&gt;1499,E207+7,E207+5), $AK$501:$AK$525)), $AK$501:$AK$525, 0)</f>
        <v>5</v>
      </c>
      <c r="AK207" s="233"/>
      <c r="AL207" s="233"/>
      <c r="AM207" s="155" t="str">
        <f t="shared" si="115"/>
        <v/>
      </c>
      <c r="AN207" s="155" t="str">
        <f t="shared" si="116"/>
        <v/>
      </c>
      <c r="AX207" s="155" t="str">
        <f t="shared" si="117"/>
        <v/>
      </c>
    </row>
    <row r="208" spans="1:50" s="155" customFormat="1" ht="30" hidden="1" customHeight="1">
      <c r="A208" s="141" t="str">
        <f t="shared" ref="A208:A271" si="124">IF(W208="IN",$E$6,"")</f>
        <v/>
      </c>
      <c r="B208" s="141" t="str">
        <f t="shared" ref="B208:B271" si="125">IF(W208="IN","Muc "&amp;$E$7,"")</f>
        <v/>
      </c>
      <c r="C208" s="157" t="str">
        <f>IF(D208="","",
    IF(ISERR(SEARCH("_",D208)),
        IFERROR(_xlfn.AGGREGATE(14,6,$C$12:C207,1),0)+1,
        IFERROR(
            VALUE(TRIM(MID(SUBSTITUTE(D208,"_",REPT(" ",LEN(D208))), (LEN(D208)-LEN(SUBSTITUTE(D208,"_",""))-1)*LEN(D208)+1, LEN(D208))))
            &amp; "." &amp;
            VALUE(TRIM(RIGHT(SUBSTITUTE(D208,"_",REPT(" ",LEN(D208))),LEN(D208)))),
            "")))</f>
        <v/>
      </c>
      <c r="D208" s="158"/>
      <c r="E208" s="159"/>
      <c r="F208" s="159"/>
      <c r="G208" s="159"/>
      <c r="H208" s="159"/>
      <c r="I208" s="158"/>
      <c r="J208" s="158"/>
      <c r="K208" s="159"/>
      <c r="L208" s="160"/>
      <c r="M208" s="159"/>
      <c r="N208" s="159"/>
      <c r="O208" s="161"/>
      <c r="P208" s="162" t="str">
        <f t="shared" ref="P208:P271" si="126">IF(AND(LEFT(I208,2)="gỗ",M208&lt;&gt;""),IF(LEFT(RIGHT(IF(E208="","",INDEX($AL$501:$AL$525,VALUE(AI208),1)),3),2)="/4",AM208,AN208)&amp;" "&amp;IF(E208="","",INDEX($AL$501:$AL$525,VALUE(AI208),1)),IF(AND(LEFT(I208,2)="gỗ",M208=""),"loại BC"&amp;" "&amp;IF(E208="","",INDEX($AL$501:$AL$525,VALUE(AI208),1)),""))</f>
        <v/>
      </c>
      <c r="Q208" s="163" t="str">
        <f t="shared" ref="Q208:Q271" si="127">IF(I208="","",IF(LEFT(I208,2)="gỗ","m3","Tấm"))</f>
        <v/>
      </c>
      <c r="R208" s="164">
        <f t="shared" ref="R208:R271" si="128">IF(OR(Q208="Con",Q208="Cụm",Q208="Hệ",Q208="Thanh"),H208,IF(Q208="Tấm",(F208*G208*H208)/(1220*2440),IF(Q208="Md",G208*H208/1000,IF(Q208="M2",F208*G208*H208/10^6,IF(Q208="M3",E208*F208*G208*H208/10^9,0)))))</f>
        <v>0</v>
      </c>
      <c r="S208" s="165">
        <f t="shared" si="119"/>
        <v>0</v>
      </c>
      <c r="T208" s="165">
        <f t="shared" si="120"/>
        <v>0</v>
      </c>
      <c r="U208" s="166">
        <f t="shared" si="121"/>
        <v>0</v>
      </c>
      <c r="V208" s="153" t="str">
        <f t="shared" ref="V208:V271" si="129">IF(W208="IN",$Y$3,"")</f>
        <v/>
      </c>
      <c r="W208" s="153" t="str">
        <f t="shared" ref="W208:W271" si="130">IF(OR(C208&lt;&gt;"",D208&lt;&gt;""),"IN","")</f>
        <v/>
      </c>
      <c r="X208" s="244"/>
      <c r="Y208" s="154">
        <f t="shared" si="122"/>
        <v>0</v>
      </c>
      <c r="Z208" s="154" t="str">
        <f t="shared" si="118"/>
        <v>1000</v>
      </c>
      <c r="AA208" s="153" t="str">
        <f t="shared" ref="AA208:AA271" si="131">IFERROR(MATCH(J208,$J$13:$J$482,0)&amp;",","")</f>
        <v/>
      </c>
      <c r="AD208" s="155" t="str">
        <f t="shared" si="123"/>
        <v/>
      </c>
      <c r="AI208" s="155">
        <f t="array" ref="AI208">MATCH(MIN(IF($AK$501:$AK$525&gt;=IF(G208&gt;1499,E208+7,E208+5), $AK$501:$AK$525)), $AK$501:$AK$525, 0)</f>
        <v>5</v>
      </c>
      <c r="AK208" s="233"/>
      <c r="AL208" s="233"/>
      <c r="AM208" s="155" t="str">
        <f t="shared" ref="AM208:AM271" si="132">IF(M208="","",IF(F208&gt;99,"FAS",IF(LEFT(I208,2)="Gỗ",IF(LEFT(M208,4)="2M2D","loại 1common",IF(AND(G208&gt;1699,LEFT(M208,4)&lt;&gt;"2M2D"),"loại 1common","loại 2common")),"")))</f>
        <v/>
      </c>
      <c r="AN208" s="155" t="str">
        <f t="shared" ref="AN208:AN271" si="133">IF(AM208="","",IF(AM208="loại 1common","loại A",IF(AM208="loại 2common","loại AB","loại FAS")))</f>
        <v/>
      </c>
      <c r="AX208" s="155" t="str">
        <f t="shared" ref="AX208:AX271" si="134">W208</f>
        <v/>
      </c>
    </row>
    <row r="209" spans="1:50" s="155" customFormat="1" ht="30" hidden="1" customHeight="1">
      <c r="A209" s="141" t="str">
        <f t="shared" si="124"/>
        <v/>
      </c>
      <c r="B209" s="141" t="str">
        <f t="shared" si="125"/>
        <v/>
      </c>
      <c r="C209" s="157" t="str">
        <f>IF(D209="","",
    IF(ISERR(SEARCH("_",D209)),
        IFERROR(_xlfn.AGGREGATE(14,6,$C$12:C208,1),0)+1,
        IFERROR(
            VALUE(TRIM(MID(SUBSTITUTE(D209,"_",REPT(" ",LEN(D209))), (LEN(D209)-LEN(SUBSTITUTE(D209,"_",""))-1)*LEN(D209)+1, LEN(D209))))
            &amp; "." &amp;
            VALUE(TRIM(RIGHT(SUBSTITUTE(D209,"_",REPT(" ",LEN(D209))),LEN(D209)))),
            "")))</f>
        <v/>
      </c>
      <c r="D209" s="158"/>
      <c r="E209" s="159"/>
      <c r="F209" s="159"/>
      <c r="G209" s="159"/>
      <c r="H209" s="159"/>
      <c r="I209" s="158"/>
      <c r="J209" s="158"/>
      <c r="K209" s="159"/>
      <c r="L209" s="160"/>
      <c r="M209" s="159"/>
      <c r="N209" s="159"/>
      <c r="O209" s="161"/>
      <c r="P209" s="162" t="str">
        <f t="shared" si="126"/>
        <v/>
      </c>
      <c r="Q209" s="163" t="str">
        <f t="shared" si="127"/>
        <v/>
      </c>
      <c r="R209" s="164">
        <f t="shared" si="128"/>
        <v>0</v>
      </c>
      <c r="S209" s="165">
        <f t="shared" si="119"/>
        <v>0</v>
      </c>
      <c r="T209" s="165">
        <f t="shared" si="120"/>
        <v>0</v>
      </c>
      <c r="U209" s="166">
        <f t="shared" si="121"/>
        <v>0</v>
      </c>
      <c r="V209" s="153" t="str">
        <f t="shared" si="129"/>
        <v/>
      </c>
      <c r="W209" s="153" t="str">
        <f t="shared" si="130"/>
        <v/>
      </c>
      <c r="X209" s="244"/>
      <c r="Y209" s="154">
        <f t="shared" si="122"/>
        <v>0</v>
      </c>
      <c r="Z209" s="154" t="str">
        <f t="shared" si="118"/>
        <v>1000</v>
      </c>
      <c r="AA209" s="153" t="str">
        <f t="shared" si="131"/>
        <v/>
      </c>
      <c r="AD209" s="155" t="str">
        <f t="shared" si="123"/>
        <v/>
      </c>
      <c r="AI209" s="155">
        <f t="array" ref="AI209">MATCH(MIN(IF($AK$501:$AK$525&gt;=IF(G209&gt;1499,E209+7,E209+5), $AK$501:$AK$525)), $AK$501:$AK$525, 0)</f>
        <v>5</v>
      </c>
      <c r="AK209" s="233"/>
      <c r="AL209" s="233"/>
      <c r="AM209" s="155" t="str">
        <f t="shared" si="132"/>
        <v/>
      </c>
      <c r="AN209" s="155" t="str">
        <f t="shared" si="133"/>
        <v/>
      </c>
      <c r="AX209" s="155" t="str">
        <f t="shared" si="134"/>
        <v/>
      </c>
    </row>
    <row r="210" spans="1:50" s="155" customFormat="1" ht="30" hidden="1" customHeight="1">
      <c r="A210" s="141" t="str">
        <f t="shared" si="124"/>
        <v/>
      </c>
      <c r="B210" s="141" t="str">
        <f t="shared" si="125"/>
        <v/>
      </c>
      <c r="C210" s="157" t="str">
        <f>IF(D210="","",
    IF(ISERR(SEARCH("_",D210)),
        IFERROR(_xlfn.AGGREGATE(14,6,$C$12:C209,1),0)+1,
        IFERROR(
            VALUE(TRIM(MID(SUBSTITUTE(D210,"_",REPT(" ",LEN(D210))), (LEN(D210)-LEN(SUBSTITUTE(D210,"_",""))-1)*LEN(D210)+1, LEN(D210))))
            &amp; "." &amp;
            VALUE(TRIM(RIGHT(SUBSTITUTE(D210,"_",REPT(" ",LEN(D210))),LEN(D210)))),
            "")))</f>
        <v/>
      </c>
      <c r="D210" s="158"/>
      <c r="E210" s="159"/>
      <c r="F210" s="159"/>
      <c r="G210" s="159"/>
      <c r="H210" s="159"/>
      <c r="I210" s="158"/>
      <c r="J210" s="158"/>
      <c r="K210" s="159"/>
      <c r="L210" s="160"/>
      <c r="M210" s="159"/>
      <c r="N210" s="159"/>
      <c r="O210" s="161"/>
      <c r="P210" s="162" t="str">
        <f t="shared" si="126"/>
        <v/>
      </c>
      <c r="Q210" s="163" t="str">
        <f t="shared" si="127"/>
        <v/>
      </c>
      <c r="R210" s="164">
        <f t="shared" si="128"/>
        <v>0</v>
      </c>
      <c r="S210" s="165">
        <f t="shared" si="119"/>
        <v>0</v>
      </c>
      <c r="T210" s="165">
        <f t="shared" si="120"/>
        <v>0</v>
      </c>
      <c r="U210" s="166">
        <f t="shared" si="121"/>
        <v>0</v>
      </c>
      <c r="V210" s="153" t="str">
        <f t="shared" si="129"/>
        <v/>
      </c>
      <c r="W210" s="153" t="str">
        <f t="shared" si="130"/>
        <v/>
      </c>
      <c r="X210" s="244"/>
      <c r="Y210" s="154">
        <f t="shared" si="122"/>
        <v>0</v>
      </c>
      <c r="Z210" s="154" t="str">
        <f t="shared" si="118"/>
        <v>1000</v>
      </c>
      <c r="AA210" s="153" t="str">
        <f t="shared" si="131"/>
        <v/>
      </c>
      <c r="AD210" s="155" t="str">
        <f t="shared" si="123"/>
        <v/>
      </c>
      <c r="AI210" s="155">
        <f t="array" ref="AI210">MATCH(MIN(IF($AK$501:$AK$525&gt;=IF(G210&gt;1499,E210+7,E210+5), $AK$501:$AK$525)), $AK$501:$AK$525, 0)</f>
        <v>5</v>
      </c>
      <c r="AK210" s="233"/>
      <c r="AL210" s="233"/>
      <c r="AM210" s="155" t="str">
        <f t="shared" si="132"/>
        <v/>
      </c>
      <c r="AN210" s="155" t="str">
        <f t="shared" si="133"/>
        <v/>
      </c>
      <c r="AX210" s="155" t="str">
        <f t="shared" si="134"/>
        <v/>
      </c>
    </row>
    <row r="211" spans="1:50" s="155" customFormat="1" ht="30" hidden="1" customHeight="1">
      <c r="A211" s="141" t="str">
        <f t="shared" si="124"/>
        <v/>
      </c>
      <c r="B211" s="141" t="str">
        <f t="shared" si="125"/>
        <v/>
      </c>
      <c r="C211" s="157" t="str">
        <f>IF(D211="","",
    IF(ISERR(SEARCH("_",D211)),
        IFERROR(_xlfn.AGGREGATE(14,6,$C$12:C210,1),0)+1,
        IFERROR(
            VALUE(TRIM(MID(SUBSTITUTE(D211,"_",REPT(" ",LEN(D211))), (LEN(D211)-LEN(SUBSTITUTE(D211,"_",""))-1)*LEN(D211)+1, LEN(D211))))
            &amp; "." &amp;
            VALUE(TRIM(RIGHT(SUBSTITUTE(D211,"_",REPT(" ",LEN(D211))),LEN(D211)))),
            "")))</f>
        <v/>
      </c>
      <c r="D211" s="158"/>
      <c r="E211" s="159"/>
      <c r="F211" s="159"/>
      <c r="G211" s="159"/>
      <c r="H211" s="159"/>
      <c r="I211" s="158"/>
      <c r="J211" s="158"/>
      <c r="K211" s="159"/>
      <c r="L211" s="160"/>
      <c r="M211" s="159"/>
      <c r="N211" s="159"/>
      <c r="O211" s="161"/>
      <c r="P211" s="162" t="str">
        <f t="shared" si="126"/>
        <v/>
      </c>
      <c r="Q211" s="163" t="str">
        <f t="shared" si="127"/>
        <v/>
      </c>
      <c r="R211" s="164">
        <f t="shared" si="128"/>
        <v>0</v>
      </c>
      <c r="S211" s="165">
        <f t="shared" si="119"/>
        <v>0</v>
      </c>
      <c r="T211" s="165">
        <f t="shared" si="120"/>
        <v>0</v>
      </c>
      <c r="U211" s="166">
        <f t="shared" si="121"/>
        <v>0</v>
      </c>
      <c r="V211" s="153" t="str">
        <f t="shared" si="129"/>
        <v/>
      </c>
      <c r="W211" s="153" t="str">
        <f t="shared" si="130"/>
        <v/>
      </c>
      <c r="X211" s="244"/>
      <c r="Y211" s="154">
        <f t="shared" si="122"/>
        <v>0</v>
      </c>
      <c r="Z211" s="154" t="str">
        <f t="shared" si="118"/>
        <v>1000</v>
      </c>
      <c r="AA211" s="153" t="str">
        <f t="shared" si="131"/>
        <v/>
      </c>
      <c r="AD211" s="155" t="str">
        <f t="shared" si="123"/>
        <v/>
      </c>
      <c r="AI211" s="155">
        <f t="array" ref="AI211">MATCH(MIN(IF($AK$501:$AK$525&gt;=IF(G211&gt;1499,E211+7,E211+5), $AK$501:$AK$525)), $AK$501:$AK$525, 0)</f>
        <v>5</v>
      </c>
      <c r="AK211" s="233"/>
      <c r="AL211" s="233"/>
      <c r="AM211" s="155" t="str">
        <f t="shared" si="132"/>
        <v/>
      </c>
      <c r="AN211" s="155" t="str">
        <f t="shared" si="133"/>
        <v/>
      </c>
      <c r="AX211" s="155" t="str">
        <f t="shared" si="134"/>
        <v/>
      </c>
    </row>
    <row r="212" spans="1:50" s="155" customFormat="1" ht="30" hidden="1" customHeight="1">
      <c r="A212" s="141" t="str">
        <f t="shared" si="124"/>
        <v/>
      </c>
      <c r="B212" s="141" t="str">
        <f t="shared" si="125"/>
        <v/>
      </c>
      <c r="C212" s="157" t="str">
        <f>IF(D212="","",
    IF(ISERR(SEARCH("_",D212)),
        IFERROR(_xlfn.AGGREGATE(14,6,$C$12:C211,1),0)+1,
        IFERROR(
            VALUE(TRIM(MID(SUBSTITUTE(D212,"_",REPT(" ",LEN(D212))), (LEN(D212)-LEN(SUBSTITUTE(D212,"_",""))-1)*LEN(D212)+1, LEN(D212))))
            &amp; "." &amp;
            VALUE(TRIM(RIGHT(SUBSTITUTE(D212,"_",REPT(" ",LEN(D212))),LEN(D212)))),
            "")))</f>
        <v/>
      </c>
      <c r="D212" s="158"/>
      <c r="E212" s="159"/>
      <c r="F212" s="159"/>
      <c r="G212" s="159"/>
      <c r="H212" s="159"/>
      <c r="I212" s="158"/>
      <c r="J212" s="158"/>
      <c r="K212" s="159"/>
      <c r="L212" s="160"/>
      <c r="M212" s="159"/>
      <c r="N212" s="159"/>
      <c r="O212" s="161"/>
      <c r="P212" s="162" t="str">
        <f t="shared" si="126"/>
        <v/>
      </c>
      <c r="Q212" s="163" t="str">
        <f t="shared" si="127"/>
        <v/>
      </c>
      <c r="R212" s="164">
        <f t="shared" si="128"/>
        <v>0</v>
      </c>
      <c r="S212" s="165">
        <f t="shared" si="119"/>
        <v>0</v>
      </c>
      <c r="T212" s="165">
        <f t="shared" si="120"/>
        <v>0</v>
      </c>
      <c r="U212" s="166">
        <f t="shared" si="121"/>
        <v>0</v>
      </c>
      <c r="V212" s="153" t="str">
        <f t="shared" si="129"/>
        <v/>
      </c>
      <c r="W212" s="153" t="str">
        <f t="shared" si="130"/>
        <v/>
      </c>
      <c r="X212" s="244"/>
      <c r="Y212" s="154">
        <f t="shared" si="122"/>
        <v>0</v>
      </c>
      <c r="Z212" s="154" t="str">
        <f t="shared" si="118"/>
        <v>1000</v>
      </c>
      <c r="AA212" s="153" t="str">
        <f t="shared" si="131"/>
        <v/>
      </c>
      <c r="AD212" s="155" t="str">
        <f t="shared" si="123"/>
        <v/>
      </c>
      <c r="AI212" s="155">
        <f t="array" ref="AI212">MATCH(MIN(IF($AK$501:$AK$525&gt;=IF(G212&gt;1499,E212+7,E212+5), $AK$501:$AK$525)), $AK$501:$AK$525, 0)</f>
        <v>5</v>
      </c>
      <c r="AK212" s="233"/>
      <c r="AL212" s="233"/>
      <c r="AM212" s="155" t="str">
        <f t="shared" si="132"/>
        <v/>
      </c>
      <c r="AN212" s="155" t="str">
        <f t="shared" si="133"/>
        <v/>
      </c>
      <c r="AX212" s="155" t="str">
        <f t="shared" si="134"/>
        <v/>
      </c>
    </row>
    <row r="213" spans="1:50" s="155" customFormat="1" ht="30" hidden="1" customHeight="1">
      <c r="A213" s="141" t="str">
        <f t="shared" si="124"/>
        <v/>
      </c>
      <c r="B213" s="141" t="str">
        <f t="shared" si="125"/>
        <v/>
      </c>
      <c r="C213" s="157" t="str">
        <f>IF(D213="","",
    IF(ISERR(SEARCH("_",D213)),
        IFERROR(_xlfn.AGGREGATE(14,6,$C$12:C212,1),0)+1,
        IFERROR(
            VALUE(TRIM(MID(SUBSTITUTE(D213,"_",REPT(" ",LEN(D213))), (LEN(D213)-LEN(SUBSTITUTE(D213,"_",""))-1)*LEN(D213)+1, LEN(D213))))
            &amp; "." &amp;
            VALUE(TRIM(RIGHT(SUBSTITUTE(D213,"_",REPT(" ",LEN(D213))),LEN(D213)))),
            "")))</f>
        <v/>
      </c>
      <c r="D213" s="158"/>
      <c r="E213" s="159"/>
      <c r="F213" s="159"/>
      <c r="G213" s="159"/>
      <c r="H213" s="159"/>
      <c r="I213" s="158"/>
      <c r="J213" s="158"/>
      <c r="K213" s="159"/>
      <c r="L213" s="160"/>
      <c r="M213" s="159"/>
      <c r="N213" s="159"/>
      <c r="O213" s="161"/>
      <c r="P213" s="162" t="str">
        <f t="shared" si="126"/>
        <v/>
      </c>
      <c r="Q213" s="163" t="str">
        <f t="shared" si="127"/>
        <v/>
      </c>
      <c r="R213" s="164">
        <f t="shared" si="128"/>
        <v>0</v>
      </c>
      <c r="S213" s="165">
        <f t="shared" si="119"/>
        <v>0</v>
      </c>
      <c r="T213" s="165">
        <f t="shared" si="120"/>
        <v>0</v>
      </c>
      <c r="U213" s="166">
        <f t="shared" si="121"/>
        <v>0</v>
      </c>
      <c r="V213" s="153" t="str">
        <f t="shared" si="129"/>
        <v/>
      </c>
      <c r="W213" s="153" t="str">
        <f t="shared" si="130"/>
        <v/>
      </c>
      <c r="X213" s="244"/>
      <c r="Y213" s="154">
        <f t="shared" si="122"/>
        <v>0</v>
      </c>
      <c r="Z213" s="154" t="str">
        <f t="shared" si="118"/>
        <v>1000</v>
      </c>
      <c r="AA213" s="153" t="str">
        <f t="shared" si="131"/>
        <v/>
      </c>
      <c r="AD213" s="155" t="str">
        <f t="shared" si="123"/>
        <v/>
      </c>
      <c r="AI213" s="155">
        <f t="array" ref="AI213">MATCH(MIN(IF($AK$501:$AK$525&gt;=IF(G213&gt;1499,E213+7,E213+5), $AK$501:$AK$525)), $AK$501:$AK$525, 0)</f>
        <v>5</v>
      </c>
      <c r="AK213" s="233"/>
      <c r="AL213" s="233"/>
      <c r="AM213" s="155" t="str">
        <f t="shared" si="132"/>
        <v/>
      </c>
      <c r="AN213" s="155" t="str">
        <f t="shared" si="133"/>
        <v/>
      </c>
      <c r="AX213" s="155" t="str">
        <f t="shared" si="134"/>
        <v/>
      </c>
    </row>
    <row r="214" spans="1:50" s="155" customFormat="1" ht="30" hidden="1" customHeight="1">
      <c r="A214" s="141" t="str">
        <f t="shared" si="124"/>
        <v/>
      </c>
      <c r="B214" s="141" t="str">
        <f t="shared" si="125"/>
        <v/>
      </c>
      <c r="C214" s="157" t="str">
        <f>IF(D214="","",
    IF(ISERR(SEARCH("_",D214)),
        IFERROR(_xlfn.AGGREGATE(14,6,$C$12:C213,1),0)+1,
        IFERROR(
            VALUE(TRIM(MID(SUBSTITUTE(D214,"_",REPT(" ",LEN(D214))), (LEN(D214)-LEN(SUBSTITUTE(D214,"_",""))-1)*LEN(D214)+1, LEN(D214))))
            &amp; "." &amp;
            VALUE(TRIM(RIGHT(SUBSTITUTE(D214,"_",REPT(" ",LEN(D214))),LEN(D214)))),
            "")))</f>
        <v/>
      </c>
      <c r="D214" s="158"/>
      <c r="E214" s="159"/>
      <c r="F214" s="159"/>
      <c r="G214" s="159"/>
      <c r="H214" s="159"/>
      <c r="I214" s="158"/>
      <c r="J214" s="158"/>
      <c r="K214" s="159"/>
      <c r="L214" s="160"/>
      <c r="M214" s="159"/>
      <c r="N214" s="159"/>
      <c r="O214" s="161"/>
      <c r="P214" s="162" t="str">
        <f t="shared" si="126"/>
        <v/>
      </c>
      <c r="Q214" s="163" t="str">
        <f t="shared" si="127"/>
        <v/>
      </c>
      <c r="R214" s="164">
        <f t="shared" si="128"/>
        <v>0</v>
      </c>
      <c r="S214" s="165">
        <f t="shared" si="119"/>
        <v>0</v>
      </c>
      <c r="T214" s="165">
        <f t="shared" si="120"/>
        <v>0</v>
      </c>
      <c r="U214" s="166">
        <f t="shared" si="121"/>
        <v>0</v>
      </c>
      <c r="V214" s="153" t="str">
        <f t="shared" si="129"/>
        <v/>
      </c>
      <c r="W214" s="153" t="str">
        <f t="shared" si="130"/>
        <v/>
      </c>
      <c r="X214" s="244"/>
      <c r="Y214" s="154">
        <f t="shared" si="122"/>
        <v>0</v>
      </c>
      <c r="Z214" s="154" t="str">
        <f t="shared" si="118"/>
        <v>1000</v>
      </c>
      <c r="AA214" s="153" t="str">
        <f t="shared" si="131"/>
        <v/>
      </c>
      <c r="AD214" s="155" t="str">
        <f t="shared" si="123"/>
        <v/>
      </c>
      <c r="AI214" s="155">
        <f t="array" ref="AI214">MATCH(MIN(IF($AK$501:$AK$525&gt;=IF(G214&gt;1499,E214+7,E214+5), $AK$501:$AK$525)), $AK$501:$AK$525, 0)</f>
        <v>5</v>
      </c>
      <c r="AK214" s="233"/>
      <c r="AL214" s="233"/>
      <c r="AM214" s="155" t="str">
        <f t="shared" si="132"/>
        <v/>
      </c>
      <c r="AN214" s="155" t="str">
        <f t="shared" si="133"/>
        <v/>
      </c>
      <c r="AX214" s="155" t="str">
        <f t="shared" si="134"/>
        <v/>
      </c>
    </row>
    <row r="215" spans="1:50" s="155" customFormat="1" ht="30" hidden="1" customHeight="1">
      <c r="A215" s="141" t="str">
        <f t="shared" si="124"/>
        <v/>
      </c>
      <c r="B215" s="141" t="str">
        <f t="shared" si="125"/>
        <v/>
      </c>
      <c r="C215" s="157" t="str">
        <f>IF(D215="","",
    IF(ISERR(SEARCH("_",D215)),
        IFERROR(_xlfn.AGGREGATE(14,6,$C$12:C214,1),0)+1,
        IFERROR(
            VALUE(TRIM(MID(SUBSTITUTE(D215,"_",REPT(" ",LEN(D215))), (LEN(D215)-LEN(SUBSTITUTE(D215,"_",""))-1)*LEN(D215)+1, LEN(D215))))
            &amp; "." &amp;
            VALUE(TRIM(RIGHT(SUBSTITUTE(D215,"_",REPT(" ",LEN(D215))),LEN(D215)))),
            "")))</f>
        <v/>
      </c>
      <c r="D215" s="158"/>
      <c r="E215" s="159"/>
      <c r="F215" s="159"/>
      <c r="G215" s="159"/>
      <c r="H215" s="159"/>
      <c r="I215" s="158"/>
      <c r="J215" s="158"/>
      <c r="K215" s="159"/>
      <c r="L215" s="160"/>
      <c r="M215" s="159"/>
      <c r="N215" s="159"/>
      <c r="O215" s="161"/>
      <c r="P215" s="162" t="str">
        <f t="shared" si="126"/>
        <v/>
      </c>
      <c r="Q215" s="163" t="str">
        <f t="shared" si="127"/>
        <v/>
      </c>
      <c r="R215" s="164">
        <f t="shared" si="128"/>
        <v>0</v>
      </c>
      <c r="S215" s="165">
        <f t="shared" si="119"/>
        <v>0</v>
      </c>
      <c r="T215" s="165">
        <f t="shared" si="120"/>
        <v>0</v>
      </c>
      <c r="U215" s="166">
        <f t="shared" si="121"/>
        <v>0</v>
      </c>
      <c r="V215" s="153" t="str">
        <f t="shared" si="129"/>
        <v/>
      </c>
      <c r="W215" s="153" t="str">
        <f t="shared" si="130"/>
        <v/>
      </c>
      <c r="X215" s="244"/>
      <c r="Y215" s="154">
        <f t="shared" si="122"/>
        <v>0</v>
      </c>
      <c r="Z215" s="154" t="str">
        <f t="shared" si="118"/>
        <v>1000</v>
      </c>
      <c r="AA215" s="153" t="str">
        <f t="shared" si="131"/>
        <v/>
      </c>
      <c r="AD215" s="155" t="str">
        <f t="shared" si="123"/>
        <v/>
      </c>
      <c r="AI215" s="155">
        <f t="array" ref="AI215">MATCH(MIN(IF($AK$501:$AK$525&gt;=IF(G215&gt;1499,E215+7,E215+5), $AK$501:$AK$525)), $AK$501:$AK$525, 0)</f>
        <v>5</v>
      </c>
      <c r="AK215" s="233"/>
      <c r="AL215" s="233"/>
      <c r="AM215" s="155" t="str">
        <f t="shared" si="132"/>
        <v/>
      </c>
      <c r="AN215" s="155" t="str">
        <f t="shared" si="133"/>
        <v/>
      </c>
      <c r="AX215" s="155" t="str">
        <f t="shared" si="134"/>
        <v/>
      </c>
    </row>
    <row r="216" spans="1:50" s="155" customFormat="1" ht="30" hidden="1" customHeight="1">
      <c r="A216" s="141" t="str">
        <f t="shared" si="124"/>
        <v/>
      </c>
      <c r="B216" s="141" t="str">
        <f t="shared" si="125"/>
        <v/>
      </c>
      <c r="C216" s="157" t="str">
        <f>IF(D216="","",
    IF(ISERR(SEARCH("_",D216)),
        IFERROR(_xlfn.AGGREGATE(14,6,$C$12:C215,1),0)+1,
        IFERROR(
            VALUE(TRIM(MID(SUBSTITUTE(D216,"_",REPT(" ",LEN(D216))), (LEN(D216)-LEN(SUBSTITUTE(D216,"_",""))-1)*LEN(D216)+1, LEN(D216))))
            &amp; "." &amp;
            VALUE(TRIM(RIGHT(SUBSTITUTE(D216,"_",REPT(" ",LEN(D216))),LEN(D216)))),
            "")))</f>
        <v/>
      </c>
      <c r="D216" s="158"/>
      <c r="E216" s="159"/>
      <c r="F216" s="159"/>
      <c r="G216" s="159"/>
      <c r="H216" s="159"/>
      <c r="I216" s="158"/>
      <c r="J216" s="158"/>
      <c r="K216" s="159"/>
      <c r="L216" s="160"/>
      <c r="M216" s="159"/>
      <c r="N216" s="159"/>
      <c r="O216" s="161"/>
      <c r="P216" s="162" t="str">
        <f t="shared" si="126"/>
        <v/>
      </c>
      <c r="Q216" s="163" t="str">
        <f t="shared" si="127"/>
        <v/>
      </c>
      <c r="R216" s="164">
        <f t="shared" si="128"/>
        <v>0</v>
      </c>
      <c r="S216" s="165">
        <f t="shared" si="119"/>
        <v>0</v>
      </c>
      <c r="T216" s="165">
        <f t="shared" si="120"/>
        <v>0</v>
      </c>
      <c r="U216" s="166">
        <f t="shared" si="121"/>
        <v>0</v>
      </c>
      <c r="V216" s="153" t="str">
        <f t="shared" si="129"/>
        <v/>
      </c>
      <c r="W216" s="153" t="str">
        <f t="shared" si="130"/>
        <v/>
      </c>
      <c r="X216" s="244"/>
      <c r="Y216" s="154">
        <f t="shared" si="122"/>
        <v>0</v>
      </c>
      <c r="Z216" s="154" t="str">
        <f t="shared" si="118"/>
        <v>1000</v>
      </c>
      <c r="AA216" s="153" t="str">
        <f t="shared" si="131"/>
        <v/>
      </c>
      <c r="AD216" s="155" t="str">
        <f t="shared" si="123"/>
        <v/>
      </c>
      <c r="AI216" s="155">
        <f t="array" ref="AI216">MATCH(MIN(IF($AK$501:$AK$525&gt;=IF(G216&gt;1499,E216+7,E216+5), $AK$501:$AK$525)), $AK$501:$AK$525, 0)</f>
        <v>5</v>
      </c>
      <c r="AK216" s="233"/>
      <c r="AL216" s="233"/>
      <c r="AM216" s="155" t="str">
        <f t="shared" si="132"/>
        <v/>
      </c>
      <c r="AN216" s="155" t="str">
        <f t="shared" si="133"/>
        <v/>
      </c>
      <c r="AX216" s="155" t="str">
        <f t="shared" si="134"/>
        <v/>
      </c>
    </row>
    <row r="217" spans="1:50" s="155" customFormat="1" ht="30" hidden="1" customHeight="1">
      <c r="A217" s="141" t="str">
        <f t="shared" si="124"/>
        <v/>
      </c>
      <c r="B217" s="141" t="str">
        <f t="shared" si="125"/>
        <v/>
      </c>
      <c r="C217" s="157" t="str">
        <f>IF(D217="","",
    IF(ISERR(SEARCH("_",D217)),
        IFERROR(_xlfn.AGGREGATE(14,6,$C$12:C216,1),0)+1,
        IFERROR(
            VALUE(TRIM(MID(SUBSTITUTE(D217,"_",REPT(" ",LEN(D217))), (LEN(D217)-LEN(SUBSTITUTE(D217,"_",""))-1)*LEN(D217)+1, LEN(D217))))
            &amp; "." &amp;
            VALUE(TRIM(RIGHT(SUBSTITUTE(D217,"_",REPT(" ",LEN(D217))),LEN(D217)))),
            "")))</f>
        <v/>
      </c>
      <c r="D217" s="158"/>
      <c r="E217" s="159"/>
      <c r="F217" s="159"/>
      <c r="G217" s="159"/>
      <c r="H217" s="159"/>
      <c r="I217" s="158"/>
      <c r="J217" s="158"/>
      <c r="K217" s="159"/>
      <c r="L217" s="160"/>
      <c r="M217" s="159"/>
      <c r="N217" s="159"/>
      <c r="O217" s="161"/>
      <c r="P217" s="162" t="str">
        <f t="shared" si="126"/>
        <v/>
      </c>
      <c r="Q217" s="163" t="str">
        <f t="shared" si="127"/>
        <v/>
      </c>
      <c r="R217" s="164">
        <f t="shared" si="128"/>
        <v>0</v>
      </c>
      <c r="S217" s="165">
        <f t="shared" si="119"/>
        <v>0</v>
      </c>
      <c r="T217" s="165">
        <f t="shared" si="120"/>
        <v>0</v>
      </c>
      <c r="U217" s="166">
        <f t="shared" si="121"/>
        <v>0</v>
      </c>
      <c r="V217" s="153" t="str">
        <f t="shared" si="129"/>
        <v/>
      </c>
      <c r="W217" s="153" t="str">
        <f t="shared" si="130"/>
        <v/>
      </c>
      <c r="X217" s="244"/>
      <c r="Y217" s="154">
        <f t="shared" si="122"/>
        <v>0</v>
      </c>
      <c r="Z217" s="154" t="str">
        <f t="shared" si="118"/>
        <v>1000</v>
      </c>
      <c r="AA217" s="153" t="str">
        <f t="shared" si="131"/>
        <v/>
      </c>
      <c r="AD217" s="155" t="str">
        <f t="shared" si="123"/>
        <v/>
      </c>
      <c r="AI217" s="155">
        <f t="array" ref="AI217">MATCH(MIN(IF($AK$501:$AK$525&gt;=IF(G217&gt;1499,E217+7,E217+5), $AK$501:$AK$525)), $AK$501:$AK$525, 0)</f>
        <v>5</v>
      </c>
      <c r="AK217" s="233"/>
      <c r="AL217" s="233"/>
      <c r="AM217" s="155" t="str">
        <f t="shared" si="132"/>
        <v/>
      </c>
      <c r="AN217" s="155" t="str">
        <f t="shared" si="133"/>
        <v/>
      </c>
      <c r="AX217" s="155" t="str">
        <f t="shared" si="134"/>
        <v/>
      </c>
    </row>
    <row r="218" spans="1:50" s="155" customFormat="1" ht="30" hidden="1" customHeight="1">
      <c r="A218" s="141" t="str">
        <f t="shared" si="124"/>
        <v/>
      </c>
      <c r="B218" s="141" t="str">
        <f t="shared" si="125"/>
        <v/>
      </c>
      <c r="C218" s="157" t="str">
        <f>IF(D218="","",
    IF(ISERR(SEARCH("_",D218)),
        IFERROR(_xlfn.AGGREGATE(14,6,$C$12:C217,1),0)+1,
        IFERROR(
            VALUE(TRIM(MID(SUBSTITUTE(D218,"_",REPT(" ",LEN(D218))), (LEN(D218)-LEN(SUBSTITUTE(D218,"_",""))-1)*LEN(D218)+1, LEN(D218))))
            &amp; "." &amp;
            VALUE(TRIM(RIGHT(SUBSTITUTE(D218,"_",REPT(" ",LEN(D218))),LEN(D218)))),
            "")))</f>
        <v/>
      </c>
      <c r="D218" s="158"/>
      <c r="E218" s="159"/>
      <c r="F218" s="159"/>
      <c r="G218" s="159"/>
      <c r="H218" s="159"/>
      <c r="I218" s="158"/>
      <c r="J218" s="158"/>
      <c r="K218" s="159"/>
      <c r="L218" s="160"/>
      <c r="M218" s="159"/>
      <c r="N218" s="159"/>
      <c r="O218" s="161"/>
      <c r="P218" s="162" t="str">
        <f t="shared" si="126"/>
        <v/>
      </c>
      <c r="Q218" s="163" t="str">
        <f t="shared" si="127"/>
        <v/>
      </c>
      <c r="R218" s="164">
        <f t="shared" si="128"/>
        <v>0</v>
      </c>
      <c r="S218" s="165">
        <f t="shared" si="119"/>
        <v>0</v>
      </c>
      <c r="T218" s="165">
        <f t="shared" si="120"/>
        <v>0</v>
      </c>
      <c r="U218" s="166">
        <f t="shared" si="121"/>
        <v>0</v>
      </c>
      <c r="V218" s="153" t="str">
        <f t="shared" si="129"/>
        <v/>
      </c>
      <c r="W218" s="153" t="str">
        <f t="shared" si="130"/>
        <v/>
      </c>
      <c r="X218" s="244"/>
      <c r="Y218" s="154">
        <f t="shared" si="122"/>
        <v>0</v>
      </c>
      <c r="Z218" s="154" t="str">
        <f t="shared" si="118"/>
        <v>1000</v>
      </c>
      <c r="AA218" s="153" t="str">
        <f t="shared" si="131"/>
        <v/>
      </c>
      <c r="AD218" s="155" t="str">
        <f t="shared" si="123"/>
        <v/>
      </c>
      <c r="AI218" s="155">
        <f t="array" ref="AI218">MATCH(MIN(IF($AK$501:$AK$525&gt;=IF(G218&gt;1499,E218+7,E218+5), $AK$501:$AK$525)), $AK$501:$AK$525, 0)</f>
        <v>5</v>
      </c>
      <c r="AK218" s="233"/>
      <c r="AL218" s="233"/>
      <c r="AM218" s="155" t="str">
        <f t="shared" si="132"/>
        <v/>
      </c>
      <c r="AN218" s="155" t="str">
        <f t="shared" si="133"/>
        <v/>
      </c>
      <c r="AX218" s="155" t="str">
        <f t="shared" si="134"/>
        <v/>
      </c>
    </row>
    <row r="219" spans="1:50" s="155" customFormat="1" ht="30" hidden="1" customHeight="1">
      <c r="A219" s="141" t="str">
        <f t="shared" si="124"/>
        <v/>
      </c>
      <c r="B219" s="141" t="str">
        <f t="shared" si="125"/>
        <v/>
      </c>
      <c r="C219" s="157" t="str">
        <f>IF(D219="","",
    IF(ISERR(SEARCH("_",D219)),
        IFERROR(_xlfn.AGGREGATE(14,6,$C$12:C218,1),0)+1,
        IFERROR(
            VALUE(TRIM(MID(SUBSTITUTE(D219,"_",REPT(" ",LEN(D219))), (LEN(D219)-LEN(SUBSTITUTE(D219,"_",""))-1)*LEN(D219)+1, LEN(D219))))
            &amp; "." &amp;
            VALUE(TRIM(RIGHT(SUBSTITUTE(D219,"_",REPT(" ",LEN(D219))),LEN(D219)))),
            "")))</f>
        <v/>
      </c>
      <c r="D219" s="158"/>
      <c r="E219" s="159"/>
      <c r="F219" s="159"/>
      <c r="G219" s="159"/>
      <c r="H219" s="159"/>
      <c r="I219" s="158"/>
      <c r="J219" s="158"/>
      <c r="K219" s="159"/>
      <c r="L219" s="160"/>
      <c r="M219" s="159"/>
      <c r="N219" s="159"/>
      <c r="O219" s="161"/>
      <c r="P219" s="162" t="str">
        <f t="shared" si="126"/>
        <v/>
      </c>
      <c r="Q219" s="163" t="str">
        <f t="shared" si="127"/>
        <v/>
      </c>
      <c r="R219" s="164">
        <f t="shared" si="128"/>
        <v>0</v>
      </c>
      <c r="S219" s="165">
        <f t="shared" si="119"/>
        <v>0</v>
      </c>
      <c r="T219" s="165">
        <f t="shared" si="120"/>
        <v>0</v>
      </c>
      <c r="U219" s="166">
        <f t="shared" si="121"/>
        <v>0</v>
      </c>
      <c r="V219" s="153" t="str">
        <f t="shared" si="129"/>
        <v/>
      </c>
      <c r="W219" s="153" t="str">
        <f t="shared" si="130"/>
        <v/>
      </c>
      <c r="X219" s="244"/>
      <c r="Y219" s="154">
        <f t="shared" si="122"/>
        <v>0</v>
      </c>
      <c r="Z219" s="154" t="str">
        <f t="shared" si="118"/>
        <v>1000</v>
      </c>
      <c r="AA219" s="153" t="str">
        <f t="shared" si="131"/>
        <v/>
      </c>
      <c r="AD219" s="155" t="str">
        <f t="shared" si="123"/>
        <v/>
      </c>
      <c r="AI219" s="155">
        <f t="array" ref="AI219">MATCH(MIN(IF($AK$501:$AK$525&gt;=IF(G219&gt;1499,E219+7,E219+5), $AK$501:$AK$525)), $AK$501:$AK$525, 0)</f>
        <v>5</v>
      </c>
      <c r="AK219" s="233"/>
      <c r="AL219" s="233"/>
      <c r="AM219" s="155" t="str">
        <f t="shared" si="132"/>
        <v/>
      </c>
      <c r="AN219" s="155" t="str">
        <f t="shared" si="133"/>
        <v/>
      </c>
      <c r="AX219" s="155" t="str">
        <f t="shared" si="134"/>
        <v/>
      </c>
    </row>
    <row r="220" spans="1:50" s="155" customFormat="1" ht="30" hidden="1" customHeight="1">
      <c r="A220" s="141" t="str">
        <f t="shared" si="124"/>
        <v/>
      </c>
      <c r="B220" s="141" t="str">
        <f t="shared" si="125"/>
        <v/>
      </c>
      <c r="C220" s="157" t="str">
        <f>IF(D220="","",
    IF(ISERR(SEARCH("_",D220)),
        IFERROR(_xlfn.AGGREGATE(14,6,$C$12:C219,1),0)+1,
        IFERROR(
            VALUE(TRIM(MID(SUBSTITUTE(D220,"_",REPT(" ",LEN(D220))), (LEN(D220)-LEN(SUBSTITUTE(D220,"_",""))-1)*LEN(D220)+1, LEN(D220))))
            &amp; "." &amp;
            VALUE(TRIM(RIGHT(SUBSTITUTE(D220,"_",REPT(" ",LEN(D220))),LEN(D220)))),
            "")))</f>
        <v/>
      </c>
      <c r="D220" s="158"/>
      <c r="E220" s="159"/>
      <c r="F220" s="159"/>
      <c r="G220" s="159"/>
      <c r="H220" s="159"/>
      <c r="I220" s="158"/>
      <c r="J220" s="158"/>
      <c r="K220" s="159"/>
      <c r="L220" s="160"/>
      <c r="M220" s="159"/>
      <c r="N220" s="159"/>
      <c r="O220" s="161"/>
      <c r="P220" s="162" t="str">
        <f t="shared" si="126"/>
        <v/>
      </c>
      <c r="Q220" s="163" t="str">
        <f t="shared" si="127"/>
        <v/>
      </c>
      <c r="R220" s="164">
        <f t="shared" si="128"/>
        <v>0</v>
      </c>
      <c r="S220" s="165">
        <f t="shared" si="119"/>
        <v>0</v>
      </c>
      <c r="T220" s="165">
        <f t="shared" si="120"/>
        <v>0</v>
      </c>
      <c r="U220" s="166">
        <f t="shared" si="121"/>
        <v>0</v>
      </c>
      <c r="V220" s="153" t="str">
        <f t="shared" si="129"/>
        <v/>
      </c>
      <c r="W220" s="153" t="str">
        <f t="shared" si="130"/>
        <v/>
      </c>
      <c r="X220" s="244"/>
      <c r="Y220" s="154">
        <f t="shared" si="122"/>
        <v>0</v>
      </c>
      <c r="Z220" s="154" t="str">
        <f t="shared" si="118"/>
        <v>1000</v>
      </c>
      <c r="AA220" s="153" t="str">
        <f t="shared" si="131"/>
        <v/>
      </c>
      <c r="AD220" s="155" t="str">
        <f t="shared" si="123"/>
        <v/>
      </c>
      <c r="AI220" s="155">
        <f t="array" ref="AI220">MATCH(MIN(IF($AK$501:$AK$525&gt;=IF(G220&gt;1499,E220+7,E220+5), $AK$501:$AK$525)), $AK$501:$AK$525, 0)</f>
        <v>5</v>
      </c>
      <c r="AK220" s="233"/>
      <c r="AL220" s="233"/>
      <c r="AM220" s="155" t="str">
        <f t="shared" si="132"/>
        <v/>
      </c>
      <c r="AN220" s="155" t="str">
        <f t="shared" si="133"/>
        <v/>
      </c>
      <c r="AX220" s="155" t="str">
        <f t="shared" si="134"/>
        <v/>
      </c>
    </row>
    <row r="221" spans="1:50" s="155" customFormat="1" ht="30" hidden="1" customHeight="1">
      <c r="A221" s="141" t="str">
        <f t="shared" si="124"/>
        <v/>
      </c>
      <c r="B221" s="141" t="str">
        <f t="shared" si="125"/>
        <v/>
      </c>
      <c r="C221" s="157" t="str">
        <f>IF(D221="","",
    IF(ISERR(SEARCH("_",D221)),
        IFERROR(_xlfn.AGGREGATE(14,6,$C$12:C220,1),0)+1,
        IFERROR(
            VALUE(TRIM(MID(SUBSTITUTE(D221,"_",REPT(" ",LEN(D221))), (LEN(D221)-LEN(SUBSTITUTE(D221,"_",""))-1)*LEN(D221)+1, LEN(D221))))
            &amp; "." &amp;
            VALUE(TRIM(RIGHT(SUBSTITUTE(D221,"_",REPT(" ",LEN(D221))),LEN(D221)))),
            "")))</f>
        <v/>
      </c>
      <c r="D221" s="158"/>
      <c r="E221" s="159"/>
      <c r="F221" s="159"/>
      <c r="G221" s="159"/>
      <c r="H221" s="159"/>
      <c r="I221" s="158"/>
      <c r="J221" s="158"/>
      <c r="K221" s="159"/>
      <c r="L221" s="160"/>
      <c r="M221" s="159"/>
      <c r="N221" s="159"/>
      <c r="O221" s="161"/>
      <c r="P221" s="162" t="str">
        <f t="shared" si="126"/>
        <v/>
      </c>
      <c r="Q221" s="163" t="str">
        <f t="shared" si="127"/>
        <v/>
      </c>
      <c r="R221" s="164">
        <f t="shared" si="128"/>
        <v>0</v>
      </c>
      <c r="S221" s="165">
        <f t="shared" si="119"/>
        <v>0</v>
      </c>
      <c r="T221" s="165">
        <f t="shared" si="120"/>
        <v>0</v>
      </c>
      <c r="U221" s="166">
        <f t="shared" si="121"/>
        <v>0</v>
      </c>
      <c r="V221" s="153" t="str">
        <f t="shared" si="129"/>
        <v/>
      </c>
      <c r="W221" s="153" t="str">
        <f t="shared" si="130"/>
        <v/>
      </c>
      <c r="X221" s="244"/>
      <c r="Y221" s="154">
        <f t="shared" si="122"/>
        <v>0</v>
      </c>
      <c r="Z221" s="154" t="str">
        <f t="shared" si="118"/>
        <v>1000</v>
      </c>
      <c r="AA221" s="153" t="str">
        <f t="shared" si="131"/>
        <v/>
      </c>
      <c r="AD221" s="155" t="str">
        <f t="shared" si="123"/>
        <v/>
      </c>
      <c r="AI221" s="155">
        <f t="array" ref="AI221">MATCH(MIN(IF($AK$501:$AK$525&gt;=IF(G221&gt;1499,E221+7,E221+5), $AK$501:$AK$525)), $AK$501:$AK$525, 0)</f>
        <v>5</v>
      </c>
      <c r="AK221" s="233"/>
      <c r="AL221" s="233"/>
      <c r="AM221" s="155" t="str">
        <f t="shared" si="132"/>
        <v/>
      </c>
      <c r="AN221" s="155" t="str">
        <f t="shared" si="133"/>
        <v/>
      </c>
      <c r="AX221" s="155" t="str">
        <f t="shared" si="134"/>
        <v/>
      </c>
    </row>
    <row r="222" spans="1:50" s="155" customFormat="1" ht="30" hidden="1" customHeight="1">
      <c r="A222" s="141" t="str">
        <f t="shared" si="124"/>
        <v/>
      </c>
      <c r="B222" s="141" t="str">
        <f t="shared" si="125"/>
        <v/>
      </c>
      <c r="C222" s="157" t="str">
        <f>IF(D222="","",
    IF(ISERR(SEARCH("_",D222)),
        IFERROR(_xlfn.AGGREGATE(14,6,$C$12:C221,1),0)+1,
        IFERROR(
            VALUE(TRIM(MID(SUBSTITUTE(D222,"_",REPT(" ",LEN(D222))), (LEN(D222)-LEN(SUBSTITUTE(D222,"_",""))-1)*LEN(D222)+1, LEN(D222))))
            &amp; "." &amp;
            VALUE(TRIM(RIGHT(SUBSTITUTE(D222,"_",REPT(" ",LEN(D222))),LEN(D222)))),
            "")))</f>
        <v/>
      </c>
      <c r="D222" s="158"/>
      <c r="E222" s="159"/>
      <c r="F222" s="159"/>
      <c r="G222" s="159"/>
      <c r="H222" s="159"/>
      <c r="I222" s="158"/>
      <c r="J222" s="158"/>
      <c r="K222" s="159"/>
      <c r="L222" s="160"/>
      <c r="M222" s="159"/>
      <c r="N222" s="159"/>
      <c r="O222" s="161"/>
      <c r="P222" s="162" t="str">
        <f t="shared" si="126"/>
        <v/>
      </c>
      <c r="Q222" s="163" t="str">
        <f t="shared" si="127"/>
        <v/>
      </c>
      <c r="R222" s="164">
        <f t="shared" si="128"/>
        <v>0</v>
      </c>
      <c r="S222" s="165">
        <f t="shared" si="119"/>
        <v>0</v>
      </c>
      <c r="T222" s="165">
        <f t="shared" si="120"/>
        <v>0</v>
      </c>
      <c r="U222" s="166">
        <f t="shared" si="121"/>
        <v>0</v>
      </c>
      <c r="V222" s="153" t="str">
        <f t="shared" si="129"/>
        <v/>
      </c>
      <c r="W222" s="153" t="str">
        <f t="shared" si="130"/>
        <v/>
      </c>
      <c r="X222" s="244"/>
      <c r="Y222" s="154">
        <f t="shared" si="122"/>
        <v>0</v>
      </c>
      <c r="Z222" s="154" t="str">
        <f t="shared" si="118"/>
        <v>1000</v>
      </c>
      <c r="AA222" s="153" t="str">
        <f t="shared" si="131"/>
        <v/>
      </c>
      <c r="AD222" s="155" t="str">
        <f t="shared" si="123"/>
        <v/>
      </c>
      <c r="AI222" s="155">
        <f t="array" ref="AI222">MATCH(MIN(IF($AK$501:$AK$525&gt;=IF(G222&gt;1499,E222+7,E222+5), $AK$501:$AK$525)), $AK$501:$AK$525, 0)</f>
        <v>5</v>
      </c>
      <c r="AK222" s="233"/>
      <c r="AL222" s="233"/>
      <c r="AM222" s="155" t="str">
        <f t="shared" si="132"/>
        <v/>
      </c>
      <c r="AN222" s="155" t="str">
        <f t="shared" si="133"/>
        <v/>
      </c>
      <c r="AX222" s="155" t="str">
        <f t="shared" si="134"/>
        <v/>
      </c>
    </row>
    <row r="223" spans="1:50" s="155" customFormat="1" ht="30" hidden="1" customHeight="1">
      <c r="A223" s="141" t="str">
        <f t="shared" si="124"/>
        <v/>
      </c>
      <c r="B223" s="141" t="str">
        <f t="shared" si="125"/>
        <v/>
      </c>
      <c r="C223" s="157" t="str">
        <f>IF(D223="","",
    IF(ISERR(SEARCH("_",D223)),
        IFERROR(_xlfn.AGGREGATE(14,6,$C$12:C222,1),0)+1,
        IFERROR(
            VALUE(TRIM(MID(SUBSTITUTE(D223,"_",REPT(" ",LEN(D223))), (LEN(D223)-LEN(SUBSTITUTE(D223,"_",""))-1)*LEN(D223)+1, LEN(D223))))
            &amp; "." &amp;
            VALUE(TRIM(RIGHT(SUBSTITUTE(D223,"_",REPT(" ",LEN(D223))),LEN(D223)))),
            "")))</f>
        <v/>
      </c>
      <c r="D223" s="158"/>
      <c r="E223" s="159"/>
      <c r="F223" s="159"/>
      <c r="G223" s="159"/>
      <c r="H223" s="159"/>
      <c r="I223" s="158"/>
      <c r="J223" s="158"/>
      <c r="K223" s="159"/>
      <c r="L223" s="160"/>
      <c r="M223" s="159"/>
      <c r="N223" s="159"/>
      <c r="O223" s="161"/>
      <c r="P223" s="162" t="str">
        <f t="shared" si="126"/>
        <v/>
      </c>
      <c r="Q223" s="163" t="str">
        <f t="shared" si="127"/>
        <v/>
      </c>
      <c r="R223" s="164">
        <f t="shared" si="128"/>
        <v>0</v>
      </c>
      <c r="S223" s="165">
        <f t="shared" si="119"/>
        <v>0</v>
      </c>
      <c r="T223" s="165">
        <f t="shared" si="120"/>
        <v>0</v>
      </c>
      <c r="U223" s="166">
        <f t="shared" si="121"/>
        <v>0</v>
      </c>
      <c r="V223" s="153" t="str">
        <f t="shared" si="129"/>
        <v/>
      </c>
      <c r="W223" s="153" t="str">
        <f t="shared" si="130"/>
        <v/>
      </c>
      <c r="X223" s="244"/>
      <c r="Y223" s="154">
        <f t="shared" si="122"/>
        <v>0</v>
      </c>
      <c r="Z223" s="154" t="str">
        <f t="shared" si="118"/>
        <v>1000</v>
      </c>
      <c r="AA223" s="153" t="str">
        <f t="shared" si="131"/>
        <v/>
      </c>
      <c r="AD223" s="155" t="str">
        <f t="shared" si="123"/>
        <v/>
      </c>
      <c r="AI223" s="155">
        <f t="array" ref="AI223">MATCH(MIN(IF($AK$501:$AK$525&gt;=IF(G223&gt;1499,E223+7,E223+5), $AK$501:$AK$525)), $AK$501:$AK$525, 0)</f>
        <v>5</v>
      </c>
      <c r="AK223" s="233"/>
      <c r="AL223" s="233"/>
      <c r="AM223" s="155" t="str">
        <f t="shared" si="132"/>
        <v/>
      </c>
      <c r="AN223" s="155" t="str">
        <f t="shared" si="133"/>
        <v/>
      </c>
      <c r="AX223" s="155" t="str">
        <f t="shared" si="134"/>
        <v/>
      </c>
    </row>
    <row r="224" spans="1:50" s="155" customFormat="1" ht="30" hidden="1" customHeight="1">
      <c r="A224" s="141" t="str">
        <f t="shared" si="124"/>
        <v/>
      </c>
      <c r="B224" s="141" t="str">
        <f t="shared" si="125"/>
        <v/>
      </c>
      <c r="C224" s="157" t="str">
        <f>IF(D224="","",
    IF(ISERR(SEARCH("_",D224)),
        IFERROR(_xlfn.AGGREGATE(14,6,$C$12:C223,1),0)+1,
        IFERROR(
            VALUE(TRIM(MID(SUBSTITUTE(D224,"_",REPT(" ",LEN(D224))), (LEN(D224)-LEN(SUBSTITUTE(D224,"_",""))-1)*LEN(D224)+1, LEN(D224))))
            &amp; "." &amp;
            VALUE(TRIM(RIGHT(SUBSTITUTE(D224,"_",REPT(" ",LEN(D224))),LEN(D224)))),
            "")))</f>
        <v/>
      </c>
      <c r="D224" s="158"/>
      <c r="E224" s="159"/>
      <c r="F224" s="159"/>
      <c r="G224" s="159"/>
      <c r="H224" s="159"/>
      <c r="I224" s="158"/>
      <c r="J224" s="158"/>
      <c r="K224" s="159"/>
      <c r="L224" s="160"/>
      <c r="M224" s="159"/>
      <c r="N224" s="159"/>
      <c r="O224" s="161"/>
      <c r="P224" s="162" t="str">
        <f t="shared" si="126"/>
        <v/>
      </c>
      <c r="Q224" s="163" t="str">
        <f t="shared" si="127"/>
        <v/>
      </c>
      <c r="R224" s="164">
        <f t="shared" si="128"/>
        <v>0</v>
      </c>
      <c r="S224" s="165">
        <f t="shared" si="119"/>
        <v>0</v>
      </c>
      <c r="T224" s="165">
        <f t="shared" si="120"/>
        <v>0</v>
      </c>
      <c r="U224" s="166">
        <f t="shared" si="121"/>
        <v>0</v>
      </c>
      <c r="V224" s="153" t="str">
        <f t="shared" si="129"/>
        <v/>
      </c>
      <c r="W224" s="153" t="str">
        <f t="shared" si="130"/>
        <v/>
      </c>
      <c r="X224" s="244"/>
      <c r="Y224" s="154">
        <f t="shared" si="122"/>
        <v>0</v>
      </c>
      <c r="Z224" s="154" t="str">
        <f t="shared" si="118"/>
        <v>1000</v>
      </c>
      <c r="AA224" s="153" t="str">
        <f t="shared" si="131"/>
        <v/>
      </c>
      <c r="AD224" s="155" t="str">
        <f t="shared" si="123"/>
        <v/>
      </c>
      <c r="AI224" s="155">
        <f t="array" ref="AI224">MATCH(MIN(IF($AK$501:$AK$525&gt;=IF(G224&gt;1499,E224+7,E224+5), $AK$501:$AK$525)), $AK$501:$AK$525, 0)</f>
        <v>5</v>
      </c>
      <c r="AK224" s="233"/>
      <c r="AL224" s="233"/>
      <c r="AM224" s="155" t="str">
        <f t="shared" si="132"/>
        <v/>
      </c>
      <c r="AN224" s="155" t="str">
        <f t="shared" si="133"/>
        <v/>
      </c>
      <c r="AX224" s="155" t="str">
        <f t="shared" si="134"/>
        <v/>
      </c>
    </row>
    <row r="225" spans="1:50" s="155" customFormat="1" ht="30" hidden="1" customHeight="1">
      <c r="A225" s="141" t="str">
        <f t="shared" si="124"/>
        <v/>
      </c>
      <c r="B225" s="141" t="str">
        <f t="shared" si="125"/>
        <v/>
      </c>
      <c r="C225" s="157" t="str">
        <f>IF(D225="","",
    IF(ISERR(SEARCH("_",D225)),
        IFERROR(_xlfn.AGGREGATE(14,6,$C$12:C224,1),0)+1,
        IFERROR(
            VALUE(TRIM(MID(SUBSTITUTE(D225,"_",REPT(" ",LEN(D225))), (LEN(D225)-LEN(SUBSTITUTE(D225,"_",""))-1)*LEN(D225)+1, LEN(D225))))
            &amp; "." &amp;
            VALUE(TRIM(RIGHT(SUBSTITUTE(D225,"_",REPT(" ",LEN(D225))),LEN(D225)))),
            "")))</f>
        <v/>
      </c>
      <c r="D225" s="158"/>
      <c r="E225" s="159"/>
      <c r="F225" s="159"/>
      <c r="G225" s="159"/>
      <c r="H225" s="159"/>
      <c r="I225" s="158"/>
      <c r="J225" s="158"/>
      <c r="K225" s="159"/>
      <c r="L225" s="160"/>
      <c r="M225" s="159"/>
      <c r="N225" s="159"/>
      <c r="O225" s="161"/>
      <c r="P225" s="162" t="str">
        <f t="shared" si="126"/>
        <v/>
      </c>
      <c r="Q225" s="163" t="str">
        <f t="shared" si="127"/>
        <v/>
      </c>
      <c r="R225" s="164">
        <f t="shared" si="128"/>
        <v>0</v>
      </c>
      <c r="S225" s="165">
        <f t="shared" si="119"/>
        <v>0</v>
      </c>
      <c r="T225" s="165">
        <f t="shared" si="120"/>
        <v>0</v>
      </c>
      <c r="U225" s="166">
        <f t="shared" si="121"/>
        <v>0</v>
      </c>
      <c r="V225" s="153" t="str">
        <f t="shared" si="129"/>
        <v/>
      </c>
      <c r="W225" s="153" t="str">
        <f t="shared" si="130"/>
        <v/>
      </c>
      <c r="X225" s="244"/>
      <c r="Y225" s="154">
        <f t="shared" si="122"/>
        <v>0</v>
      </c>
      <c r="Z225" s="154" t="str">
        <f t="shared" si="118"/>
        <v>1000</v>
      </c>
      <c r="AA225" s="153" t="str">
        <f t="shared" si="131"/>
        <v/>
      </c>
      <c r="AD225" s="155" t="str">
        <f t="shared" si="123"/>
        <v/>
      </c>
      <c r="AI225" s="155">
        <f t="array" ref="AI225">MATCH(MIN(IF($AK$501:$AK$525&gt;=IF(G225&gt;1499,E225+7,E225+5), $AK$501:$AK$525)), $AK$501:$AK$525, 0)</f>
        <v>5</v>
      </c>
      <c r="AK225" s="233"/>
      <c r="AL225" s="233"/>
      <c r="AM225" s="155" t="str">
        <f t="shared" si="132"/>
        <v/>
      </c>
      <c r="AN225" s="155" t="str">
        <f t="shared" si="133"/>
        <v/>
      </c>
      <c r="AX225" s="155" t="str">
        <f t="shared" si="134"/>
        <v/>
      </c>
    </row>
    <row r="226" spans="1:50" s="155" customFormat="1" ht="30" hidden="1" customHeight="1">
      <c r="A226" s="141" t="str">
        <f t="shared" si="124"/>
        <v/>
      </c>
      <c r="B226" s="141" t="str">
        <f t="shared" si="125"/>
        <v/>
      </c>
      <c r="C226" s="157" t="str">
        <f>IF(D226="","",
    IF(ISERR(SEARCH("_",D226)),
        IFERROR(_xlfn.AGGREGATE(14,6,$C$12:C225,1),0)+1,
        IFERROR(
            VALUE(TRIM(MID(SUBSTITUTE(D226,"_",REPT(" ",LEN(D226))), (LEN(D226)-LEN(SUBSTITUTE(D226,"_",""))-1)*LEN(D226)+1, LEN(D226))))
            &amp; "." &amp;
            VALUE(TRIM(RIGHT(SUBSTITUTE(D226,"_",REPT(" ",LEN(D226))),LEN(D226)))),
            "")))</f>
        <v/>
      </c>
      <c r="D226" s="158"/>
      <c r="E226" s="159"/>
      <c r="F226" s="159"/>
      <c r="G226" s="159"/>
      <c r="H226" s="159"/>
      <c r="I226" s="158"/>
      <c r="J226" s="158"/>
      <c r="K226" s="159"/>
      <c r="L226" s="160"/>
      <c r="M226" s="159"/>
      <c r="N226" s="159"/>
      <c r="O226" s="161"/>
      <c r="P226" s="162" t="str">
        <f t="shared" si="126"/>
        <v/>
      </c>
      <c r="Q226" s="163" t="str">
        <f t="shared" si="127"/>
        <v/>
      </c>
      <c r="R226" s="164">
        <f t="shared" si="128"/>
        <v>0</v>
      </c>
      <c r="S226" s="165">
        <f t="shared" si="119"/>
        <v>0</v>
      </c>
      <c r="T226" s="165">
        <f t="shared" si="120"/>
        <v>0</v>
      </c>
      <c r="U226" s="166">
        <f t="shared" si="121"/>
        <v>0</v>
      </c>
      <c r="V226" s="153" t="str">
        <f t="shared" si="129"/>
        <v/>
      </c>
      <c r="W226" s="153" t="str">
        <f t="shared" si="130"/>
        <v/>
      </c>
      <c r="X226" s="244"/>
      <c r="Y226" s="154">
        <f t="shared" si="122"/>
        <v>0</v>
      </c>
      <c r="Z226" s="154" t="str">
        <f t="shared" si="118"/>
        <v>1000</v>
      </c>
      <c r="AA226" s="153" t="str">
        <f t="shared" si="131"/>
        <v/>
      </c>
      <c r="AD226" s="155" t="str">
        <f t="shared" si="123"/>
        <v/>
      </c>
      <c r="AI226" s="155">
        <f t="array" ref="AI226">MATCH(MIN(IF($AK$501:$AK$525&gt;=IF(G226&gt;1499,E226+7,E226+5), $AK$501:$AK$525)), $AK$501:$AK$525, 0)</f>
        <v>5</v>
      </c>
      <c r="AK226" s="233"/>
      <c r="AL226" s="233"/>
      <c r="AM226" s="155" t="str">
        <f t="shared" si="132"/>
        <v/>
      </c>
      <c r="AN226" s="155" t="str">
        <f t="shared" si="133"/>
        <v/>
      </c>
      <c r="AX226" s="155" t="str">
        <f t="shared" si="134"/>
        <v/>
      </c>
    </row>
    <row r="227" spans="1:50" s="155" customFormat="1" ht="30" hidden="1" customHeight="1">
      <c r="A227" s="141" t="str">
        <f t="shared" si="124"/>
        <v/>
      </c>
      <c r="B227" s="141" t="str">
        <f t="shared" si="125"/>
        <v/>
      </c>
      <c r="C227" s="157" t="str">
        <f>IF(D227="","",
    IF(ISERR(SEARCH("_",D227)),
        IFERROR(_xlfn.AGGREGATE(14,6,$C$12:C226,1),0)+1,
        IFERROR(
            VALUE(TRIM(MID(SUBSTITUTE(D227,"_",REPT(" ",LEN(D227))), (LEN(D227)-LEN(SUBSTITUTE(D227,"_",""))-1)*LEN(D227)+1, LEN(D227))))
            &amp; "." &amp;
            VALUE(TRIM(RIGHT(SUBSTITUTE(D227,"_",REPT(" ",LEN(D227))),LEN(D227)))),
            "")))</f>
        <v/>
      </c>
      <c r="D227" s="158"/>
      <c r="E227" s="159"/>
      <c r="F227" s="159"/>
      <c r="G227" s="159"/>
      <c r="H227" s="159"/>
      <c r="I227" s="158"/>
      <c r="J227" s="158"/>
      <c r="K227" s="159"/>
      <c r="L227" s="160"/>
      <c r="M227" s="159"/>
      <c r="N227" s="159"/>
      <c r="O227" s="161"/>
      <c r="P227" s="162" t="str">
        <f t="shared" si="126"/>
        <v/>
      </c>
      <c r="Q227" s="163" t="str">
        <f t="shared" si="127"/>
        <v/>
      </c>
      <c r="R227" s="164">
        <f t="shared" si="128"/>
        <v>0</v>
      </c>
      <c r="S227" s="165">
        <f t="shared" si="119"/>
        <v>0</v>
      </c>
      <c r="T227" s="165">
        <f t="shared" si="120"/>
        <v>0</v>
      </c>
      <c r="U227" s="166">
        <f t="shared" si="121"/>
        <v>0</v>
      </c>
      <c r="V227" s="153" t="str">
        <f t="shared" si="129"/>
        <v/>
      </c>
      <c r="W227" s="153" t="str">
        <f t="shared" si="130"/>
        <v/>
      </c>
      <c r="X227" s="244"/>
      <c r="Y227" s="154">
        <f t="shared" si="122"/>
        <v>0</v>
      </c>
      <c r="Z227" s="154" t="str">
        <f t="shared" si="118"/>
        <v>1000</v>
      </c>
      <c r="AA227" s="153" t="str">
        <f t="shared" si="131"/>
        <v/>
      </c>
      <c r="AD227" s="155" t="str">
        <f t="shared" si="123"/>
        <v/>
      </c>
      <c r="AI227" s="155">
        <f t="array" ref="AI227">MATCH(MIN(IF($AK$501:$AK$525&gt;=IF(G227&gt;1499,E227+7,E227+5), $AK$501:$AK$525)), $AK$501:$AK$525, 0)</f>
        <v>5</v>
      </c>
      <c r="AK227" s="233"/>
      <c r="AL227" s="233"/>
      <c r="AM227" s="155" t="str">
        <f t="shared" si="132"/>
        <v/>
      </c>
      <c r="AN227" s="155" t="str">
        <f t="shared" si="133"/>
        <v/>
      </c>
      <c r="AX227" s="155" t="str">
        <f t="shared" si="134"/>
        <v/>
      </c>
    </row>
    <row r="228" spans="1:50" s="155" customFormat="1" ht="30" hidden="1" customHeight="1">
      <c r="A228" s="141" t="str">
        <f t="shared" si="124"/>
        <v/>
      </c>
      <c r="B228" s="141" t="str">
        <f t="shared" si="125"/>
        <v/>
      </c>
      <c r="C228" s="157" t="str">
        <f>IF(D228="","",
    IF(ISERR(SEARCH("_",D228)),
        IFERROR(_xlfn.AGGREGATE(14,6,$C$12:C227,1),0)+1,
        IFERROR(
            VALUE(TRIM(MID(SUBSTITUTE(D228,"_",REPT(" ",LEN(D228))), (LEN(D228)-LEN(SUBSTITUTE(D228,"_",""))-1)*LEN(D228)+1, LEN(D228))))
            &amp; "." &amp;
            VALUE(TRIM(RIGHT(SUBSTITUTE(D228,"_",REPT(" ",LEN(D228))),LEN(D228)))),
            "")))</f>
        <v/>
      </c>
      <c r="D228" s="158"/>
      <c r="E228" s="159"/>
      <c r="F228" s="159"/>
      <c r="G228" s="159"/>
      <c r="H228" s="159"/>
      <c r="I228" s="158"/>
      <c r="J228" s="158"/>
      <c r="K228" s="159"/>
      <c r="L228" s="160"/>
      <c r="M228" s="159"/>
      <c r="N228" s="159"/>
      <c r="O228" s="161"/>
      <c r="P228" s="162" t="str">
        <f t="shared" si="126"/>
        <v/>
      </c>
      <c r="Q228" s="163" t="str">
        <f t="shared" si="127"/>
        <v/>
      </c>
      <c r="R228" s="164">
        <f t="shared" si="128"/>
        <v>0</v>
      </c>
      <c r="S228" s="165">
        <f t="shared" si="119"/>
        <v>0</v>
      </c>
      <c r="T228" s="165">
        <f t="shared" si="120"/>
        <v>0</v>
      </c>
      <c r="U228" s="166">
        <f t="shared" si="121"/>
        <v>0</v>
      </c>
      <c r="V228" s="153" t="str">
        <f t="shared" si="129"/>
        <v/>
      </c>
      <c r="W228" s="153" t="str">
        <f t="shared" si="130"/>
        <v/>
      </c>
      <c r="X228" s="244"/>
      <c r="Y228" s="154">
        <f t="shared" si="122"/>
        <v>0</v>
      </c>
      <c r="Z228" s="154" t="str">
        <f t="shared" si="118"/>
        <v>1000</v>
      </c>
      <c r="AA228" s="153" t="str">
        <f t="shared" si="131"/>
        <v/>
      </c>
      <c r="AD228" s="155" t="str">
        <f t="shared" si="123"/>
        <v/>
      </c>
      <c r="AI228" s="155">
        <f t="array" ref="AI228">MATCH(MIN(IF($AK$501:$AK$525&gt;=IF(G228&gt;1499,E228+7,E228+5), $AK$501:$AK$525)), $AK$501:$AK$525, 0)</f>
        <v>5</v>
      </c>
      <c r="AK228" s="233"/>
      <c r="AL228" s="233"/>
      <c r="AM228" s="155" t="str">
        <f t="shared" si="132"/>
        <v/>
      </c>
      <c r="AN228" s="155" t="str">
        <f t="shared" si="133"/>
        <v/>
      </c>
      <c r="AX228" s="155" t="str">
        <f t="shared" si="134"/>
        <v/>
      </c>
    </row>
    <row r="229" spans="1:50" s="155" customFormat="1" ht="30" hidden="1" customHeight="1">
      <c r="A229" s="141" t="str">
        <f t="shared" si="124"/>
        <v/>
      </c>
      <c r="B229" s="141" t="str">
        <f t="shared" si="125"/>
        <v/>
      </c>
      <c r="C229" s="157" t="str">
        <f>IF(D229="","",
    IF(ISERR(SEARCH("_",D229)),
        IFERROR(_xlfn.AGGREGATE(14,6,$C$12:C228,1),0)+1,
        IFERROR(
            VALUE(TRIM(MID(SUBSTITUTE(D229,"_",REPT(" ",LEN(D229))), (LEN(D229)-LEN(SUBSTITUTE(D229,"_",""))-1)*LEN(D229)+1, LEN(D229))))
            &amp; "." &amp;
            VALUE(TRIM(RIGHT(SUBSTITUTE(D229,"_",REPT(" ",LEN(D229))),LEN(D229)))),
            "")))</f>
        <v/>
      </c>
      <c r="D229" s="158"/>
      <c r="E229" s="159"/>
      <c r="F229" s="159"/>
      <c r="G229" s="159"/>
      <c r="H229" s="159"/>
      <c r="I229" s="158"/>
      <c r="J229" s="158"/>
      <c r="K229" s="159"/>
      <c r="L229" s="160"/>
      <c r="M229" s="159"/>
      <c r="N229" s="159"/>
      <c r="O229" s="161"/>
      <c r="P229" s="162" t="str">
        <f t="shared" si="126"/>
        <v/>
      </c>
      <c r="Q229" s="163" t="str">
        <f t="shared" si="127"/>
        <v/>
      </c>
      <c r="R229" s="164">
        <f t="shared" si="128"/>
        <v>0</v>
      </c>
      <c r="S229" s="165">
        <f t="shared" si="119"/>
        <v>0</v>
      </c>
      <c r="T229" s="165">
        <f t="shared" si="120"/>
        <v>0</v>
      </c>
      <c r="U229" s="166">
        <f t="shared" si="121"/>
        <v>0</v>
      </c>
      <c r="V229" s="153" t="str">
        <f t="shared" si="129"/>
        <v/>
      </c>
      <c r="W229" s="153" t="str">
        <f t="shared" si="130"/>
        <v/>
      </c>
      <c r="X229" s="244"/>
      <c r="Y229" s="154">
        <f t="shared" si="122"/>
        <v>0</v>
      </c>
      <c r="Z229" s="154" t="str">
        <f t="shared" si="118"/>
        <v>1000</v>
      </c>
      <c r="AA229" s="153" t="str">
        <f t="shared" si="131"/>
        <v/>
      </c>
      <c r="AD229" s="155" t="str">
        <f t="shared" si="123"/>
        <v/>
      </c>
      <c r="AI229" s="155">
        <f t="array" ref="AI229">MATCH(MIN(IF($AK$501:$AK$525&gt;=IF(G229&gt;1499,E229+7,E229+5), $AK$501:$AK$525)), $AK$501:$AK$525, 0)</f>
        <v>5</v>
      </c>
      <c r="AK229" s="233"/>
      <c r="AL229" s="233"/>
      <c r="AM229" s="155" t="str">
        <f t="shared" si="132"/>
        <v/>
      </c>
      <c r="AN229" s="155" t="str">
        <f t="shared" si="133"/>
        <v/>
      </c>
      <c r="AX229" s="155" t="str">
        <f t="shared" si="134"/>
        <v/>
      </c>
    </row>
    <row r="230" spans="1:50" s="155" customFormat="1" ht="30" hidden="1" customHeight="1">
      <c r="A230" s="141" t="str">
        <f t="shared" si="124"/>
        <v/>
      </c>
      <c r="B230" s="141" t="str">
        <f t="shared" si="125"/>
        <v/>
      </c>
      <c r="C230" s="157" t="str">
        <f>IF(D230="","",
    IF(ISERR(SEARCH("_",D230)),
        IFERROR(_xlfn.AGGREGATE(14,6,$C$12:C229,1),0)+1,
        IFERROR(
            VALUE(TRIM(MID(SUBSTITUTE(D230,"_",REPT(" ",LEN(D230))), (LEN(D230)-LEN(SUBSTITUTE(D230,"_",""))-1)*LEN(D230)+1, LEN(D230))))
            &amp; "." &amp;
            VALUE(TRIM(RIGHT(SUBSTITUTE(D230,"_",REPT(" ",LEN(D230))),LEN(D230)))),
            "")))</f>
        <v/>
      </c>
      <c r="D230" s="158"/>
      <c r="E230" s="159"/>
      <c r="F230" s="159"/>
      <c r="G230" s="159"/>
      <c r="H230" s="159"/>
      <c r="I230" s="158"/>
      <c r="J230" s="158"/>
      <c r="K230" s="159"/>
      <c r="L230" s="160"/>
      <c r="M230" s="159"/>
      <c r="N230" s="159"/>
      <c r="O230" s="161"/>
      <c r="P230" s="162" t="str">
        <f t="shared" si="126"/>
        <v/>
      </c>
      <c r="Q230" s="163" t="str">
        <f t="shared" si="127"/>
        <v/>
      </c>
      <c r="R230" s="164">
        <f t="shared" si="128"/>
        <v>0</v>
      </c>
      <c r="S230" s="165">
        <f t="shared" si="119"/>
        <v>0</v>
      </c>
      <c r="T230" s="165">
        <f t="shared" si="120"/>
        <v>0</v>
      </c>
      <c r="U230" s="166">
        <f t="shared" si="121"/>
        <v>0</v>
      </c>
      <c r="V230" s="153" t="str">
        <f t="shared" si="129"/>
        <v/>
      </c>
      <c r="W230" s="153" t="str">
        <f t="shared" si="130"/>
        <v/>
      </c>
      <c r="X230" s="244"/>
      <c r="Y230" s="154">
        <f t="shared" si="122"/>
        <v>0</v>
      </c>
      <c r="Z230" s="154" t="str">
        <f t="shared" si="118"/>
        <v>1000</v>
      </c>
      <c r="AA230" s="153" t="str">
        <f t="shared" si="131"/>
        <v/>
      </c>
      <c r="AD230" s="155" t="str">
        <f t="shared" si="123"/>
        <v/>
      </c>
      <c r="AI230" s="155">
        <f t="array" ref="AI230">MATCH(MIN(IF($AK$501:$AK$525&gt;=IF(G230&gt;1499,E230+7,E230+5), $AK$501:$AK$525)), $AK$501:$AK$525, 0)</f>
        <v>5</v>
      </c>
      <c r="AK230" s="233"/>
      <c r="AL230" s="233"/>
      <c r="AM230" s="155" t="str">
        <f t="shared" si="132"/>
        <v/>
      </c>
      <c r="AN230" s="155" t="str">
        <f t="shared" si="133"/>
        <v/>
      </c>
      <c r="AX230" s="155" t="str">
        <f t="shared" si="134"/>
        <v/>
      </c>
    </row>
    <row r="231" spans="1:50" s="155" customFormat="1" ht="30" hidden="1" customHeight="1">
      <c r="A231" s="141" t="str">
        <f t="shared" si="124"/>
        <v/>
      </c>
      <c r="B231" s="141" t="str">
        <f t="shared" si="125"/>
        <v/>
      </c>
      <c r="C231" s="157" t="str">
        <f>IF(D231="","",
    IF(ISERR(SEARCH("_",D231)),
        IFERROR(_xlfn.AGGREGATE(14,6,$C$12:C230,1),0)+1,
        IFERROR(
            VALUE(TRIM(MID(SUBSTITUTE(D231,"_",REPT(" ",LEN(D231))), (LEN(D231)-LEN(SUBSTITUTE(D231,"_",""))-1)*LEN(D231)+1, LEN(D231))))
            &amp; "." &amp;
            VALUE(TRIM(RIGHT(SUBSTITUTE(D231,"_",REPT(" ",LEN(D231))),LEN(D231)))),
            "")))</f>
        <v/>
      </c>
      <c r="D231" s="158"/>
      <c r="E231" s="159"/>
      <c r="F231" s="159"/>
      <c r="G231" s="159"/>
      <c r="H231" s="159"/>
      <c r="I231" s="158"/>
      <c r="J231" s="158"/>
      <c r="K231" s="159"/>
      <c r="L231" s="160"/>
      <c r="M231" s="159"/>
      <c r="N231" s="159"/>
      <c r="O231" s="161"/>
      <c r="P231" s="162" t="str">
        <f t="shared" si="126"/>
        <v/>
      </c>
      <c r="Q231" s="163" t="str">
        <f t="shared" si="127"/>
        <v/>
      </c>
      <c r="R231" s="164">
        <f t="shared" si="128"/>
        <v>0</v>
      </c>
      <c r="S231" s="165">
        <f t="shared" si="119"/>
        <v>0</v>
      </c>
      <c r="T231" s="165">
        <f t="shared" si="120"/>
        <v>0</v>
      </c>
      <c r="U231" s="166">
        <f t="shared" si="121"/>
        <v>0</v>
      </c>
      <c r="V231" s="153" t="str">
        <f t="shared" si="129"/>
        <v/>
      </c>
      <c r="W231" s="153" t="str">
        <f t="shared" si="130"/>
        <v/>
      </c>
      <c r="X231" s="244"/>
      <c r="Y231" s="154">
        <f t="shared" si="122"/>
        <v>0</v>
      </c>
      <c r="Z231" s="154" t="str">
        <f t="shared" si="118"/>
        <v>1000</v>
      </c>
      <c r="AA231" s="153" t="str">
        <f t="shared" si="131"/>
        <v/>
      </c>
      <c r="AD231" s="155" t="str">
        <f t="shared" si="123"/>
        <v/>
      </c>
      <c r="AI231" s="155">
        <f t="array" ref="AI231">MATCH(MIN(IF($AK$501:$AK$525&gt;=IF(G231&gt;1499,E231+7,E231+5), $AK$501:$AK$525)), $AK$501:$AK$525, 0)</f>
        <v>5</v>
      </c>
      <c r="AK231" s="233"/>
      <c r="AL231" s="233"/>
      <c r="AM231" s="155" t="str">
        <f t="shared" si="132"/>
        <v/>
      </c>
      <c r="AN231" s="155" t="str">
        <f t="shared" si="133"/>
        <v/>
      </c>
      <c r="AX231" s="155" t="str">
        <f t="shared" si="134"/>
        <v/>
      </c>
    </row>
    <row r="232" spans="1:50" s="155" customFormat="1" ht="30" hidden="1" customHeight="1">
      <c r="A232" s="141" t="str">
        <f t="shared" si="124"/>
        <v/>
      </c>
      <c r="B232" s="141" t="str">
        <f t="shared" si="125"/>
        <v/>
      </c>
      <c r="C232" s="157" t="str">
        <f>IF(D232="","",
    IF(ISERR(SEARCH("_",D232)),
        IFERROR(_xlfn.AGGREGATE(14,6,$C$12:C231,1),0)+1,
        IFERROR(
            VALUE(TRIM(MID(SUBSTITUTE(D232,"_",REPT(" ",LEN(D232))), (LEN(D232)-LEN(SUBSTITUTE(D232,"_",""))-1)*LEN(D232)+1, LEN(D232))))
            &amp; "." &amp;
            VALUE(TRIM(RIGHT(SUBSTITUTE(D232,"_",REPT(" ",LEN(D232))),LEN(D232)))),
            "")))</f>
        <v/>
      </c>
      <c r="D232" s="158"/>
      <c r="E232" s="159"/>
      <c r="F232" s="159"/>
      <c r="G232" s="159"/>
      <c r="H232" s="159"/>
      <c r="I232" s="158"/>
      <c r="J232" s="158"/>
      <c r="K232" s="159"/>
      <c r="L232" s="160"/>
      <c r="M232" s="159"/>
      <c r="N232" s="159"/>
      <c r="O232" s="161"/>
      <c r="P232" s="162" t="str">
        <f t="shared" si="126"/>
        <v/>
      </c>
      <c r="Q232" s="163" t="str">
        <f t="shared" si="127"/>
        <v/>
      </c>
      <c r="R232" s="164">
        <f t="shared" si="128"/>
        <v>0</v>
      </c>
      <c r="S232" s="165">
        <f t="shared" si="119"/>
        <v>0</v>
      </c>
      <c r="T232" s="165">
        <f t="shared" si="120"/>
        <v>0</v>
      </c>
      <c r="U232" s="166">
        <f t="shared" si="121"/>
        <v>0</v>
      </c>
      <c r="V232" s="153" t="str">
        <f t="shared" si="129"/>
        <v/>
      </c>
      <c r="W232" s="153" t="str">
        <f t="shared" si="130"/>
        <v/>
      </c>
      <c r="X232" s="244"/>
      <c r="Y232" s="154">
        <f t="shared" si="122"/>
        <v>0</v>
      </c>
      <c r="Z232" s="154" t="str">
        <f t="shared" si="118"/>
        <v>1000</v>
      </c>
      <c r="AA232" s="153" t="str">
        <f t="shared" si="131"/>
        <v/>
      </c>
      <c r="AD232" s="155" t="str">
        <f t="shared" si="123"/>
        <v/>
      </c>
      <c r="AI232" s="155">
        <f t="array" ref="AI232">MATCH(MIN(IF($AK$501:$AK$525&gt;=IF(G232&gt;1499,E232+7,E232+5), $AK$501:$AK$525)), $AK$501:$AK$525, 0)</f>
        <v>5</v>
      </c>
      <c r="AK232" s="233"/>
      <c r="AL232" s="233"/>
      <c r="AM232" s="155" t="str">
        <f t="shared" si="132"/>
        <v/>
      </c>
      <c r="AN232" s="155" t="str">
        <f t="shared" si="133"/>
        <v/>
      </c>
      <c r="AX232" s="155" t="str">
        <f t="shared" si="134"/>
        <v/>
      </c>
    </row>
    <row r="233" spans="1:50" s="155" customFormat="1" ht="30" hidden="1" customHeight="1">
      <c r="A233" s="141" t="str">
        <f t="shared" si="124"/>
        <v/>
      </c>
      <c r="B233" s="141" t="str">
        <f t="shared" si="125"/>
        <v/>
      </c>
      <c r="C233" s="157" t="str">
        <f>IF(D233="","",
    IF(ISERR(SEARCH("_",D233)),
        IFERROR(_xlfn.AGGREGATE(14,6,$C$12:C232,1),0)+1,
        IFERROR(
            VALUE(TRIM(MID(SUBSTITUTE(D233,"_",REPT(" ",LEN(D233))), (LEN(D233)-LEN(SUBSTITUTE(D233,"_",""))-1)*LEN(D233)+1, LEN(D233))))
            &amp; "." &amp;
            VALUE(TRIM(RIGHT(SUBSTITUTE(D233,"_",REPT(" ",LEN(D233))),LEN(D233)))),
            "")))</f>
        <v/>
      </c>
      <c r="D233" s="158"/>
      <c r="E233" s="159"/>
      <c r="F233" s="159"/>
      <c r="G233" s="159"/>
      <c r="H233" s="159"/>
      <c r="I233" s="158"/>
      <c r="J233" s="158"/>
      <c r="K233" s="159"/>
      <c r="L233" s="160"/>
      <c r="M233" s="159"/>
      <c r="N233" s="159"/>
      <c r="O233" s="161"/>
      <c r="P233" s="162" t="str">
        <f t="shared" si="126"/>
        <v/>
      </c>
      <c r="Q233" s="163" t="str">
        <f t="shared" si="127"/>
        <v/>
      </c>
      <c r="R233" s="164">
        <f t="shared" si="128"/>
        <v>0</v>
      </c>
      <c r="S233" s="165">
        <f t="shared" si="119"/>
        <v>0</v>
      </c>
      <c r="T233" s="165">
        <f t="shared" si="120"/>
        <v>0</v>
      </c>
      <c r="U233" s="166">
        <f t="shared" si="121"/>
        <v>0</v>
      </c>
      <c r="V233" s="153" t="str">
        <f t="shared" si="129"/>
        <v/>
      </c>
      <c r="W233" s="153" t="str">
        <f t="shared" si="130"/>
        <v/>
      </c>
      <c r="X233" s="244"/>
      <c r="Y233" s="154">
        <f t="shared" si="122"/>
        <v>0</v>
      </c>
      <c r="Z233" s="154" t="str">
        <f t="shared" si="118"/>
        <v>1000</v>
      </c>
      <c r="AA233" s="153" t="str">
        <f t="shared" si="131"/>
        <v/>
      </c>
      <c r="AD233" s="155" t="str">
        <f t="shared" si="123"/>
        <v/>
      </c>
      <c r="AI233" s="155">
        <f t="array" ref="AI233">MATCH(MIN(IF($AK$501:$AK$525&gt;=IF(G233&gt;1499,E233+7,E233+5), $AK$501:$AK$525)), $AK$501:$AK$525, 0)</f>
        <v>5</v>
      </c>
      <c r="AK233" s="233"/>
      <c r="AL233" s="233"/>
      <c r="AM233" s="155" t="str">
        <f t="shared" si="132"/>
        <v/>
      </c>
      <c r="AN233" s="155" t="str">
        <f t="shared" si="133"/>
        <v/>
      </c>
      <c r="AX233" s="155" t="str">
        <f t="shared" si="134"/>
        <v/>
      </c>
    </row>
    <row r="234" spans="1:50" s="155" customFormat="1" ht="30" hidden="1" customHeight="1">
      <c r="A234" s="141" t="str">
        <f t="shared" si="124"/>
        <v/>
      </c>
      <c r="B234" s="141" t="str">
        <f t="shared" si="125"/>
        <v/>
      </c>
      <c r="C234" s="157" t="str">
        <f>IF(D234="","",
    IF(ISERR(SEARCH("_",D234)),
        IFERROR(_xlfn.AGGREGATE(14,6,$C$12:C233,1),0)+1,
        IFERROR(
            VALUE(TRIM(MID(SUBSTITUTE(D234,"_",REPT(" ",LEN(D234))), (LEN(D234)-LEN(SUBSTITUTE(D234,"_",""))-1)*LEN(D234)+1, LEN(D234))))
            &amp; "." &amp;
            VALUE(TRIM(RIGHT(SUBSTITUTE(D234,"_",REPT(" ",LEN(D234))),LEN(D234)))),
            "")))</f>
        <v/>
      </c>
      <c r="D234" s="158"/>
      <c r="E234" s="159"/>
      <c r="F234" s="159"/>
      <c r="G234" s="159"/>
      <c r="H234" s="159"/>
      <c r="I234" s="158"/>
      <c r="J234" s="158"/>
      <c r="K234" s="159"/>
      <c r="L234" s="160"/>
      <c r="M234" s="159"/>
      <c r="N234" s="159"/>
      <c r="O234" s="161"/>
      <c r="P234" s="162" t="str">
        <f t="shared" si="126"/>
        <v/>
      </c>
      <c r="Q234" s="163" t="str">
        <f t="shared" si="127"/>
        <v/>
      </c>
      <c r="R234" s="164">
        <f t="shared" si="128"/>
        <v>0</v>
      </c>
      <c r="S234" s="165">
        <f t="shared" si="119"/>
        <v>0</v>
      </c>
      <c r="T234" s="165">
        <f t="shared" si="120"/>
        <v>0</v>
      </c>
      <c r="U234" s="166">
        <f t="shared" si="121"/>
        <v>0</v>
      </c>
      <c r="V234" s="153" t="str">
        <f t="shared" si="129"/>
        <v/>
      </c>
      <c r="W234" s="153" t="str">
        <f t="shared" si="130"/>
        <v/>
      </c>
      <c r="X234" s="244"/>
      <c r="Y234" s="154">
        <f t="shared" si="122"/>
        <v>0</v>
      </c>
      <c r="Z234" s="154" t="str">
        <f t="shared" si="118"/>
        <v>1000</v>
      </c>
      <c r="AA234" s="153" t="str">
        <f t="shared" si="131"/>
        <v/>
      </c>
      <c r="AD234" s="155" t="str">
        <f t="shared" si="123"/>
        <v/>
      </c>
      <c r="AI234" s="155">
        <f t="array" ref="AI234">MATCH(MIN(IF($AK$501:$AK$525&gt;=IF(G234&gt;1499,E234+7,E234+5), $AK$501:$AK$525)), $AK$501:$AK$525, 0)</f>
        <v>5</v>
      </c>
      <c r="AK234" s="233"/>
      <c r="AL234" s="233"/>
      <c r="AM234" s="155" t="str">
        <f t="shared" si="132"/>
        <v/>
      </c>
      <c r="AN234" s="155" t="str">
        <f t="shared" si="133"/>
        <v/>
      </c>
      <c r="AX234" s="155" t="str">
        <f t="shared" si="134"/>
        <v/>
      </c>
    </row>
    <row r="235" spans="1:50" s="155" customFormat="1" ht="30" hidden="1" customHeight="1">
      <c r="A235" s="141" t="str">
        <f t="shared" si="124"/>
        <v/>
      </c>
      <c r="B235" s="141" t="str">
        <f t="shared" si="125"/>
        <v/>
      </c>
      <c r="C235" s="157" t="str">
        <f>IF(D235="","",
    IF(ISERR(SEARCH("_",D235)),
        IFERROR(_xlfn.AGGREGATE(14,6,$C$12:C234,1),0)+1,
        IFERROR(
            VALUE(TRIM(MID(SUBSTITUTE(D235,"_",REPT(" ",LEN(D235))), (LEN(D235)-LEN(SUBSTITUTE(D235,"_",""))-1)*LEN(D235)+1, LEN(D235))))
            &amp; "." &amp;
            VALUE(TRIM(RIGHT(SUBSTITUTE(D235,"_",REPT(" ",LEN(D235))),LEN(D235)))),
            "")))</f>
        <v/>
      </c>
      <c r="D235" s="158"/>
      <c r="E235" s="159"/>
      <c r="F235" s="159"/>
      <c r="G235" s="159"/>
      <c r="H235" s="159"/>
      <c r="I235" s="158"/>
      <c r="J235" s="158"/>
      <c r="K235" s="159"/>
      <c r="L235" s="160"/>
      <c r="M235" s="159"/>
      <c r="N235" s="159"/>
      <c r="O235" s="161"/>
      <c r="P235" s="162" t="str">
        <f t="shared" si="126"/>
        <v/>
      </c>
      <c r="Q235" s="163" t="str">
        <f t="shared" si="127"/>
        <v/>
      </c>
      <c r="R235" s="164">
        <f t="shared" si="128"/>
        <v>0</v>
      </c>
      <c r="S235" s="165">
        <f t="shared" si="119"/>
        <v>0</v>
      </c>
      <c r="T235" s="165">
        <f t="shared" si="120"/>
        <v>0</v>
      </c>
      <c r="U235" s="166">
        <f t="shared" si="121"/>
        <v>0</v>
      </c>
      <c r="V235" s="153" t="str">
        <f t="shared" si="129"/>
        <v/>
      </c>
      <c r="W235" s="153" t="str">
        <f t="shared" si="130"/>
        <v/>
      </c>
      <c r="X235" s="244"/>
      <c r="Y235" s="154">
        <f t="shared" si="122"/>
        <v>0</v>
      </c>
      <c r="Z235" s="154" t="str">
        <f t="shared" si="118"/>
        <v>1000</v>
      </c>
      <c r="AA235" s="153" t="str">
        <f t="shared" si="131"/>
        <v/>
      </c>
      <c r="AD235" s="155" t="str">
        <f t="shared" si="123"/>
        <v/>
      </c>
      <c r="AI235" s="155">
        <f t="array" ref="AI235">MATCH(MIN(IF($AK$501:$AK$525&gt;=IF(G235&gt;1499,E235+7,E235+5), $AK$501:$AK$525)), $AK$501:$AK$525, 0)</f>
        <v>5</v>
      </c>
      <c r="AK235" s="233"/>
      <c r="AL235" s="233"/>
      <c r="AM235" s="155" t="str">
        <f t="shared" si="132"/>
        <v/>
      </c>
      <c r="AN235" s="155" t="str">
        <f t="shared" si="133"/>
        <v/>
      </c>
      <c r="AX235" s="155" t="str">
        <f t="shared" si="134"/>
        <v/>
      </c>
    </row>
    <row r="236" spans="1:50" s="155" customFormat="1" ht="30" hidden="1" customHeight="1">
      <c r="A236" s="141" t="str">
        <f t="shared" si="124"/>
        <v/>
      </c>
      <c r="B236" s="141" t="str">
        <f t="shared" si="125"/>
        <v/>
      </c>
      <c r="C236" s="157" t="str">
        <f>IF(D236="","",
    IF(ISERR(SEARCH("_",D236)),
        IFERROR(_xlfn.AGGREGATE(14,6,$C$12:C235,1),0)+1,
        IFERROR(
            VALUE(TRIM(MID(SUBSTITUTE(D236,"_",REPT(" ",LEN(D236))), (LEN(D236)-LEN(SUBSTITUTE(D236,"_",""))-1)*LEN(D236)+1, LEN(D236))))
            &amp; "." &amp;
            VALUE(TRIM(RIGHT(SUBSTITUTE(D236,"_",REPT(" ",LEN(D236))),LEN(D236)))),
            "")))</f>
        <v/>
      </c>
      <c r="D236" s="158"/>
      <c r="E236" s="159"/>
      <c r="F236" s="159"/>
      <c r="G236" s="159"/>
      <c r="H236" s="159"/>
      <c r="I236" s="158"/>
      <c r="J236" s="158"/>
      <c r="K236" s="159"/>
      <c r="L236" s="160"/>
      <c r="M236" s="159"/>
      <c r="N236" s="159"/>
      <c r="O236" s="161"/>
      <c r="P236" s="162" t="str">
        <f t="shared" si="126"/>
        <v/>
      </c>
      <c r="Q236" s="163" t="str">
        <f t="shared" si="127"/>
        <v/>
      </c>
      <c r="R236" s="164">
        <f t="shared" si="128"/>
        <v>0</v>
      </c>
      <c r="S236" s="165">
        <f t="shared" si="119"/>
        <v>0</v>
      </c>
      <c r="T236" s="165">
        <f t="shared" si="120"/>
        <v>0</v>
      </c>
      <c r="U236" s="166">
        <f t="shared" si="121"/>
        <v>0</v>
      </c>
      <c r="V236" s="153" t="str">
        <f t="shared" si="129"/>
        <v/>
      </c>
      <c r="W236" s="153" t="str">
        <f t="shared" si="130"/>
        <v/>
      </c>
      <c r="X236" s="244"/>
      <c r="Y236" s="154">
        <f t="shared" si="122"/>
        <v>0</v>
      </c>
      <c r="Z236" s="154" t="str">
        <f t="shared" si="118"/>
        <v>1000</v>
      </c>
      <c r="AA236" s="153" t="str">
        <f t="shared" si="131"/>
        <v/>
      </c>
      <c r="AD236" s="155" t="str">
        <f t="shared" si="123"/>
        <v/>
      </c>
      <c r="AI236" s="155">
        <f t="array" ref="AI236">MATCH(MIN(IF($AK$501:$AK$525&gt;=IF(G236&gt;1499,E236+7,E236+5), $AK$501:$AK$525)), $AK$501:$AK$525, 0)</f>
        <v>5</v>
      </c>
      <c r="AK236" s="233"/>
      <c r="AL236" s="233"/>
      <c r="AM236" s="155" t="str">
        <f t="shared" si="132"/>
        <v/>
      </c>
      <c r="AN236" s="155" t="str">
        <f t="shared" si="133"/>
        <v/>
      </c>
      <c r="AX236" s="155" t="str">
        <f t="shared" si="134"/>
        <v/>
      </c>
    </row>
    <row r="237" spans="1:50" s="155" customFormat="1" ht="30" hidden="1" customHeight="1">
      <c r="A237" s="141" t="str">
        <f t="shared" si="124"/>
        <v/>
      </c>
      <c r="B237" s="141" t="str">
        <f t="shared" si="125"/>
        <v/>
      </c>
      <c r="C237" s="157" t="str">
        <f>IF(D237="","",
    IF(ISERR(SEARCH("_",D237)),
        IFERROR(_xlfn.AGGREGATE(14,6,$C$12:C236,1),0)+1,
        IFERROR(
            VALUE(TRIM(MID(SUBSTITUTE(D237,"_",REPT(" ",LEN(D237))), (LEN(D237)-LEN(SUBSTITUTE(D237,"_",""))-1)*LEN(D237)+1, LEN(D237))))
            &amp; "." &amp;
            VALUE(TRIM(RIGHT(SUBSTITUTE(D237,"_",REPT(" ",LEN(D237))),LEN(D237)))),
            "")))</f>
        <v/>
      </c>
      <c r="D237" s="158"/>
      <c r="E237" s="159"/>
      <c r="F237" s="159"/>
      <c r="G237" s="159"/>
      <c r="H237" s="159"/>
      <c r="I237" s="158"/>
      <c r="J237" s="158"/>
      <c r="K237" s="159"/>
      <c r="L237" s="160"/>
      <c r="M237" s="159"/>
      <c r="N237" s="159"/>
      <c r="O237" s="161"/>
      <c r="P237" s="162" t="str">
        <f t="shared" si="126"/>
        <v/>
      </c>
      <c r="Q237" s="163" t="str">
        <f t="shared" si="127"/>
        <v/>
      </c>
      <c r="R237" s="164">
        <f t="shared" si="128"/>
        <v>0</v>
      </c>
      <c r="S237" s="165">
        <f t="shared" si="119"/>
        <v>0</v>
      </c>
      <c r="T237" s="165">
        <f t="shared" si="120"/>
        <v>0</v>
      </c>
      <c r="U237" s="166">
        <f t="shared" si="121"/>
        <v>0</v>
      </c>
      <c r="V237" s="153" t="str">
        <f t="shared" si="129"/>
        <v/>
      </c>
      <c r="W237" s="153" t="str">
        <f t="shared" si="130"/>
        <v/>
      </c>
      <c r="X237" s="244"/>
      <c r="Y237" s="154">
        <f t="shared" si="122"/>
        <v>0</v>
      </c>
      <c r="Z237" s="154" t="str">
        <f t="shared" si="118"/>
        <v>1000</v>
      </c>
      <c r="AA237" s="153" t="str">
        <f t="shared" si="131"/>
        <v/>
      </c>
      <c r="AD237" s="155" t="str">
        <f t="shared" si="123"/>
        <v/>
      </c>
      <c r="AI237" s="155">
        <f t="array" ref="AI237">MATCH(MIN(IF($AK$501:$AK$525&gt;=IF(G237&gt;1499,E237+7,E237+5), $AK$501:$AK$525)), $AK$501:$AK$525, 0)</f>
        <v>5</v>
      </c>
      <c r="AK237" s="233"/>
      <c r="AL237" s="233"/>
      <c r="AM237" s="155" t="str">
        <f t="shared" si="132"/>
        <v/>
      </c>
      <c r="AN237" s="155" t="str">
        <f t="shared" si="133"/>
        <v/>
      </c>
      <c r="AX237" s="155" t="str">
        <f t="shared" si="134"/>
        <v/>
      </c>
    </row>
    <row r="238" spans="1:50" s="155" customFormat="1" ht="30" hidden="1" customHeight="1">
      <c r="A238" s="141" t="str">
        <f t="shared" si="124"/>
        <v/>
      </c>
      <c r="B238" s="141" t="str">
        <f t="shared" si="125"/>
        <v/>
      </c>
      <c r="C238" s="157" t="str">
        <f>IF(D238="","",
    IF(ISERR(SEARCH("_",D238)),
        IFERROR(_xlfn.AGGREGATE(14,6,$C$12:C237,1),0)+1,
        IFERROR(
            VALUE(TRIM(MID(SUBSTITUTE(D238,"_",REPT(" ",LEN(D238))), (LEN(D238)-LEN(SUBSTITUTE(D238,"_",""))-1)*LEN(D238)+1, LEN(D238))))
            &amp; "." &amp;
            VALUE(TRIM(RIGHT(SUBSTITUTE(D238,"_",REPT(" ",LEN(D238))),LEN(D238)))),
            "")))</f>
        <v/>
      </c>
      <c r="D238" s="158"/>
      <c r="E238" s="159"/>
      <c r="F238" s="159"/>
      <c r="G238" s="159"/>
      <c r="H238" s="159"/>
      <c r="I238" s="158"/>
      <c r="J238" s="158"/>
      <c r="K238" s="159"/>
      <c r="L238" s="160"/>
      <c r="M238" s="159"/>
      <c r="N238" s="159"/>
      <c r="O238" s="161"/>
      <c r="P238" s="162" t="str">
        <f t="shared" si="126"/>
        <v/>
      </c>
      <c r="Q238" s="163" t="str">
        <f t="shared" si="127"/>
        <v/>
      </c>
      <c r="R238" s="164">
        <f t="shared" si="128"/>
        <v>0</v>
      </c>
      <c r="S238" s="165">
        <f t="shared" si="119"/>
        <v>0</v>
      </c>
      <c r="T238" s="165">
        <f t="shared" si="120"/>
        <v>0</v>
      </c>
      <c r="U238" s="166">
        <f t="shared" si="121"/>
        <v>0</v>
      </c>
      <c r="V238" s="153" t="str">
        <f t="shared" si="129"/>
        <v/>
      </c>
      <c r="W238" s="153" t="str">
        <f t="shared" si="130"/>
        <v/>
      </c>
      <c r="X238" s="244"/>
      <c r="Y238" s="154">
        <f t="shared" si="122"/>
        <v>0</v>
      </c>
      <c r="Z238" s="154" t="str">
        <f t="shared" si="118"/>
        <v>1000</v>
      </c>
      <c r="AA238" s="153" t="str">
        <f t="shared" si="131"/>
        <v/>
      </c>
      <c r="AD238" s="155" t="str">
        <f t="shared" si="123"/>
        <v/>
      </c>
      <c r="AI238" s="155">
        <f t="array" ref="AI238">MATCH(MIN(IF($AK$501:$AK$525&gt;=IF(G238&gt;1499,E238+7,E238+5), $AK$501:$AK$525)), $AK$501:$AK$525, 0)</f>
        <v>5</v>
      </c>
      <c r="AK238" s="233"/>
      <c r="AL238" s="233"/>
      <c r="AM238" s="155" t="str">
        <f t="shared" si="132"/>
        <v/>
      </c>
      <c r="AN238" s="155" t="str">
        <f t="shared" si="133"/>
        <v/>
      </c>
      <c r="AX238" s="155" t="str">
        <f t="shared" si="134"/>
        <v/>
      </c>
    </row>
    <row r="239" spans="1:50" s="155" customFormat="1" ht="30" hidden="1" customHeight="1">
      <c r="A239" s="141" t="str">
        <f t="shared" si="124"/>
        <v/>
      </c>
      <c r="B239" s="141" t="str">
        <f t="shared" si="125"/>
        <v/>
      </c>
      <c r="C239" s="157" t="str">
        <f>IF(D239="","",
    IF(ISERR(SEARCH("_",D239)),
        IFERROR(_xlfn.AGGREGATE(14,6,$C$12:C238,1),0)+1,
        IFERROR(
            VALUE(TRIM(MID(SUBSTITUTE(D239,"_",REPT(" ",LEN(D239))), (LEN(D239)-LEN(SUBSTITUTE(D239,"_",""))-1)*LEN(D239)+1, LEN(D239))))
            &amp; "." &amp;
            VALUE(TRIM(RIGHT(SUBSTITUTE(D239,"_",REPT(" ",LEN(D239))),LEN(D239)))),
            "")))</f>
        <v/>
      </c>
      <c r="D239" s="158"/>
      <c r="E239" s="159"/>
      <c r="F239" s="159"/>
      <c r="G239" s="159"/>
      <c r="H239" s="159"/>
      <c r="I239" s="158"/>
      <c r="J239" s="158"/>
      <c r="K239" s="159"/>
      <c r="L239" s="160"/>
      <c r="M239" s="159"/>
      <c r="N239" s="159"/>
      <c r="O239" s="161"/>
      <c r="P239" s="162" t="str">
        <f t="shared" si="126"/>
        <v/>
      </c>
      <c r="Q239" s="163" t="str">
        <f t="shared" si="127"/>
        <v/>
      </c>
      <c r="R239" s="164">
        <f t="shared" si="128"/>
        <v>0</v>
      </c>
      <c r="S239" s="165">
        <f t="shared" si="119"/>
        <v>0</v>
      </c>
      <c r="T239" s="165">
        <f t="shared" si="120"/>
        <v>0</v>
      </c>
      <c r="U239" s="166">
        <f t="shared" si="121"/>
        <v>0</v>
      </c>
      <c r="V239" s="153" t="str">
        <f t="shared" si="129"/>
        <v/>
      </c>
      <c r="W239" s="153" t="str">
        <f t="shared" si="130"/>
        <v/>
      </c>
      <c r="X239" s="244"/>
      <c r="Y239" s="154">
        <f t="shared" si="122"/>
        <v>0</v>
      </c>
      <c r="Z239" s="154" t="str">
        <f t="shared" si="118"/>
        <v>1000</v>
      </c>
      <c r="AA239" s="153" t="str">
        <f t="shared" si="131"/>
        <v/>
      </c>
      <c r="AD239" s="155" t="str">
        <f t="shared" si="123"/>
        <v/>
      </c>
      <c r="AI239" s="155">
        <f t="array" ref="AI239">MATCH(MIN(IF($AK$501:$AK$525&gt;=IF(G239&gt;1499,E239+7,E239+5), $AK$501:$AK$525)), $AK$501:$AK$525, 0)</f>
        <v>5</v>
      </c>
      <c r="AK239" s="233"/>
      <c r="AL239" s="233"/>
      <c r="AM239" s="155" t="str">
        <f t="shared" si="132"/>
        <v/>
      </c>
      <c r="AN239" s="155" t="str">
        <f t="shared" si="133"/>
        <v/>
      </c>
      <c r="AX239" s="155" t="str">
        <f t="shared" si="134"/>
        <v/>
      </c>
    </row>
    <row r="240" spans="1:50" s="155" customFormat="1" ht="30" hidden="1" customHeight="1">
      <c r="A240" s="141" t="str">
        <f t="shared" si="124"/>
        <v/>
      </c>
      <c r="B240" s="141" t="str">
        <f t="shared" si="125"/>
        <v/>
      </c>
      <c r="C240" s="157" t="str">
        <f>IF(D240="","",
    IF(ISERR(SEARCH("_",D240)),
        IFERROR(_xlfn.AGGREGATE(14,6,$C$12:C239,1),0)+1,
        IFERROR(
            VALUE(TRIM(MID(SUBSTITUTE(D240,"_",REPT(" ",LEN(D240))), (LEN(D240)-LEN(SUBSTITUTE(D240,"_",""))-1)*LEN(D240)+1, LEN(D240))))
            &amp; "." &amp;
            VALUE(TRIM(RIGHT(SUBSTITUTE(D240,"_",REPT(" ",LEN(D240))),LEN(D240)))),
            "")))</f>
        <v/>
      </c>
      <c r="D240" s="158"/>
      <c r="E240" s="159"/>
      <c r="F240" s="159"/>
      <c r="G240" s="159"/>
      <c r="H240" s="159"/>
      <c r="I240" s="158"/>
      <c r="J240" s="158"/>
      <c r="K240" s="159"/>
      <c r="L240" s="160"/>
      <c r="M240" s="159"/>
      <c r="N240" s="159"/>
      <c r="O240" s="161"/>
      <c r="P240" s="162" t="str">
        <f t="shared" si="126"/>
        <v/>
      </c>
      <c r="Q240" s="163" t="str">
        <f t="shared" si="127"/>
        <v/>
      </c>
      <c r="R240" s="164">
        <f t="shared" si="128"/>
        <v>0</v>
      </c>
      <c r="S240" s="165">
        <f t="shared" si="119"/>
        <v>0</v>
      </c>
      <c r="T240" s="165">
        <f t="shared" si="120"/>
        <v>0</v>
      </c>
      <c r="U240" s="166">
        <f t="shared" si="121"/>
        <v>0</v>
      </c>
      <c r="V240" s="153" t="str">
        <f t="shared" si="129"/>
        <v/>
      </c>
      <c r="W240" s="153" t="str">
        <f t="shared" si="130"/>
        <v/>
      </c>
      <c r="X240" s="244"/>
      <c r="Y240" s="154">
        <f t="shared" si="122"/>
        <v>0</v>
      </c>
      <c r="Z240" s="154" t="str">
        <f t="shared" si="118"/>
        <v>1000</v>
      </c>
      <c r="AA240" s="153" t="str">
        <f t="shared" si="131"/>
        <v/>
      </c>
      <c r="AD240" s="155" t="str">
        <f t="shared" si="123"/>
        <v/>
      </c>
      <c r="AI240" s="155">
        <f t="array" ref="AI240">MATCH(MIN(IF($AK$501:$AK$525&gt;=IF(G240&gt;1499,E240+7,E240+5), $AK$501:$AK$525)), $AK$501:$AK$525, 0)</f>
        <v>5</v>
      </c>
      <c r="AK240" s="233"/>
      <c r="AL240" s="233"/>
      <c r="AM240" s="155" t="str">
        <f t="shared" si="132"/>
        <v/>
      </c>
      <c r="AN240" s="155" t="str">
        <f t="shared" si="133"/>
        <v/>
      </c>
      <c r="AX240" s="155" t="str">
        <f t="shared" si="134"/>
        <v/>
      </c>
    </row>
    <row r="241" spans="1:50" s="155" customFormat="1" ht="30" hidden="1" customHeight="1">
      <c r="A241" s="141" t="str">
        <f t="shared" si="124"/>
        <v/>
      </c>
      <c r="B241" s="141" t="str">
        <f t="shared" si="125"/>
        <v/>
      </c>
      <c r="C241" s="157" t="str">
        <f>IF(D241="","",
    IF(ISERR(SEARCH("_",D241)),
        IFERROR(_xlfn.AGGREGATE(14,6,$C$12:C240,1),0)+1,
        IFERROR(
            VALUE(TRIM(MID(SUBSTITUTE(D241,"_",REPT(" ",LEN(D241))), (LEN(D241)-LEN(SUBSTITUTE(D241,"_",""))-1)*LEN(D241)+1, LEN(D241))))
            &amp; "." &amp;
            VALUE(TRIM(RIGHT(SUBSTITUTE(D241,"_",REPT(" ",LEN(D241))),LEN(D241)))),
            "")))</f>
        <v/>
      </c>
      <c r="D241" s="158"/>
      <c r="E241" s="159"/>
      <c r="F241" s="159"/>
      <c r="G241" s="159"/>
      <c r="H241" s="159"/>
      <c r="I241" s="158"/>
      <c r="J241" s="158"/>
      <c r="K241" s="159"/>
      <c r="L241" s="160"/>
      <c r="M241" s="159"/>
      <c r="N241" s="159"/>
      <c r="O241" s="161"/>
      <c r="P241" s="162" t="str">
        <f t="shared" si="126"/>
        <v/>
      </c>
      <c r="Q241" s="163" t="str">
        <f t="shared" si="127"/>
        <v/>
      </c>
      <c r="R241" s="164">
        <f t="shared" si="128"/>
        <v>0</v>
      </c>
      <c r="S241" s="165">
        <f t="shared" si="119"/>
        <v>0</v>
      </c>
      <c r="T241" s="165">
        <f t="shared" si="120"/>
        <v>0</v>
      </c>
      <c r="U241" s="166">
        <f t="shared" si="121"/>
        <v>0</v>
      </c>
      <c r="V241" s="153" t="str">
        <f t="shared" si="129"/>
        <v/>
      </c>
      <c r="W241" s="153" t="str">
        <f t="shared" si="130"/>
        <v/>
      </c>
      <c r="X241" s="244"/>
      <c r="Y241" s="154">
        <f t="shared" si="122"/>
        <v>0</v>
      </c>
      <c r="Z241" s="154" t="str">
        <f t="shared" si="118"/>
        <v>1000</v>
      </c>
      <c r="AA241" s="153" t="str">
        <f t="shared" si="131"/>
        <v/>
      </c>
      <c r="AD241" s="155" t="str">
        <f t="shared" si="123"/>
        <v/>
      </c>
      <c r="AI241" s="155">
        <f t="array" ref="AI241">MATCH(MIN(IF($AK$501:$AK$525&gt;=IF(G241&gt;1499,E241+7,E241+5), $AK$501:$AK$525)), $AK$501:$AK$525, 0)</f>
        <v>5</v>
      </c>
      <c r="AK241" s="233"/>
      <c r="AL241" s="233"/>
      <c r="AM241" s="155" t="str">
        <f t="shared" si="132"/>
        <v/>
      </c>
      <c r="AN241" s="155" t="str">
        <f t="shared" si="133"/>
        <v/>
      </c>
      <c r="AX241" s="155" t="str">
        <f t="shared" si="134"/>
        <v/>
      </c>
    </row>
    <row r="242" spans="1:50" s="155" customFormat="1" ht="30" hidden="1" customHeight="1">
      <c r="A242" s="141" t="str">
        <f t="shared" si="124"/>
        <v/>
      </c>
      <c r="B242" s="141" t="str">
        <f t="shared" si="125"/>
        <v/>
      </c>
      <c r="C242" s="157" t="str">
        <f>IF(D242="","",
    IF(ISERR(SEARCH("_",D242)),
        IFERROR(_xlfn.AGGREGATE(14,6,$C$12:C241,1),0)+1,
        IFERROR(
            VALUE(TRIM(MID(SUBSTITUTE(D242,"_",REPT(" ",LEN(D242))), (LEN(D242)-LEN(SUBSTITUTE(D242,"_",""))-1)*LEN(D242)+1, LEN(D242))))
            &amp; "." &amp;
            VALUE(TRIM(RIGHT(SUBSTITUTE(D242,"_",REPT(" ",LEN(D242))),LEN(D242)))),
            "")))</f>
        <v/>
      </c>
      <c r="D242" s="158"/>
      <c r="E242" s="159"/>
      <c r="F242" s="159"/>
      <c r="G242" s="159"/>
      <c r="H242" s="159"/>
      <c r="I242" s="158"/>
      <c r="J242" s="158"/>
      <c r="K242" s="159"/>
      <c r="L242" s="160"/>
      <c r="M242" s="159"/>
      <c r="N242" s="159"/>
      <c r="O242" s="161"/>
      <c r="P242" s="162" t="str">
        <f t="shared" si="126"/>
        <v/>
      </c>
      <c r="Q242" s="163" t="str">
        <f t="shared" si="127"/>
        <v/>
      </c>
      <c r="R242" s="164">
        <f t="shared" si="128"/>
        <v>0</v>
      </c>
      <c r="S242" s="165">
        <f t="shared" si="119"/>
        <v>0</v>
      </c>
      <c r="T242" s="165">
        <f t="shared" si="120"/>
        <v>0</v>
      </c>
      <c r="U242" s="166">
        <f t="shared" si="121"/>
        <v>0</v>
      </c>
      <c r="V242" s="153" t="str">
        <f t="shared" si="129"/>
        <v/>
      </c>
      <c r="W242" s="153" t="str">
        <f t="shared" si="130"/>
        <v/>
      </c>
      <c r="X242" s="244"/>
      <c r="Y242" s="154">
        <f t="shared" si="122"/>
        <v>0</v>
      </c>
      <c r="Z242" s="154" t="str">
        <f t="shared" si="118"/>
        <v>1000</v>
      </c>
      <c r="AA242" s="153" t="str">
        <f t="shared" si="131"/>
        <v/>
      </c>
      <c r="AD242" s="155" t="str">
        <f t="shared" si="123"/>
        <v/>
      </c>
      <c r="AI242" s="155">
        <f t="array" ref="AI242">MATCH(MIN(IF($AK$501:$AK$525&gt;=IF(G242&gt;1499,E242+7,E242+5), $AK$501:$AK$525)), $AK$501:$AK$525, 0)</f>
        <v>5</v>
      </c>
      <c r="AK242" s="233"/>
      <c r="AL242" s="233"/>
      <c r="AM242" s="155" t="str">
        <f t="shared" si="132"/>
        <v/>
      </c>
      <c r="AN242" s="155" t="str">
        <f t="shared" si="133"/>
        <v/>
      </c>
      <c r="AX242" s="155" t="str">
        <f t="shared" si="134"/>
        <v/>
      </c>
    </row>
    <row r="243" spans="1:50" s="155" customFormat="1" ht="30" hidden="1" customHeight="1">
      <c r="A243" s="141" t="str">
        <f t="shared" si="124"/>
        <v/>
      </c>
      <c r="B243" s="141" t="str">
        <f t="shared" si="125"/>
        <v/>
      </c>
      <c r="C243" s="157" t="str">
        <f>IF(D243="","",
    IF(ISERR(SEARCH("_",D243)),
        IFERROR(_xlfn.AGGREGATE(14,6,$C$12:C242,1),0)+1,
        IFERROR(
            VALUE(TRIM(MID(SUBSTITUTE(D243,"_",REPT(" ",LEN(D243))), (LEN(D243)-LEN(SUBSTITUTE(D243,"_",""))-1)*LEN(D243)+1, LEN(D243))))
            &amp; "." &amp;
            VALUE(TRIM(RIGHT(SUBSTITUTE(D243,"_",REPT(" ",LEN(D243))),LEN(D243)))),
            "")))</f>
        <v/>
      </c>
      <c r="D243" s="158"/>
      <c r="E243" s="159"/>
      <c r="F243" s="159"/>
      <c r="G243" s="159"/>
      <c r="H243" s="159"/>
      <c r="I243" s="158"/>
      <c r="J243" s="158"/>
      <c r="K243" s="159"/>
      <c r="L243" s="160"/>
      <c r="M243" s="159"/>
      <c r="N243" s="159"/>
      <c r="O243" s="161"/>
      <c r="P243" s="162" t="str">
        <f t="shared" si="126"/>
        <v/>
      </c>
      <c r="Q243" s="163" t="str">
        <f t="shared" si="127"/>
        <v/>
      </c>
      <c r="R243" s="164">
        <f t="shared" si="128"/>
        <v>0</v>
      </c>
      <c r="S243" s="165">
        <f t="shared" si="119"/>
        <v>0</v>
      </c>
      <c r="T243" s="165">
        <f t="shared" si="120"/>
        <v>0</v>
      </c>
      <c r="U243" s="166">
        <f t="shared" si="121"/>
        <v>0</v>
      </c>
      <c r="V243" s="153" t="str">
        <f t="shared" si="129"/>
        <v/>
      </c>
      <c r="W243" s="153" t="str">
        <f t="shared" si="130"/>
        <v/>
      </c>
      <c r="X243" s="244"/>
      <c r="Y243" s="154">
        <f t="shared" si="122"/>
        <v>0</v>
      </c>
      <c r="Z243" s="154" t="str">
        <f t="shared" si="118"/>
        <v>1000</v>
      </c>
      <c r="AA243" s="153" t="str">
        <f t="shared" si="131"/>
        <v/>
      </c>
      <c r="AD243" s="155" t="str">
        <f t="shared" si="123"/>
        <v/>
      </c>
      <c r="AI243" s="155">
        <f t="array" ref="AI243">MATCH(MIN(IF($AK$501:$AK$525&gt;=IF(G243&gt;1499,E243+7,E243+5), $AK$501:$AK$525)), $AK$501:$AK$525, 0)</f>
        <v>5</v>
      </c>
      <c r="AK243" s="233"/>
      <c r="AL243" s="233"/>
      <c r="AM243" s="155" t="str">
        <f t="shared" si="132"/>
        <v/>
      </c>
      <c r="AN243" s="155" t="str">
        <f t="shared" si="133"/>
        <v/>
      </c>
      <c r="AX243" s="155" t="str">
        <f t="shared" si="134"/>
        <v/>
      </c>
    </row>
    <row r="244" spans="1:50" s="155" customFormat="1" ht="30" hidden="1" customHeight="1">
      <c r="A244" s="141" t="str">
        <f t="shared" si="124"/>
        <v/>
      </c>
      <c r="B244" s="141" t="str">
        <f t="shared" si="125"/>
        <v/>
      </c>
      <c r="C244" s="157" t="str">
        <f>IF(D244="","",
    IF(ISERR(SEARCH("_",D244)),
        IFERROR(_xlfn.AGGREGATE(14,6,$C$12:C243,1),0)+1,
        IFERROR(
            VALUE(TRIM(MID(SUBSTITUTE(D244,"_",REPT(" ",LEN(D244))), (LEN(D244)-LEN(SUBSTITUTE(D244,"_",""))-1)*LEN(D244)+1, LEN(D244))))
            &amp; "." &amp;
            VALUE(TRIM(RIGHT(SUBSTITUTE(D244,"_",REPT(" ",LEN(D244))),LEN(D244)))),
            "")))</f>
        <v/>
      </c>
      <c r="D244" s="158"/>
      <c r="E244" s="159"/>
      <c r="F244" s="159"/>
      <c r="G244" s="159"/>
      <c r="H244" s="159"/>
      <c r="I244" s="158"/>
      <c r="J244" s="158"/>
      <c r="K244" s="159"/>
      <c r="L244" s="160"/>
      <c r="M244" s="159"/>
      <c r="N244" s="159"/>
      <c r="O244" s="161"/>
      <c r="P244" s="162" t="str">
        <f t="shared" si="126"/>
        <v/>
      </c>
      <c r="Q244" s="163" t="str">
        <f t="shared" si="127"/>
        <v/>
      </c>
      <c r="R244" s="164">
        <f t="shared" si="128"/>
        <v>0</v>
      </c>
      <c r="S244" s="165">
        <f t="shared" si="119"/>
        <v>0</v>
      </c>
      <c r="T244" s="165">
        <f t="shared" si="120"/>
        <v>0</v>
      </c>
      <c r="U244" s="166">
        <f t="shared" si="121"/>
        <v>0</v>
      </c>
      <c r="V244" s="153" t="str">
        <f t="shared" si="129"/>
        <v/>
      </c>
      <c r="W244" s="153" t="str">
        <f t="shared" si="130"/>
        <v/>
      </c>
      <c r="X244" s="244"/>
      <c r="Y244" s="154">
        <f t="shared" si="122"/>
        <v>0</v>
      </c>
      <c r="Z244" s="154" t="str">
        <f t="shared" si="118"/>
        <v>1000</v>
      </c>
      <c r="AA244" s="153" t="str">
        <f t="shared" si="131"/>
        <v/>
      </c>
      <c r="AD244" s="155" t="str">
        <f t="shared" si="123"/>
        <v/>
      </c>
      <c r="AI244" s="155">
        <f t="array" ref="AI244">MATCH(MIN(IF($AK$501:$AK$525&gt;=IF(G244&gt;1499,E244+7,E244+5), $AK$501:$AK$525)), $AK$501:$AK$525, 0)</f>
        <v>5</v>
      </c>
      <c r="AK244" s="233"/>
      <c r="AL244" s="233"/>
      <c r="AM244" s="155" t="str">
        <f t="shared" si="132"/>
        <v/>
      </c>
      <c r="AN244" s="155" t="str">
        <f t="shared" si="133"/>
        <v/>
      </c>
      <c r="AX244" s="155" t="str">
        <f t="shared" si="134"/>
        <v/>
      </c>
    </row>
    <row r="245" spans="1:50" s="155" customFormat="1" ht="30" hidden="1" customHeight="1">
      <c r="A245" s="141" t="str">
        <f t="shared" si="124"/>
        <v/>
      </c>
      <c r="B245" s="141" t="str">
        <f t="shared" si="125"/>
        <v/>
      </c>
      <c r="C245" s="157" t="str">
        <f>IF(D245="","",
    IF(ISERR(SEARCH("_",D245)),
        IFERROR(_xlfn.AGGREGATE(14,6,$C$12:C244,1),0)+1,
        IFERROR(
            VALUE(TRIM(MID(SUBSTITUTE(D245,"_",REPT(" ",LEN(D245))), (LEN(D245)-LEN(SUBSTITUTE(D245,"_",""))-1)*LEN(D245)+1, LEN(D245))))
            &amp; "." &amp;
            VALUE(TRIM(RIGHT(SUBSTITUTE(D245,"_",REPT(" ",LEN(D245))),LEN(D245)))),
            "")))</f>
        <v/>
      </c>
      <c r="D245" s="158"/>
      <c r="E245" s="159"/>
      <c r="F245" s="159"/>
      <c r="G245" s="159"/>
      <c r="H245" s="159"/>
      <c r="I245" s="158"/>
      <c r="J245" s="158"/>
      <c r="K245" s="159"/>
      <c r="L245" s="160"/>
      <c r="M245" s="159"/>
      <c r="N245" s="159"/>
      <c r="O245" s="161"/>
      <c r="P245" s="162" t="str">
        <f t="shared" si="126"/>
        <v/>
      </c>
      <c r="Q245" s="163" t="str">
        <f t="shared" si="127"/>
        <v/>
      </c>
      <c r="R245" s="164">
        <f t="shared" si="128"/>
        <v>0</v>
      </c>
      <c r="S245" s="165">
        <f t="shared" si="119"/>
        <v>0</v>
      </c>
      <c r="T245" s="165">
        <f t="shared" si="120"/>
        <v>0</v>
      </c>
      <c r="U245" s="166">
        <f t="shared" si="121"/>
        <v>0</v>
      </c>
      <c r="V245" s="153" t="str">
        <f t="shared" si="129"/>
        <v/>
      </c>
      <c r="W245" s="153" t="str">
        <f t="shared" si="130"/>
        <v/>
      </c>
      <c r="X245" s="244"/>
      <c r="Y245" s="154">
        <f t="shared" si="122"/>
        <v>0</v>
      </c>
      <c r="Z245" s="154" t="str">
        <f t="shared" si="118"/>
        <v>1000</v>
      </c>
      <c r="AA245" s="153" t="str">
        <f t="shared" si="131"/>
        <v/>
      </c>
      <c r="AD245" s="155" t="str">
        <f t="shared" si="123"/>
        <v/>
      </c>
      <c r="AI245" s="155">
        <f t="array" ref="AI245">MATCH(MIN(IF($AK$501:$AK$525&gt;=IF(G245&gt;1499,E245+7,E245+5), $AK$501:$AK$525)), $AK$501:$AK$525, 0)</f>
        <v>5</v>
      </c>
      <c r="AK245" s="233"/>
      <c r="AL245" s="233"/>
      <c r="AM245" s="155" t="str">
        <f t="shared" si="132"/>
        <v/>
      </c>
      <c r="AN245" s="155" t="str">
        <f t="shared" si="133"/>
        <v/>
      </c>
      <c r="AX245" s="155" t="str">
        <f t="shared" si="134"/>
        <v/>
      </c>
    </row>
    <row r="246" spans="1:50" s="155" customFormat="1" ht="30" hidden="1" customHeight="1">
      <c r="A246" s="141" t="str">
        <f t="shared" si="124"/>
        <v/>
      </c>
      <c r="B246" s="141" t="str">
        <f t="shared" si="125"/>
        <v/>
      </c>
      <c r="C246" s="157" t="str">
        <f>IF(D246="","",
    IF(ISERR(SEARCH("_",D246)),
        IFERROR(_xlfn.AGGREGATE(14,6,$C$12:C245,1),0)+1,
        IFERROR(
            VALUE(TRIM(MID(SUBSTITUTE(D246,"_",REPT(" ",LEN(D246))), (LEN(D246)-LEN(SUBSTITUTE(D246,"_",""))-1)*LEN(D246)+1, LEN(D246))))
            &amp; "." &amp;
            VALUE(TRIM(RIGHT(SUBSTITUTE(D246,"_",REPT(" ",LEN(D246))),LEN(D246)))),
            "")))</f>
        <v/>
      </c>
      <c r="D246" s="158"/>
      <c r="E246" s="159"/>
      <c r="F246" s="159"/>
      <c r="G246" s="159"/>
      <c r="H246" s="159"/>
      <c r="I246" s="158"/>
      <c r="J246" s="158"/>
      <c r="K246" s="159"/>
      <c r="L246" s="160"/>
      <c r="M246" s="159"/>
      <c r="N246" s="159"/>
      <c r="O246" s="161"/>
      <c r="P246" s="162" t="str">
        <f t="shared" si="126"/>
        <v/>
      </c>
      <c r="Q246" s="163" t="str">
        <f t="shared" si="127"/>
        <v/>
      </c>
      <c r="R246" s="164">
        <f t="shared" si="128"/>
        <v>0</v>
      </c>
      <c r="S246" s="165">
        <f t="shared" si="119"/>
        <v>0</v>
      </c>
      <c r="T246" s="165">
        <f t="shared" si="120"/>
        <v>0</v>
      </c>
      <c r="U246" s="166">
        <f t="shared" si="121"/>
        <v>0</v>
      </c>
      <c r="V246" s="153" t="str">
        <f t="shared" si="129"/>
        <v/>
      </c>
      <c r="W246" s="153" t="str">
        <f t="shared" si="130"/>
        <v/>
      </c>
      <c r="X246" s="244"/>
      <c r="Y246" s="154">
        <f t="shared" si="122"/>
        <v>0</v>
      </c>
      <c r="Z246" s="154" t="str">
        <f t="shared" si="118"/>
        <v>1000</v>
      </c>
      <c r="AA246" s="153" t="str">
        <f t="shared" si="131"/>
        <v/>
      </c>
      <c r="AD246" s="155" t="str">
        <f t="shared" si="123"/>
        <v/>
      </c>
      <c r="AI246" s="155">
        <f t="array" ref="AI246">MATCH(MIN(IF($AK$501:$AK$525&gt;=IF(G246&gt;1499,E246+7,E246+5), $AK$501:$AK$525)), $AK$501:$AK$525, 0)</f>
        <v>5</v>
      </c>
      <c r="AK246" s="233"/>
      <c r="AL246" s="233"/>
      <c r="AM246" s="155" t="str">
        <f t="shared" si="132"/>
        <v/>
      </c>
      <c r="AN246" s="155" t="str">
        <f t="shared" si="133"/>
        <v/>
      </c>
      <c r="AX246" s="155" t="str">
        <f t="shared" si="134"/>
        <v/>
      </c>
    </row>
    <row r="247" spans="1:50" s="155" customFormat="1" ht="30" hidden="1" customHeight="1">
      <c r="A247" s="141" t="str">
        <f t="shared" si="124"/>
        <v/>
      </c>
      <c r="B247" s="141" t="str">
        <f t="shared" si="125"/>
        <v/>
      </c>
      <c r="C247" s="157" t="str">
        <f>IF(D247="","",
    IF(ISERR(SEARCH("_",D247)),
        IFERROR(_xlfn.AGGREGATE(14,6,$C$12:C246,1),0)+1,
        IFERROR(
            VALUE(TRIM(MID(SUBSTITUTE(D247,"_",REPT(" ",LEN(D247))), (LEN(D247)-LEN(SUBSTITUTE(D247,"_",""))-1)*LEN(D247)+1, LEN(D247))))
            &amp; "." &amp;
            VALUE(TRIM(RIGHT(SUBSTITUTE(D247,"_",REPT(" ",LEN(D247))),LEN(D247)))),
            "")))</f>
        <v/>
      </c>
      <c r="D247" s="158"/>
      <c r="E247" s="159"/>
      <c r="F247" s="159"/>
      <c r="G247" s="159"/>
      <c r="H247" s="159"/>
      <c r="I247" s="158"/>
      <c r="J247" s="158"/>
      <c r="K247" s="159"/>
      <c r="L247" s="160"/>
      <c r="M247" s="159"/>
      <c r="N247" s="159"/>
      <c r="O247" s="161"/>
      <c r="P247" s="162" t="str">
        <f t="shared" si="126"/>
        <v/>
      </c>
      <c r="Q247" s="163" t="str">
        <f t="shared" si="127"/>
        <v/>
      </c>
      <c r="R247" s="164">
        <f t="shared" si="128"/>
        <v>0</v>
      </c>
      <c r="S247" s="165">
        <f t="shared" si="119"/>
        <v>0</v>
      </c>
      <c r="T247" s="165">
        <f t="shared" si="120"/>
        <v>0</v>
      </c>
      <c r="U247" s="166">
        <f t="shared" si="121"/>
        <v>0</v>
      </c>
      <c r="V247" s="153" t="str">
        <f t="shared" si="129"/>
        <v/>
      </c>
      <c r="W247" s="153" t="str">
        <f t="shared" si="130"/>
        <v/>
      </c>
      <c r="X247" s="244"/>
      <c r="Y247" s="154">
        <f t="shared" si="122"/>
        <v>0</v>
      </c>
      <c r="Z247" s="154" t="str">
        <f t="shared" si="118"/>
        <v>1000</v>
      </c>
      <c r="AA247" s="153" t="str">
        <f t="shared" si="131"/>
        <v/>
      </c>
      <c r="AD247" s="155" t="str">
        <f t="shared" si="123"/>
        <v/>
      </c>
      <c r="AI247" s="155">
        <f t="array" ref="AI247">MATCH(MIN(IF($AK$501:$AK$525&gt;=IF(G247&gt;1499,E247+7,E247+5), $AK$501:$AK$525)), $AK$501:$AK$525, 0)</f>
        <v>5</v>
      </c>
      <c r="AK247" s="233"/>
      <c r="AL247" s="233"/>
      <c r="AM247" s="155" t="str">
        <f t="shared" si="132"/>
        <v/>
      </c>
      <c r="AN247" s="155" t="str">
        <f t="shared" si="133"/>
        <v/>
      </c>
      <c r="AX247" s="155" t="str">
        <f t="shared" si="134"/>
        <v/>
      </c>
    </row>
    <row r="248" spans="1:50" s="155" customFormat="1" ht="30" hidden="1" customHeight="1">
      <c r="A248" s="141" t="str">
        <f t="shared" si="124"/>
        <v/>
      </c>
      <c r="B248" s="141" t="str">
        <f t="shared" si="125"/>
        <v/>
      </c>
      <c r="C248" s="157" t="str">
        <f>IF(D248="","",
    IF(ISERR(SEARCH("_",D248)),
        IFERROR(_xlfn.AGGREGATE(14,6,$C$12:C247,1),0)+1,
        IFERROR(
            VALUE(TRIM(MID(SUBSTITUTE(D248,"_",REPT(" ",LEN(D248))), (LEN(D248)-LEN(SUBSTITUTE(D248,"_",""))-1)*LEN(D248)+1, LEN(D248))))
            &amp; "." &amp;
            VALUE(TRIM(RIGHT(SUBSTITUTE(D248,"_",REPT(" ",LEN(D248))),LEN(D248)))),
            "")))</f>
        <v/>
      </c>
      <c r="D248" s="158"/>
      <c r="E248" s="159"/>
      <c r="F248" s="159"/>
      <c r="G248" s="159"/>
      <c r="H248" s="159"/>
      <c r="I248" s="158"/>
      <c r="J248" s="158"/>
      <c r="K248" s="159"/>
      <c r="L248" s="160"/>
      <c r="M248" s="159"/>
      <c r="N248" s="159"/>
      <c r="O248" s="161"/>
      <c r="P248" s="162" t="str">
        <f t="shared" si="126"/>
        <v/>
      </c>
      <c r="Q248" s="163" t="str">
        <f t="shared" si="127"/>
        <v/>
      </c>
      <c r="R248" s="164">
        <f t="shared" si="128"/>
        <v>0</v>
      </c>
      <c r="S248" s="165">
        <f t="shared" si="119"/>
        <v>0</v>
      </c>
      <c r="T248" s="165">
        <f t="shared" si="120"/>
        <v>0</v>
      </c>
      <c r="U248" s="166">
        <f t="shared" si="121"/>
        <v>0</v>
      </c>
      <c r="V248" s="153" t="str">
        <f t="shared" si="129"/>
        <v/>
      </c>
      <c r="W248" s="153" t="str">
        <f t="shared" si="130"/>
        <v/>
      </c>
      <c r="X248" s="244"/>
      <c r="Y248" s="154">
        <f t="shared" si="122"/>
        <v>0</v>
      </c>
      <c r="Z248" s="154" t="str">
        <f t="shared" si="118"/>
        <v>1000</v>
      </c>
      <c r="AA248" s="153" t="str">
        <f t="shared" si="131"/>
        <v/>
      </c>
      <c r="AD248" s="155" t="str">
        <f t="shared" si="123"/>
        <v/>
      </c>
      <c r="AI248" s="155">
        <f t="array" ref="AI248">MATCH(MIN(IF($AK$501:$AK$525&gt;=IF(G248&gt;1499,E248+7,E248+5), $AK$501:$AK$525)), $AK$501:$AK$525, 0)</f>
        <v>5</v>
      </c>
      <c r="AK248" s="233"/>
      <c r="AL248" s="233"/>
      <c r="AM248" s="155" t="str">
        <f t="shared" si="132"/>
        <v/>
      </c>
      <c r="AN248" s="155" t="str">
        <f t="shared" si="133"/>
        <v/>
      </c>
      <c r="AX248" s="155" t="str">
        <f t="shared" si="134"/>
        <v/>
      </c>
    </row>
    <row r="249" spans="1:50" s="155" customFormat="1" ht="30" hidden="1" customHeight="1">
      <c r="A249" s="141" t="str">
        <f t="shared" si="124"/>
        <v/>
      </c>
      <c r="B249" s="141" t="str">
        <f t="shared" si="125"/>
        <v/>
      </c>
      <c r="C249" s="157" t="str">
        <f>IF(D249="","",
    IF(ISERR(SEARCH("_",D249)),
        IFERROR(_xlfn.AGGREGATE(14,6,$C$12:C248,1),0)+1,
        IFERROR(
            VALUE(TRIM(MID(SUBSTITUTE(D249,"_",REPT(" ",LEN(D249))), (LEN(D249)-LEN(SUBSTITUTE(D249,"_",""))-1)*LEN(D249)+1, LEN(D249))))
            &amp; "." &amp;
            VALUE(TRIM(RIGHT(SUBSTITUTE(D249,"_",REPT(" ",LEN(D249))),LEN(D249)))),
            "")))</f>
        <v/>
      </c>
      <c r="D249" s="158"/>
      <c r="E249" s="159"/>
      <c r="F249" s="159"/>
      <c r="G249" s="159"/>
      <c r="H249" s="159"/>
      <c r="I249" s="158"/>
      <c r="J249" s="158"/>
      <c r="K249" s="159"/>
      <c r="L249" s="160"/>
      <c r="M249" s="159"/>
      <c r="N249" s="159"/>
      <c r="O249" s="161"/>
      <c r="P249" s="162" t="str">
        <f t="shared" si="126"/>
        <v/>
      </c>
      <c r="Q249" s="163" t="str">
        <f t="shared" si="127"/>
        <v/>
      </c>
      <c r="R249" s="164">
        <f t="shared" si="128"/>
        <v>0</v>
      </c>
      <c r="S249" s="165">
        <f t="shared" si="119"/>
        <v>0</v>
      </c>
      <c r="T249" s="165">
        <f t="shared" si="120"/>
        <v>0</v>
      </c>
      <c r="U249" s="166">
        <f t="shared" si="121"/>
        <v>0</v>
      </c>
      <c r="V249" s="153" t="str">
        <f t="shared" si="129"/>
        <v/>
      </c>
      <c r="W249" s="153" t="str">
        <f t="shared" si="130"/>
        <v/>
      </c>
      <c r="X249" s="244"/>
      <c r="Y249" s="154">
        <f t="shared" si="122"/>
        <v>0</v>
      </c>
      <c r="Z249" s="154" t="str">
        <f t="shared" si="118"/>
        <v>1000</v>
      </c>
      <c r="AA249" s="153" t="str">
        <f t="shared" si="131"/>
        <v/>
      </c>
      <c r="AD249" s="155" t="str">
        <f t="shared" si="123"/>
        <v/>
      </c>
      <c r="AI249" s="155">
        <f t="array" ref="AI249">MATCH(MIN(IF($AK$501:$AK$525&gt;=IF(G249&gt;1499,E249+7,E249+5), $AK$501:$AK$525)), $AK$501:$AK$525, 0)</f>
        <v>5</v>
      </c>
      <c r="AK249" s="233"/>
      <c r="AL249" s="233"/>
      <c r="AM249" s="155" t="str">
        <f t="shared" si="132"/>
        <v/>
      </c>
      <c r="AN249" s="155" t="str">
        <f t="shared" si="133"/>
        <v/>
      </c>
      <c r="AX249" s="155" t="str">
        <f t="shared" si="134"/>
        <v/>
      </c>
    </row>
    <row r="250" spans="1:50" s="155" customFormat="1" ht="30" hidden="1" customHeight="1">
      <c r="A250" s="141" t="str">
        <f t="shared" si="124"/>
        <v/>
      </c>
      <c r="B250" s="141" t="str">
        <f t="shared" si="125"/>
        <v/>
      </c>
      <c r="C250" s="157" t="str">
        <f>IF(D250="","",
    IF(ISERR(SEARCH("_",D250)),
        IFERROR(_xlfn.AGGREGATE(14,6,$C$12:C249,1),0)+1,
        IFERROR(
            VALUE(TRIM(MID(SUBSTITUTE(D250,"_",REPT(" ",LEN(D250))), (LEN(D250)-LEN(SUBSTITUTE(D250,"_",""))-1)*LEN(D250)+1, LEN(D250))))
            &amp; "." &amp;
            VALUE(TRIM(RIGHT(SUBSTITUTE(D250,"_",REPT(" ",LEN(D250))),LEN(D250)))),
            "")))</f>
        <v/>
      </c>
      <c r="D250" s="158"/>
      <c r="E250" s="159"/>
      <c r="F250" s="159"/>
      <c r="G250" s="159"/>
      <c r="H250" s="159"/>
      <c r="I250" s="158"/>
      <c r="J250" s="158"/>
      <c r="K250" s="159"/>
      <c r="L250" s="160"/>
      <c r="M250" s="159"/>
      <c r="N250" s="159"/>
      <c r="O250" s="161"/>
      <c r="P250" s="162" t="str">
        <f t="shared" si="126"/>
        <v/>
      </c>
      <c r="Q250" s="163" t="str">
        <f t="shared" si="127"/>
        <v/>
      </c>
      <c r="R250" s="164">
        <f t="shared" si="128"/>
        <v>0</v>
      </c>
      <c r="S250" s="165">
        <f t="shared" si="119"/>
        <v>0</v>
      </c>
      <c r="T250" s="165">
        <f t="shared" si="120"/>
        <v>0</v>
      </c>
      <c r="U250" s="166">
        <f t="shared" si="121"/>
        <v>0</v>
      </c>
      <c r="V250" s="153" t="str">
        <f t="shared" si="129"/>
        <v/>
      </c>
      <c r="W250" s="153" t="str">
        <f t="shared" si="130"/>
        <v/>
      </c>
      <c r="X250" s="244"/>
      <c r="Y250" s="154">
        <f t="shared" si="122"/>
        <v>0</v>
      </c>
      <c r="Z250" s="154" t="str">
        <f t="shared" si="118"/>
        <v>1000</v>
      </c>
      <c r="AA250" s="153" t="str">
        <f t="shared" si="131"/>
        <v/>
      </c>
      <c r="AD250" s="155" t="str">
        <f t="shared" si="123"/>
        <v/>
      </c>
      <c r="AI250" s="155">
        <f t="array" ref="AI250">MATCH(MIN(IF($AK$501:$AK$525&gt;=IF(G250&gt;1499,E250+7,E250+5), $AK$501:$AK$525)), $AK$501:$AK$525, 0)</f>
        <v>5</v>
      </c>
      <c r="AK250" s="233"/>
      <c r="AL250" s="233"/>
      <c r="AM250" s="155" t="str">
        <f t="shared" si="132"/>
        <v/>
      </c>
      <c r="AN250" s="155" t="str">
        <f t="shared" si="133"/>
        <v/>
      </c>
      <c r="AX250" s="155" t="str">
        <f t="shared" si="134"/>
        <v/>
      </c>
    </row>
    <row r="251" spans="1:50" s="155" customFormat="1" ht="30" hidden="1" customHeight="1">
      <c r="A251" s="141" t="str">
        <f t="shared" si="124"/>
        <v/>
      </c>
      <c r="B251" s="141" t="str">
        <f t="shared" si="125"/>
        <v/>
      </c>
      <c r="C251" s="157" t="str">
        <f>IF(D251="","",
    IF(ISERR(SEARCH("_",D251)),
        IFERROR(_xlfn.AGGREGATE(14,6,$C$12:C250,1),0)+1,
        IFERROR(
            VALUE(TRIM(MID(SUBSTITUTE(D251,"_",REPT(" ",LEN(D251))), (LEN(D251)-LEN(SUBSTITUTE(D251,"_",""))-1)*LEN(D251)+1, LEN(D251))))
            &amp; "." &amp;
            VALUE(TRIM(RIGHT(SUBSTITUTE(D251,"_",REPT(" ",LEN(D251))),LEN(D251)))),
            "")))</f>
        <v/>
      </c>
      <c r="D251" s="158"/>
      <c r="E251" s="159"/>
      <c r="F251" s="159"/>
      <c r="G251" s="159"/>
      <c r="H251" s="159"/>
      <c r="I251" s="158"/>
      <c r="J251" s="158"/>
      <c r="K251" s="159"/>
      <c r="L251" s="160"/>
      <c r="M251" s="159"/>
      <c r="N251" s="159"/>
      <c r="O251" s="161"/>
      <c r="P251" s="162" t="str">
        <f t="shared" si="126"/>
        <v/>
      </c>
      <c r="Q251" s="163" t="str">
        <f t="shared" si="127"/>
        <v/>
      </c>
      <c r="R251" s="164">
        <f t="shared" si="128"/>
        <v>0</v>
      </c>
      <c r="S251" s="165">
        <f t="shared" si="119"/>
        <v>0</v>
      </c>
      <c r="T251" s="165">
        <f t="shared" si="120"/>
        <v>0</v>
      </c>
      <c r="U251" s="166">
        <f t="shared" si="121"/>
        <v>0</v>
      </c>
      <c r="V251" s="153" t="str">
        <f t="shared" si="129"/>
        <v/>
      </c>
      <c r="W251" s="153" t="str">
        <f t="shared" si="130"/>
        <v/>
      </c>
      <c r="X251" s="244"/>
      <c r="Y251" s="154">
        <f t="shared" si="122"/>
        <v>0</v>
      </c>
      <c r="Z251" s="154" t="str">
        <f t="shared" si="118"/>
        <v>1000</v>
      </c>
      <c r="AA251" s="153" t="str">
        <f t="shared" si="131"/>
        <v/>
      </c>
      <c r="AD251" s="155" t="str">
        <f t="shared" si="123"/>
        <v/>
      </c>
      <c r="AI251" s="155">
        <f t="array" ref="AI251">MATCH(MIN(IF($AK$501:$AK$525&gt;=IF(G251&gt;1499,E251+7,E251+5), $AK$501:$AK$525)), $AK$501:$AK$525, 0)</f>
        <v>5</v>
      </c>
      <c r="AK251" s="233"/>
      <c r="AL251" s="233"/>
      <c r="AM251" s="155" t="str">
        <f t="shared" si="132"/>
        <v/>
      </c>
      <c r="AN251" s="155" t="str">
        <f t="shared" si="133"/>
        <v/>
      </c>
      <c r="AX251" s="155" t="str">
        <f t="shared" si="134"/>
        <v/>
      </c>
    </row>
    <row r="252" spans="1:50" s="155" customFormat="1" ht="30" hidden="1" customHeight="1">
      <c r="A252" s="141" t="str">
        <f t="shared" si="124"/>
        <v/>
      </c>
      <c r="B252" s="141" t="str">
        <f t="shared" si="125"/>
        <v/>
      </c>
      <c r="C252" s="157" t="str">
        <f>IF(D252="","",
    IF(ISERR(SEARCH("_",D252)),
        IFERROR(_xlfn.AGGREGATE(14,6,$C$12:C251,1),0)+1,
        IFERROR(
            VALUE(TRIM(MID(SUBSTITUTE(D252,"_",REPT(" ",LEN(D252))), (LEN(D252)-LEN(SUBSTITUTE(D252,"_",""))-1)*LEN(D252)+1, LEN(D252))))
            &amp; "." &amp;
            VALUE(TRIM(RIGHT(SUBSTITUTE(D252,"_",REPT(" ",LEN(D252))),LEN(D252)))),
            "")))</f>
        <v/>
      </c>
      <c r="D252" s="158"/>
      <c r="E252" s="159"/>
      <c r="F252" s="159"/>
      <c r="G252" s="159"/>
      <c r="H252" s="159"/>
      <c r="I252" s="158"/>
      <c r="J252" s="158"/>
      <c r="K252" s="159"/>
      <c r="L252" s="160"/>
      <c r="M252" s="159"/>
      <c r="N252" s="159"/>
      <c r="O252" s="161"/>
      <c r="P252" s="162" t="str">
        <f t="shared" si="126"/>
        <v/>
      </c>
      <c r="Q252" s="163" t="str">
        <f t="shared" si="127"/>
        <v/>
      </c>
      <c r="R252" s="164">
        <f t="shared" si="128"/>
        <v>0</v>
      </c>
      <c r="S252" s="165">
        <f t="shared" si="119"/>
        <v>0</v>
      </c>
      <c r="T252" s="165">
        <f t="shared" si="120"/>
        <v>0</v>
      </c>
      <c r="U252" s="166">
        <f t="shared" si="121"/>
        <v>0</v>
      </c>
      <c r="V252" s="153" t="str">
        <f t="shared" si="129"/>
        <v/>
      </c>
      <c r="W252" s="153" t="str">
        <f t="shared" si="130"/>
        <v/>
      </c>
      <c r="X252" s="244"/>
      <c r="Y252" s="154">
        <f t="shared" si="122"/>
        <v>0</v>
      </c>
      <c r="Z252" s="154" t="str">
        <f t="shared" si="118"/>
        <v>1000</v>
      </c>
      <c r="AA252" s="153" t="str">
        <f t="shared" si="131"/>
        <v/>
      </c>
      <c r="AD252" s="155" t="str">
        <f t="shared" si="123"/>
        <v/>
      </c>
      <c r="AI252" s="155">
        <f t="array" ref="AI252">MATCH(MIN(IF($AK$501:$AK$525&gt;=IF(G252&gt;1499,E252+7,E252+5), $AK$501:$AK$525)), $AK$501:$AK$525, 0)</f>
        <v>5</v>
      </c>
      <c r="AK252" s="233"/>
      <c r="AL252" s="233"/>
      <c r="AM252" s="155" t="str">
        <f t="shared" si="132"/>
        <v/>
      </c>
      <c r="AN252" s="155" t="str">
        <f t="shared" si="133"/>
        <v/>
      </c>
      <c r="AX252" s="155" t="str">
        <f t="shared" si="134"/>
        <v/>
      </c>
    </row>
    <row r="253" spans="1:50" s="155" customFormat="1" ht="30" hidden="1" customHeight="1">
      <c r="A253" s="141" t="str">
        <f t="shared" si="124"/>
        <v/>
      </c>
      <c r="B253" s="141" t="str">
        <f t="shared" si="125"/>
        <v/>
      </c>
      <c r="C253" s="157" t="str">
        <f>IF(D253="","",
    IF(ISERR(SEARCH("_",D253)),
        IFERROR(_xlfn.AGGREGATE(14,6,$C$12:C252,1),0)+1,
        IFERROR(
            VALUE(TRIM(MID(SUBSTITUTE(D253,"_",REPT(" ",LEN(D253))), (LEN(D253)-LEN(SUBSTITUTE(D253,"_",""))-1)*LEN(D253)+1, LEN(D253))))
            &amp; "." &amp;
            VALUE(TRIM(RIGHT(SUBSTITUTE(D253,"_",REPT(" ",LEN(D253))),LEN(D253)))),
            "")))</f>
        <v/>
      </c>
      <c r="D253" s="158"/>
      <c r="E253" s="159"/>
      <c r="F253" s="159"/>
      <c r="G253" s="159"/>
      <c r="H253" s="159"/>
      <c r="I253" s="158"/>
      <c r="J253" s="158"/>
      <c r="K253" s="159"/>
      <c r="L253" s="160"/>
      <c r="M253" s="159"/>
      <c r="N253" s="159"/>
      <c r="O253" s="161"/>
      <c r="P253" s="162" t="str">
        <f t="shared" si="126"/>
        <v/>
      </c>
      <c r="Q253" s="163" t="str">
        <f t="shared" si="127"/>
        <v/>
      </c>
      <c r="R253" s="164">
        <f t="shared" si="128"/>
        <v>0</v>
      </c>
      <c r="S253" s="165">
        <f t="shared" si="119"/>
        <v>0</v>
      </c>
      <c r="T253" s="165">
        <f t="shared" si="120"/>
        <v>0</v>
      </c>
      <c r="U253" s="166">
        <f t="shared" si="121"/>
        <v>0</v>
      </c>
      <c r="V253" s="153" t="str">
        <f t="shared" si="129"/>
        <v/>
      </c>
      <c r="W253" s="153" t="str">
        <f t="shared" si="130"/>
        <v/>
      </c>
      <c r="X253" s="244"/>
      <c r="Y253" s="154">
        <f t="shared" si="122"/>
        <v>0</v>
      </c>
      <c r="Z253" s="154" t="str">
        <f t="shared" si="118"/>
        <v>1000</v>
      </c>
      <c r="AA253" s="153" t="str">
        <f t="shared" si="131"/>
        <v/>
      </c>
      <c r="AD253" s="155" t="str">
        <f t="shared" si="123"/>
        <v/>
      </c>
      <c r="AI253" s="155">
        <f t="array" ref="AI253">MATCH(MIN(IF($AK$501:$AK$525&gt;=IF(G253&gt;1499,E253+7,E253+5), $AK$501:$AK$525)), $AK$501:$AK$525, 0)</f>
        <v>5</v>
      </c>
      <c r="AK253" s="233"/>
      <c r="AL253" s="233"/>
      <c r="AM253" s="155" t="str">
        <f t="shared" si="132"/>
        <v/>
      </c>
      <c r="AN253" s="155" t="str">
        <f t="shared" si="133"/>
        <v/>
      </c>
      <c r="AX253" s="155" t="str">
        <f t="shared" si="134"/>
        <v/>
      </c>
    </row>
    <row r="254" spans="1:50" s="155" customFormat="1" ht="30" hidden="1" customHeight="1">
      <c r="A254" s="141" t="str">
        <f t="shared" si="124"/>
        <v/>
      </c>
      <c r="B254" s="141" t="str">
        <f t="shared" si="125"/>
        <v/>
      </c>
      <c r="C254" s="157" t="str">
        <f>IF(D254="","",
    IF(ISERR(SEARCH("_",D254)),
        IFERROR(_xlfn.AGGREGATE(14,6,$C$12:C253,1),0)+1,
        IFERROR(
            VALUE(TRIM(MID(SUBSTITUTE(D254,"_",REPT(" ",LEN(D254))), (LEN(D254)-LEN(SUBSTITUTE(D254,"_",""))-1)*LEN(D254)+1, LEN(D254))))
            &amp; "." &amp;
            VALUE(TRIM(RIGHT(SUBSTITUTE(D254,"_",REPT(" ",LEN(D254))),LEN(D254)))),
            "")))</f>
        <v/>
      </c>
      <c r="D254" s="158"/>
      <c r="E254" s="159"/>
      <c r="F254" s="159"/>
      <c r="G254" s="159"/>
      <c r="H254" s="159"/>
      <c r="I254" s="158"/>
      <c r="J254" s="158"/>
      <c r="K254" s="159"/>
      <c r="L254" s="160"/>
      <c r="M254" s="159"/>
      <c r="N254" s="159"/>
      <c r="O254" s="161"/>
      <c r="P254" s="162" t="str">
        <f t="shared" si="126"/>
        <v/>
      </c>
      <c r="Q254" s="163" t="str">
        <f t="shared" si="127"/>
        <v/>
      </c>
      <c r="R254" s="164">
        <f t="shared" si="128"/>
        <v>0</v>
      </c>
      <c r="S254" s="165">
        <f t="shared" si="119"/>
        <v>0</v>
      </c>
      <c r="T254" s="165">
        <f t="shared" si="120"/>
        <v>0</v>
      </c>
      <c r="U254" s="166">
        <f t="shared" si="121"/>
        <v>0</v>
      </c>
      <c r="V254" s="153" t="str">
        <f t="shared" si="129"/>
        <v/>
      </c>
      <c r="W254" s="153" t="str">
        <f t="shared" si="130"/>
        <v/>
      </c>
      <c r="X254" s="244"/>
      <c r="Y254" s="154">
        <f t="shared" si="122"/>
        <v>0</v>
      </c>
      <c r="Z254" s="154" t="str">
        <f t="shared" si="118"/>
        <v>1000</v>
      </c>
      <c r="AA254" s="153" t="str">
        <f t="shared" si="131"/>
        <v/>
      </c>
      <c r="AD254" s="155" t="str">
        <f t="shared" si="123"/>
        <v/>
      </c>
      <c r="AI254" s="155">
        <f t="array" ref="AI254">MATCH(MIN(IF($AK$501:$AK$525&gt;=IF(G254&gt;1499,E254+7,E254+5), $AK$501:$AK$525)), $AK$501:$AK$525, 0)</f>
        <v>5</v>
      </c>
      <c r="AK254" s="233"/>
      <c r="AL254" s="233"/>
      <c r="AM254" s="155" t="str">
        <f t="shared" si="132"/>
        <v/>
      </c>
      <c r="AN254" s="155" t="str">
        <f t="shared" si="133"/>
        <v/>
      </c>
      <c r="AX254" s="155" t="str">
        <f t="shared" si="134"/>
        <v/>
      </c>
    </row>
    <row r="255" spans="1:50" s="155" customFormat="1" ht="30" hidden="1" customHeight="1">
      <c r="A255" s="141" t="str">
        <f t="shared" si="124"/>
        <v/>
      </c>
      <c r="B255" s="141" t="str">
        <f t="shared" si="125"/>
        <v/>
      </c>
      <c r="C255" s="157" t="str">
        <f>IF(D255="","",
    IF(ISERR(SEARCH("_",D255)),
        IFERROR(_xlfn.AGGREGATE(14,6,$C$12:C254,1),0)+1,
        IFERROR(
            VALUE(TRIM(MID(SUBSTITUTE(D255,"_",REPT(" ",LEN(D255))), (LEN(D255)-LEN(SUBSTITUTE(D255,"_",""))-1)*LEN(D255)+1, LEN(D255))))
            &amp; "." &amp;
            VALUE(TRIM(RIGHT(SUBSTITUTE(D255,"_",REPT(" ",LEN(D255))),LEN(D255)))),
            "")))</f>
        <v/>
      </c>
      <c r="D255" s="158"/>
      <c r="E255" s="159"/>
      <c r="F255" s="159"/>
      <c r="G255" s="159"/>
      <c r="H255" s="159"/>
      <c r="I255" s="158"/>
      <c r="J255" s="158"/>
      <c r="K255" s="159"/>
      <c r="L255" s="160"/>
      <c r="M255" s="159"/>
      <c r="N255" s="159"/>
      <c r="O255" s="161"/>
      <c r="P255" s="162" t="str">
        <f t="shared" si="126"/>
        <v/>
      </c>
      <c r="Q255" s="163" t="str">
        <f t="shared" si="127"/>
        <v/>
      </c>
      <c r="R255" s="164">
        <f t="shared" si="128"/>
        <v>0</v>
      </c>
      <c r="S255" s="165">
        <f t="shared" si="119"/>
        <v>0</v>
      </c>
      <c r="T255" s="165">
        <f t="shared" si="120"/>
        <v>0</v>
      </c>
      <c r="U255" s="166">
        <f t="shared" si="121"/>
        <v>0</v>
      </c>
      <c r="V255" s="153" t="str">
        <f t="shared" si="129"/>
        <v/>
      </c>
      <c r="W255" s="153" t="str">
        <f t="shared" si="130"/>
        <v/>
      </c>
      <c r="X255" s="244"/>
      <c r="Y255" s="154">
        <f t="shared" si="122"/>
        <v>0</v>
      </c>
      <c r="Z255" s="154" t="str">
        <f t="shared" si="118"/>
        <v>1000</v>
      </c>
      <c r="AA255" s="153" t="str">
        <f t="shared" si="131"/>
        <v/>
      </c>
      <c r="AD255" s="155" t="str">
        <f t="shared" si="123"/>
        <v/>
      </c>
      <c r="AI255" s="155">
        <f t="array" ref="AI255">MATCH(MIN(IF($AK$501:$AK$525&gt;=IF(G255&gt;1499,E255+7,E255+5), $AK$501:$AK$525)), $AK$501:$AK$525, 0)</f>
        <v>5</v>
      </c>
      <c r="AK255" s="233"/>
      <c r="AL255" s="233"/>
      <c r="AM255" s="155" t="str">
        <f t="shared" si="132"/>
        <v/>
      </c>
      <c r="AN255" s="155" t="str">
        <f t="shared" si="133"/>
        <v/>
      </c>
      <c r="AX255" s="155" t="str">
        <f t="shared" si="134"/>
        <v/>
      </c>
    </row>
    <row r="256" spans="1:50" s="155" customFormat="1" ht="30" hidden="1" customHeight="1">
      <c r="A256" s="141" t="str">
        <f t="shared" si="124"/>
        <v/>
      </c>
      <c r="B256" s="141" t="str">
        <f t="shared" si="125"/>
        <v/>
      </c>
      <c r="C256" s="157" t="str">
        <f>IF(D256="","",
    IF(ISERR(SEARCH("_",D256)),
        IFERROR(_xlfn.AGGREGATE(14,6,$C$12:C255,1),0)+1,
        IFERROR(
            VALUE(TRIM(MID(SUBSTITUTE(D256,"_",REPT(" ",LEN(D256))), (LEN(D256)-LEN(SUBSTITUTE(D256,"_",""))-1)*LEN(D256)+1, LEN(D256))))
            &amp; "." &amp;
            VALUE(TRIM(RIGHT(SUBSTITUTE(D256,"_",REPT(" ",LEN(D256))),LEN(D256)))),
            "")))</f>
        <v/>
      </c>
      <c r="D256" s="158"/>
      <c r="E256" s="159"/>
      <c r="F256" s="159"/>
      <c r="G256" s="159"/>
      <c r="H256" s="159"/>
      <c r="I256" s="158"/>
      <c r="J256" s="158"/>
      <c r="K256" s="159"/>
      <c r="L256" s="160"/>
      <c r="M256" s="159"/>
      <c r="N256" s="159"/>
      <c r="O256" s="161"/>
      <c r="P256" s="162" t="str">
        <f t="shared" si="126"/>
        <v/>
      </c>
      <c r="Q256" s="163" t="str">
        <f t="shared" si="127"/>
        <v/>
      </c>
      <c r="R256" s="164">
        <f t="shared" si="128"/>
        <v>0</v>
      </c>
      <c r="S256" s="165">
        <f t="shared" si="119"/>
        <v>0</v>
      </c>
      <c r="T256" s="165">
        <f t="shared" si="120"/>
        <v>0</v>
      </c>
      <c r="U256" s="166">
        <f t="shared" si="121"/>
        <v>0</v>
      </c>
      <c r="V256" s="153" t="str">
        <f t="shared" si="129"/>
        <v/>
      </c>
      <c r="W256" s="153" t="str">
        <f t="shared" si="130"/>
        <v/>
      </c>
      <c r="X256" s="244"/>
      <c r="Y256" s="154">
        <f t="shared" si="122"/>
        <v>0</v>
      </c>
      <c r="Z256" s="154" t="str">
        <f t="shared" si="118"/>
        <v>1000</v>
      </c>
      <c r="AA256" s="153" t="str">
        <f t="shared" si="131"/>
        <v/>
      </c>
      <c r="AD256" s="155" t="str">
        <f t="shared" si="123"/>
        <v/>
      </c>
      <c r="AI256" s="155">
        <f t="array" ref="AI256">MATCH(MIN(IF($AK$501:$AK$525&gt;=IF(G256&gt;1499,E256+7,E256+5), $AK$501:$AK$525)), $AK$501:$AK$525, 0)</f>
        <v>5</v>
      </c>
      <c r="AK256" s="233"/>
      <c r="AL256" s="233"/>
      <c r="AM256" s="155" t="str">
        <f t="shared" si="132"/>
        <v/>
      </c>
      <c r="AN256" s="155" t="str">
        <f t="shared" si="133"/>
        <v/>
      </c>
      <c r="AX256" s="155" t="str">
        <f t="shared" si="134"/>
        <v/>
      </c>
    </row>
    <row r="257" spans="1:50" s="155" customFormat="1" ht="30" hidden="1" customHeight="1">
      <c r="A257" s="141" t="str">
        <f t="shared" si="124"/>
        <v/>
      </c>
      <c r="B257" s="141" t="str">
        <f t="shared" si="125"/>
        <v/>
      </c>
      <c r="C257" s="157" t="str">
        <f>IF(D257="","",
    IF(ISERR(SEARCH("_",D257)),
        IFERROR(_xlfn.AGGREGATE(14,6,$C$12:C256,1),0)+1,
        IFERROR(
            VALUE(TRIM(MID(SUBSTITUTE(D257,"_",REPT(" ",LEN(D257))), (LEN(D257)-LEN(SUBSTITUTE(D257,"_",""))-1)*LEN(D257)+1, LEN(D257))))
            &amp; "." &amp;
            VALUE(TRIM(RIGHT(SUBSTITUTE(D257,"_",REPT(" ",LEN(D257))),LEN(D257)))),
            "")))</f>
        <v/>
      </c>
      <c r="D257" s="158"/>
      <c r="E257" s="159"/>
      <c r="F257" s="159"/>
      <c r="G257" s="159"/>
      <c r="H257" s="159"/>
      <c r="I257" s="158"/>
      <c r="J257" s="158"/>
      <c r="K257" s="159"/>
      <c r="L257" s="160"/>
      <c r="M257" s="159"/>
      <c r="N257" s="159"/>
      <c r="O257" s="161"/>
      <c r="P257" s="162" t="str">
        <f t="shared" si="126"/>
        <v/>
      </c>
      <c r="Q257" s="163" t="str">
        <f t="shared" si="127"/>
        <v/>
      </c>
      <c r="R257" s="164">
        <f t="shared" si="128"/>
        <v>0</v>
      </c>
      <c r="S257" s="165">
        <f t="shared" si="119"/>
        <v>0</v>
      </c>
      <c r="T257" s="165">
        <f t="shared" si="120"/>
        <v>0</v>
      </c>
      <c r="U257" s="166">
        <f t="shared" si="121"/>
        <v>0</v>
      </c>
      <c r="V257" s="153" t="str">
        <f t="shared" si="129"/>
        <v/>
      </c>
      <c r="W257" s="153" t="str">
        <f t="shared" si="130"/>
        <v/>
      </c>
      <c r="X257" s="244"/>
      <c r="Y257" s="154">
        <f t="shared" si="122"/>
        <v>0</v>
      </c>
      <c r="Z257" s="154" t="str">
        <f t="shared" si="118"/>
        <v>1000</v>
      </c>
      <c r="AA257" s="153" t="str">
        <f t="shared" si="131"/>
        <v/>
      </c>
      <c r="AD257" s="155" t="str">
        <f t="shared" si="123"/>
        <v/>
      </c>
      <c r="AI257" s="155">
        <f t="array" ref="AI257">MATCH(MIN(IF($AK$501:$AK$525&gt;=IF(G257&gt;1499,E257+7,E257+5), $AK$501:$AK$525)), $AK$501:$AK$525, 0)</f>
        <v>5</v>
      </c>
      <c r="AK257" s="233"/>
      <c r="AL257" s="233"/>
      <c r="AM257" s="155" t="str">
        <f t="shared" si="132"/>
        <v/>
      </c>
      <c r="AN257" s="155" t="str">
        <f t="shared" si="133"/>
        <v/>
      </c>
      <c r="AX257" s="155" t="str">
        <f t="shared" si="134"/>
        <v/>
      </c>
    </row>
    <row r="258" spans="1:50" s="155" customFormat="1" ht="30" hidden="1" customHeight="1">
      <c r="A258" s="141" t="str">
        <f t="shared" si="124"/>
        <v/>
      </c>
      <c r="B258" s="141" t="str">
        <f t="shared" si="125"/>
        <v/>
      </c>
      <c r="C258" s="157" t="str">
        <f>IF(D258="","",
    IF(ISERR(SEARCH("_",D258)),
        IFERROR(_xlfn.AGGREGATE(14,6,$C$12:C257,1),0)+1,
        IFERROR(
            VALUE(TRIM(MID(SUBSTITUTE(D258,"_",REPT(" ",LEN(D258))), (LEN(D258)-LEN(SUBSTITUTE(D258,"_",""))-1)*LEN(D258)+1, LEN(D258))))
            &amp; "." &amp;
            VALUE(TRIM(RIGHT(SUBSTITUTE(D258,"_",REPT(" ",LEN(D258))),LEN(D258)))),
            "")))</f>
        <v/>
      </c>
      <c r="D258" s="158"/>
      <c r="E258" s="159"/>
      <c r="F258" s="159"/>
      <c r="G258" s="159"/>
      <c r="H258" s="159"/>
      <c r="I258" s="158"/>
      <c r="J258" s="158"/>
      <c r="K258" s="159"/>
      <c r="L258" s="160"/>
      <c r="M258" s="159"/>
      <c r="N258" s="159"/>
      <c r="O258" s="161"/>
      <c r="P258" s="162" t="str">
        <f t="shared" si="126"/>
        <v/>
      </c>
      <c r="Q258" s="163" t="str">
        <f t="shared" si="127"/>
        <v/>
      </c>
      <c r="R258" s="164">
        <f t="shared" si="128"/>
        <v>0</v>
      </c>
      <c r="S258" s="165">
        <f t="shared" si="119"/>
        <v>0</v>
      </c>
      <c r="T258" s="165">
        <f t="shared" si="120"/>
        <v>0</v>
      </c>
      <c r="U258" s="166">
        <f t="shared" si="121"/>
        <v>0</v>
      </c>
      <c r="V258" s="153" t="str">
        <f t="shared" si="129"/>
        <v/>
      </c>
      <c r="W258" s="153" t="str">
        <f t="shared" si="130"/>
        <v/>
      </c>
      <c r="X258" s="244"/>
      <c r="Y258" s="154">
        <f t="shared" si="122"/>
        <v>0</v>
      </c>
      <c r="Z258" s="154" t="str">
        <f t="shared" si="118"/>
        <v>1000</v>
      </c>
      <c r="AA258" s="153" t="str">
        <f t="shared" si="131"/>
        <v/>
      </c>
      <c r="AD258" s="155" t="str">
        <f t="shared" si="123"/>
        <v/>
      </c>
      <c r="AI258" s="155">
        <f t="array" ref="AI258">MATCH(MIN(IF($AK$501:$AK$525&gt;=IF(G258&gt;1499,E258+7,E258+5), $AK$501:$AK$525)), $AK$501:$AK$525, 0)</f>
        <v>5</v>
      </c>
      <c r="AK258" s="233"/>
      <c r="AL258" s="233"/>
      <c r="AM258" s="155" t="str">
        <f t="shared" si="132"/>
        <v/>
      </c>
      <c r="AN258" s="155" t="str">
        <f t="shared" si="133"/>
        <v/>
      </c>
      <c r="AX258" s="155" t="str">
        <f t="shared" si="134"/>
        <v/>
      </c>
    </row>
    <row r="259" spans="1:50" s="155" customFormat="1" ht="30" hidden="1" customHeight="1">
      <c r="A259" s="141" t="str">
        <f t="shared" si="124"/>
        <v/>
      </c>
      <c r="B259" s="141" t="str">
        <f t="shared" si="125"/>
        <v/>
      </c>
      <c r="C259" s="157" t="str">
        <f>IF(D259="","",
    IF(ISERR(SEARCH("_",D259)),
        IFERROR(_xlfn.AGGREGATE(14,6,$C$12:C258,1),0)+1,
        IFERROR(
            VALUE(TRIM(MID(SUBSTITUTE(D259,"_",REPT(" ",LEN(D259))), (LEN(D259)-LEN(SUBSTITUTE(D259,"_",""))-1)*LEN(D259)+1, LEN(D259))))
            &amp; "." &amp;
            VALUE(TRIM(RIGHT(SUBSTITUTE(D259,"_",REPT(" ",LEN(D259))),LEN(D259)))),
            "")))</f>
        <v/>
      </c>
      <c r="D259" s="158"/>
      <c r="E259" s="159"/>
      <c r="F259" s="159"/>
      <c r="G259" s="159"/>
      <c r="H259" s="159"/>
      <c r="I259" s="158"/>
      <c r="J259" s="158"/>
      <c r="K259" s="159"/>
      <c r="L259" s="160"/>
      <c r="M259" s="159"/>
      <c r="N259" s="159"/>
      <c r="O259" s="161"/>
      <c r="P259" s="162" t="str">
        <f t="shared" si="126"/>
        <v/>
      </c>
      <c r="Q259" s="163" t="str">
        <f t="shared" si="127"/>
        <v/>
      </c>
      <c r="R259" s="164">
        <f t="shared" si="128"/>
        <v>0</v>
      </c>
      <c r="S259" s="165">
        <f t="shared" si="119"/>
        <v>0</v>
      </c>
      <c r="T259" s="165">
        <f t="shared" si="120"/>
        <v>0</v>
      </c>
      <c r="U259" s="166">
        <f t="shared" si="121"/>
        <v>0</v>
      </c>
      <c r="V259" s="153" t="str">
        <f t="shared" si="129"/>
        <v/>
      </c>
      <c r="W259" s="153" t="str">
        <f t="shared" si="130"/>
        <v/>
      </c>
      <c r="X259" s="244"/>
      <c r="Y259" s="154">
        <f t="shared" si="122"/>
        <v>0</v>
      </c>
      <c r="Z259" s="154" t="str">
        <f t="shared" si="118"/>
        <v>1000</v>
      </c>
      <c r="AA259" s="153" t="str">
        <f t="shared" si="131"/>
        <v/>
      </c>
      <c r="AD259" s="155" t="str">
        <f t="shared" si="123"/>
        <v/>
      </c>
      <c r="AI259" s="155">
        <f t="array" ref="AI259">MATCH(MIN(IF($AK$501:$AK$525&gt;=IF(G259&gt;1499,E259+7,E259+5), $AK$501:$AK$525)), $AK$501:$AK$525, 0)</f>
        <v>5</v>
      </c>
      <c r="AK259" s="233"/>
      <c r="AL259" s="233"/>
      <c r="AM259" s="155" t="str">
        <f t="shared" si="132"/>
        <v/>
      </c>
      <c r="AN259" s="155" t="str">
        <f t="shared" si="133"/>
        <v/>
      </c>
      <c r="AX259" s="155" t="str">
        <f t="shared" si="134"/>
        <v/>
      </c>
    </row>
    <row r="260" spans="1:50" s="155" customFormat="1" ht="30" hidden="1" customHeight="1">
      <c r="A260" s="141" t="str">
        <f t="shared" si="124"/>
        <v/>
      </c>
      <c r="B260" s="141" t="str">
        <f t="shared" si="125"/>
        <v/>
      </c>
      <c r="C260" s="157" t="str">
        <f>IF(D260="","",
    IF(ISERR(SEARCH("_",D260)),
        IFERROR(_xlfn.AGGREGATE(14,6,$C$12:C259,1),0)+1,
        IFERROR(
            VALUE(TRIM(MID(SUBSTITUTE(D260,"_",REPT(" ",LEN(D260))), (LEN(D260)-LEN(SUBSTITUTE(D260,"_",""))-1)*LEN(D260)+1, LEN(D260))))
            &amp; "." &amp;
            VALUE(TRIM(RIGHT(SUBSTITUTE(D260,"_",REPT(" ",LEN(D260))),LEN(D260)))),
            "")))</f>
        <v/>
      </c>
      <c r="D260" s="158"/>
      <c r="E260" s="159"/>
      <c r="F260" s="159"/>
      <c r="G260" s="159"/>
      <c r="H260" s="159"/>
      <c r="I260" s="158"/>
      <c r="J260" s="158"/>
      <c r="K260" s="159"/>
      <c r="L260" s="160"/>
      <c r="M260" s="159"/>
      <c r="N260" s="159"/>
      <c r="O260" s="161"/>
      <c r="P260" s="162" t="str">
        <f t="shared" si="126"/>
        <v/>
      </c>
      <c r="Q260" s="163" t="str">
        <f t="shared" si="127"/>
        <v/>
      </c>
      <c r="R260" s="164">
        <f t="shared" si="128"/>
        <v>0</v>
      </c>
      <c r="S260" s="165">
        <f t="shared" si="119"/>
        <v>0</v>
      </c>
      <c r="T260" s="165">
        <f t="shared" si="120"/>
        <v>0</v>
      </c>
      <c r="U260" s="166">
        <f t="shared" si="121"/>
        <v>0</v>
      </c>
      <c r="V260" s="153" t="str">
        <f t="shared" si="129"/>
        <v/>
      </c>
      <c r="W260" s="153" t="str">
        <f t="shared" si="130"/>
        <v/>
      </c>
      <c r="X260" s="244"/>
      <c r="Y260" s="154">
        <f t="shared" si="122"/>
        <v>0</v>
      </c>
      <c r="Z260" s="154" t="str">
        <f t="shared" si="118"/>
        <v>1000</v>
      </c>
      <c r="AA260" s="153" t="str">
        <f t="shared" si="131"/>
        <v/>
      </c>
      <c r="AD260" s="155" t="str">
        <f t="shared" si="123"/>
        <v/>
      </c>
      <c r="AI260" s="155">
        <f t="array" ref="AI260">MATCH(MIN(IF($AK$501:$AK$525&gt;=IF(G260&gt;1499,E260+7,E260+5), $AK$501:$AK$525)), $AK$501:$AK$525, 0)</f>
        <v>5</v>
      </c>
      <c r="AK260" s="233"/>
      <c r="AL260" s="233"/>
      <c r="AM260" s="155" t="str">
        <f t="shared" si="132"/>
        <v/>
      </c>
      <c r="AN260" s="155" t="str">
        <f t="shared" si="133"/>
        <v/>
      </c>
      <c r="AX260" s="155" t="str">
        <f t="shared" si="134"/>
        <v/>
      </c>
    </row>
    <row r="261" spans="1:50" s="155" customFormat="1" ht="30" hidden="1" customHeight="1">
      <c r="A261" s="141" t="str">
        <f t="shared" si="124"/>
        <v/>
      </c>
      <c r="B261" s="141" t="str">
        <f t="shared" si="125"/>
        <v/>
      </c>
      <c r="C261" s="157" t="str">
        <f>IF(D261="","",
    IF(ISERR(SEARCH("_",D261)),
        IFERROR(_xlfn.AGGREGATE(14,6,$C$12:C260,1),0)+1,
        IFERROR(
            VALUE(TRIM(MID(SUBSTITUTE(D261,"_",REPT(" ",LEN(D261))), (LEN(D261)-LEN(SUBSTITUTE(D261,"_",""))-1)*LEN(D261)+1, LEN(D261))))
            &amp; "." &amp;
            VALUE(TRIM(RIGHT(SUBSTITUTE(D261,"_",REPT(" ",LEN(D261))),LEN(D261)))),
            "")))</f>
        <v/>
      </c>
      <c r="D261" s="158"/>
      <c r="E261" s="159"/>
      <c r="F261" s="159"/>
      <c r="G261" s="159"/>
      <c r="H261" s="159"/>
      <c r="I261" s="158"/>
      <c r="J261" s="158"/>
      <c r="K261" s="159"/>
      <c r="L261" s="160"/>
      <c r="M261" s="159"/>
      <c r="N261" s="159"/>
      <c r="O261" s="161"/>
      <c r="P261" s="162" t="str">
        <f t="shared" si="126"/>
        <v/>
      </c>
      <c r="Q261" s="163" t="str">
        <f t="shared" si="127"/>
        <v/>
      </c>
      <c r="R261" s="164">
        <f t="shared" si="128"/>
        <v>0</v>
      </c>
      <c r="S261" s="165">
        <f t="shared" si="119"/>
        <v>0</v>
      </c>
      <c r="T261" s="165">
        <f t="shared" si="120"/>
        <v>0</v>
      </c>
      <c r="U261" s="166">
        <f t="shared" si="121"/>
        <v>0</v>
      </c>
      <c r="V261" s="153" t="str">
        <f t="shared" si="129"/>
        <v/>
      </c>
      <c r="W261" s="153" t="str">
        <f t="shared" si="130"/>
        <v/>
      </c>
      <c r="X261" s="244"/>
      <c r="Y261" s="154">
        <f t="shared" si="122"/>
        <v>0</v>
      </c>
      <c r="Z261" s="154" t="str">
        <f t="shared" si="118"/>
        <v>1000</v>
      </c>
      <c r="AA261" s="153" t="str">
        <f t="shared" si="131"/>
        <v/>
      </c>
      <c r="AD261" s="155" t="str">
        <f t="shared" si="123"/>
        <v/>
      </c>
      <c r="AI261" s="155">
        <f t="array" ref="AI261">MATCH(MIN(IF($AK$501:$AK$525&gt;=IF(G261&gt;1499,E261+7,E261+5), $AK$501:$AK$525)), $AK$501:$AK$525, 0)</f>
        <v>5</v>
      </c>
      <c r="AK261" s="233"/>
      <c r="AL261" s="233"/>
      <c r="AM261" s="155" t="str">
        <f t="shared" si="132"/>
        <v/>
      </c>
      <c r="AN261" s="155" t="str">
        <f t="shared" si="133"/>
        <v/>
      </c>
      <c r="AX261" s="155" t="str">
        <f t="shared" si="134"/>
        <v/>
      </c>
    </row>
    <row r="262" spans="1:50" s="155" customFormat="1" ht="30" hidden="1" customHeight="1">
      <c r="A262" s="141" t="str">
        <f t="shared" si="124"/>
        <v/>
      </c>
      <c r="B262" s="141" t="str">
        <f t="shared" si="125"/>
        <v/>
      </c>
      <c r="C262" s="157" t="str">
        <f>IF(D262="","",
    IF(ISERR(SEARCH("_",D262)),
        IFERROR(_xlfn.AGGREGATE(14,6,$C$12:C261,1),0)+1,
        IFERROR(
            VALUE(TRIM(MID(SUBSTITUTE(D262,"_",REPT(" ",LEN(D262))), (LEN(D262)-LEN(SUBSTITUTE(D262,"_",""))-1)*LEN(D262)+1, LEN(D262))))
            &amp; "." &amp;
            VALUE(TRIM(RIGHT(SUBSTITUTE(D262,"_",REPT(" ",LEN(D262))),LEN(D262)))),
            "")))</f>
        <v/>
      </c>
      <c r="D262" s="158"/>
      <c r="E262" s="159"/>
      <c r="F262" s="159"/>
      <c r="G262" s="159"/>
      <c r="H262" s="159"/>
      <c r="I262" s="158"/>
      <c r="J262" s="158"/>
      <c r="K262" s="159"/>
      <c r="L262" s="160"/>
      <c r="M262" s="159"/>
      <c r="N262" s="159"/>
      <c r="O262" s="161"/>
      <c r="P262" s="162" t="str">
        <f t="shared" si="126"/>
        <v/>
      </c>
      <c r="Q262" s="163" t="str">
        <f t="shared" si="127"/>
        <v/>
      </c>
      <c r="R262" s="164">
        <f t="shared" si="128"/>
        <v>0</v>
      </c>
      <c r="S262" s="165">
        <f t="shared" si="119"/>
        <v>0</v>
      </c>
      <c r="T262" s="165">
        <f t="shared" si="120"/>
        <v>0</v>
      </c>
      <c r="U262" s="166">
        <f t="shared" si="121"/>
        <v>0</v>
      </c>
      <c r="V262" s="153" t="str">
        <f t="shared" si="129"/>
        <v/>
      </c>
      <c r="W262" s="153" t="str">
        <f t="shared" si="130"/>
        <v/>
      </c>
      <c r="X262" s="244"/>
      <c r="Y262" s="154">
        <f t="shared" si="122"/>
        <v>0</v>
      </c>
      <c r="Z262" s="154" t="str">
        <f t="shared" si="118"/>
        <v>1000</v>
      </c>
      <c r="AA262" s="153" t="str">
        <f t="shared" si="131"/>
        <v/>
      </c>
      <c r="AD262" s="155" t="str">
        <f t="shared" si="123"/>
        <v/>
      </c>
      <c r="AI262" s="155">
        <f t="array" ref="AI262">MATCH(MIN(IF($AK$501:$AK$525&gt;=IF(G262&gt;1499,E262+7,E262+5), $AK$501:$AK$525)), $AK$501:$AK$525, 0)</f>
        <v>5</v>
      </c>
      <c r="AK262" s="233"/>
      <c r="AL262" s="233"/>
      <c r="AM262" s="155" t="str">
        <f t="shared" si="132"/>
        <v/>
      </c>
      <c r="AN262" s="155" t="str">
        <f t="shared" si="133"/>
        <v/>
      </c>
      <c r="AX262" s="155" t="str">
        <f t="shared" si="134"/>
        <v/>
      </c>
    </row>
    <row r="263" spans="1:50" s="155" customFormat="1" ht="30" hidden="1" customHeight="1">
      <c r="A263" s="141" t="str">
        <f t="shared" si="124"/>
        <v/>
      </c>
      <c r="B263" s="141" t="str">
        <f t="shared" si="125"/>
        <v/>
      </c>
      <c r="C263" s="157" t="str">
        <f>IF(D263="","",
    IF(ISERR(SEARCH("_",D263)),
        IFERROR(_xlfn.AGGREGATE(14,6,$C$12:C262,1),0)+1,
        IFERROR(
            VALUE(TRIM(MID(SUBSTITUTE(D263,"_",REPT(" ",LEN(D263))), (LEN(D263)-LEN(SUBSTITUTE(D263,"_",""))-1)*LEN(D263)+1, LEN(D263))))
            &amp; "." &amp;
            VALUE(TRIM(RIGHT(SUBSTITUTE(D263,"_",REPT(" ",LEN(D263))),LEN(D263)))),
            "")))</f>
        <v/>
      </c>
      <c r="D263" s="158"/>
      <c r="E263" s="159"/>
      <c r="F263" s="159"/>
      <c r="G263" s="159"/>
      <c r="H263" s="159"/>
      <c r="I263" s="158"/>
      <c r="J263" s="158"/>
      <c r="K263" s="159"/>
      <c r="L263" s="160"/>
      <c r="M263" s="159"/>
      <c r="N263" s="159"/>
      <c r="O263" s="161"/>
      <c r="P263" s="162" t="str">
        <f t="shared" si="126"/>
        <v/>
      </c>
      <c r="Q263" s="163" t="str">
        <f t="shared" si="127"/>
        <v/>
      </c>
      <c r="R263" s="164">
        <f t="shared" si="128"/>
        <v>0</v>
      </c>
      <c r="S263" s="165">
        <f t="shared" si="119"/>
        <v>0</v>
      </c>
      <c r="T263" s="165">
        <f t="shared" si="120"/>
        <v>0</v>
      </c>
      <c r="U263" s="166">
        <f t="shared" si="121"/>
        <v>0</v>
      </c>
      <c r="V263" s="153" t="str">
        <f t="shared" si="129"/>
        <v/>
      </c>
      <c r="W263" s="153" t="str">
        <f t="shared" si="130"/>
        <v/>
      </c>
      <c r="X263" s="244"/>
      <c r="Y263" s="154">
        <f t="shared" si="122"/>
        <v>0</v>
      </c>
      <c r="Z263" s="154" t="str">
        <f t="shared" si="118"/>
        <v>1000</v>
      </c>
      <c r="AA263" s="153" t="str">
        <f t="shared" si="131"/>
        <v/>
      </c>
      <c r="AD263" s="155" t="str">
        <f t="shared" si="123"/>
        <v/>
      </c>
      <c r="AI263" s="155">
        <f t="array" ref="AI263">MATCH(MIN(IF($AK$501:$AK$525&gt;=IF(G263&gt;1499,E263+7,E263+5), $AK$501:$AK$525)), $AK$501:$AK$525, 0)</f>
        <v>5</v>
      </c>
      <c r="AK263" s="233"/>
      <c r="AL263" s="233"/>
      <c r="AM263" s="155" t="str">
        <f t="shared" si="132"/>
        <v/>
      </c>
      <c r="AN263" s="155" t="str">
        <f t="shared" si="133"/>
        <v/>
      </c>
      <c r="AX263" s="155" t="str">
        <f t="shared" si="134"/>
        <v/>
      </c>
    </row>
    <row r="264" spans="1:50" s="155" customFormat="1" ht="30" hidden="1" customHeight="1">
      <c r="A264" s="141" t="str">
        <f t="shared" si="124"/>
        <v/>
      </c>
      <c r="B264" s="141" t="str">
        <f t="shared" si="125"/>
        <v/>
      </c>
      <c r="C264" s="157" t="str">
        <f>IF(D264="","",
    IF(ISERR(SEARCH("_",D264)),
        IFERROR(_xlfn.AGGREGATE(14,6,$C$12:C263,1),0)+1,
        IFERROR(
            VALUE(TRIM(MID(SUBSTITUTE(D264,"_",REPT(" ",LEN(D264))), (LEN(D264)-LEN(SUBSTITUTE(D264,"_",""))-1)*LEN(D264)+1, LEN(D264))))
            &amp; "." &amp;
            VALUE(TRIM(RIGHT(SUBSTITUTE(D264,"_",REPT(" ",LEN(D264))),LEN(D264)))),
            "")))</f>
        <v/>
      </c>
      <c r="D264" s="158"/>
      <c r="E264" s="159"/>
      <c r="F264" s="159"/>
      <c r="G264" s="159"/>
      <c r="H264" s="159"/>
      <c r="I264" s="158"/>
      <c r="J264" s="158"/>
      <c r="K264" s="159"/>
      <c r="L264" s="160"/>
      <c r="M264" s="159"/>
      <c r="N264" s="159"/>
      <c r="O264" s="161"/>
      <c r="P264" s="162" t="str">
        <f t="shared" si="126"/>
        <v/>
      </c>
      <c r="Q264" s="163" t="str">
        <f t="shared" si="127"/>
        <v/>
      </c>
      <c r="R264" s="164">
        <f t="shared" si="128"/>
        <v>0</v>
      </c>
      <c r="S264" s="165">
        <f t="shared" si="119"/>
        <v>0</v>
      </c>
      <c r="T264" s="165">
        <f t="shared" si="120"/>
        <v>0</v>
      </c>
      <c r="U264" s="166">
        <f t="shared" si="121"/>
        <v>0</v>
      </c>
      <c r="V264" s="153" t="str">
        <f t="shared" si="129"/>
        <v/>
      </c>
      <c r="W264" s="153" t="str">
        <f t="shared" si="130"/>
        <v/>
      </c>
      <c r="X264" s="244"/>
      <c r="Y264" s="154">
        <f t="shared" si="122"/>
        <v>0</v>
      </c>
      <c r="Z264" s="154" t="str">
        <f t="shared" si="118"/>
        <v>1000</v>
      </c>
      <c r="AA264" s="153" t="str">
        <f t="shared" si="131"/>
        <v/>
      </c>
      <c r="AD264" s="155" t="str">
        <f t="shared" si="123"/>
        <v/>
      </c>
      <c r="AI264" s="155">
        <f t="array" ref="AI264">MATCH(MIN(IF($AK$501:$AK$525&gt;=IF(G264&gt;1499,E264+7,E264+5), $AK$501:$AK$525)), $AK$501:$AK$525, 0)</f>
        <v>5</v>
      </c>
      <c r="AK264" s="233"/>
      <c r="AL264" s="233"/>
      <c r="AM264" s="155" t="str">
        <f t="shared" si="132"/>
        <v/>
      </c>
      <c r="AN264" s="155" t="str">
        <f t="shared" si="133"/>
        <v/>
      </c>
      <c r="AX264" s="155" t="str">
        <f t="shared" si="134"/>
        <v/>
      </c>
    </row>
    <row r="265" spans="1:50" s="155" customFormat="1" ht="30" hidden="1" customHeight="1">
      <c r="A265" s="141" t="str">
        <f t="shared" si="124"/>
        <v/>
      </c>
      <c r="B265" s="141" t="str">
        <f t="shared" si="125"/>
        <v/>
      </c>
      <c r="C265" s="157" t="str">
        <f>IF(D265="","",
    IF(ISERR(SEARCH("_",D265)),
        IFERROR(_xlfn.AGGREGATE(14,6,$C$12:C264,1),0)+1,
        IFERROR(
            VALUE(TRIM(MID(SUBSTITUTE(D265,"_",REPT(" ",LEN(D265))), (LEN(D265)-LEN(SUBSTITUTE(D265,"_",""))-1)*LEN(D265)+1, LEN(D265))))
            &amp; "." &amp;
            VALUE(TRIM(RIGHT(SUBSTITUTE(D265,"_",REPT(" ",LEN(D265))),LEN(D265)))),
            "")))</f>
        <v/>
      </c>
      <c r="D265" s="158"/>
      <c r="E265" s="159"/>
      <c r="F265" s="159"/>
      <c r="G265" s="159"/>
      <c r="H265" s="159"/>
      <c r="I265" s="158"/>
      <c r="J265" s="158"/>
      <c r="K265" s="159"/>
      <c r="L265" s="160"/>
      <c r="M265" s="159"/>
      <c r="N265" s="159"/>
      <c r="O265" s="161"/>
      <c r="P265" s="162" t="str">
        <f t="shared" si="126"/>
        <v/>
      </c>
      <c r="Q265" s="163" t="str">
        <f t="shared" si="127"/>
        <v/>
      </c>
      <c r="R265" s="164">
        <f t="shared" si="128"/>
        <v>0</v>
      </c>
      <c r="S265" s="165">
        <f t="shared" si="119"/>
        <v>0</v>
      </c>
      <c r="T265" s="165">
        <f t="shared" si="120"/>
        <v>0</v>
      </c>
      <c r="U265" s="166">
        <f t="shared" si="121"/>
        <v>0</v>
      </c>
      <c r="V265" s="153" t="str">
        <f t="shared" si="129"/>
        <v/>
      </c>
      <c r="W265" s="153" t="str">
        <f t="shared" si="130"/>
        <v/>
      </c>
      <c r="X265" s="244"/>
      <c r="Y265" s="154">
        <f t="shared" si="122"/>
        <v>0</v>
      </c>
      <c r="Z265" s="154" t="str">
        <f t="shared" si="118"/>
        <v>1000</v>
      </c>
      <c r="AA265" s="153" t="str">
        <f t="shared" si="131"/>
        <v/>
      </c>
      <c r="AD265" s="155" t="str">
        <f t="shared" si="123"/>
        <v/>
      </c>
      <c r="AI265" s="155">
        <f t="array" ref="AI265">MATCH(MIN(IF($AK$501:$AK$525&gt;=IF(G265&gt;1499,E265+7,E265+5), $AK$501:$AK$525)), $AK$501:$AK$525, 0)</f>
        <v>5</v>
      </c>
      <c r="AK265" s="233"/>
      <c r="AL265" s="233"/>
      <c r="AM265" s="155" t="str">
        <f t="shared" si="132"/>
        <v/>
      </c>
      <c r="AN265" s="155" t="str">
        <f t="shared" si="133"/>
        <v/>
      </c>
      <c r="AX265" s="155" t="str">
        <f t="shared" si="134"/>
        <v/>
      </c>
    </row>
    <row r="266" spans="1:50" s="155" customFormat="1" ht="30" hidden="1" customHeight="1">
      <c r="A266" s="141" t="str">
        <f t="shared" si="124"/>
        <v/>
      </c>
      <c r="B266" s="141" t="str">
        <f t="shared" si="125"/>
        <v/>
      </c>
      <c r="C266" s="157" t="str">
        <f>IF(D266="","",
    IF(ISERR(SEARCH("_",D266)),
        IFERROR(_xlfn.AGGREGATE(14,6,$C$12:C265,1),0)+1,
        IFERROR(
            VALUE(TRIM(MID(SUBSTITUTE(D266,"_",REPT(" ",LEN(D266))), (LEN(D266)-LEN(SUBSTITUTE(D266,"_",""))-1)*LEN(D266)+1, LEN(D266))))
            &amp; "." &amp;
            VALUE(TRIM(RIGHT(SUBSTITUTE(D266,"_",REPT(" ",LEN(D266))),LEN(D266)))),
            "")))</f>
        <v/>
      </c>
      <c r="D266" s="158"/>
      <c r="E266" s="159"/>
      <c r="F266" s="159"/>
      <c r="G266" s="159"/>
      <c r="H266" s="159"/>
      <c r="I266" s="158"/>
      <c r="J266" s="158"/>
      <c r="K266" s="159"/>
      <c r="L266" s="160"/>
      <c r="M266" s="159"/>
      <c r="N266" s="159"/>
      <c r="O266" s="161"/>
      <c r="P266" s="162" t="str">
        <f t="shared" si="126"/>
        <v/>
      </c>
      <c r="Q266" s="163" t="str">
        <f t="shared" si="127"/>
        <v/>
      </c>
      <c r="R266" s="164">
        <f t="shared" si="128"/>
        <v>0</v>
      </c>
      <c r="S266" s="165">
        <f t="shared" si="119"/>
        <v>0</v>
      </c>
      <c r="T266" s="165">
        <f t="shared" si="120"/>
        <v>0</v>
      </c>
      <c r="U266" s="166">
        <f t="shared" si="121"/>
        <v>0</v>
      </c>
      <c r="V266" s="153" t="str">
        <f t="shared" si="129"/>
        <v/>
      </c>
      <c r="W266" s="153" t="str">
        <f t="shared" si="130"/>
        <v/>
      </c>
      <c r="X266" s="244"/>
      <c r="Y266" s="154">
        <f t="shared" si="122"/>
        <v>0</v>
      </c>
      <c r="Z266" s="154" t="str">
        <f t="shared" si="118"/>
        <v>1000</v>
      </c>
      <c r="AA266" s="153" t="str">
        <f t="shared" si="131"/>
        <v/>
      </c>
      <c r="AD266" s="155" t="str">
        <f t="shared" si="123"/>
        <v/>
      </c>
      <c r="AI266" s="155">
        <f t="array" ref="AI266">MATCH(MIN(IF($AK$501:$AK$525&gt;=IF(G266&gt;1499,E266+7,E266+5), $AK$501:$AK$525)), $AK$501:$AK$525, 0)</f>
        <v>5</v>
      </c>
      <c r="AK266" s="233"/>
      <c r="AL266" s="233"/>
      <c r="AM266" s="155" t="str">
        <f t="shared" si="132"/>
        <v/>
      </c>
      <c r="AN266" s="155" t="str">
        <f t="shared" si="133"/>
        <v/>
      </c>
      <c r="AX266" s="155" t="str">
        <f t="shared" si="134"/>
        <v/>
      </c>
    </row>
    <row r="267" spans="1:50" s="155" customFormat="1" ht="30" hidden="1" customHeight="1">
      <c r="A267" s="141" t="str">
        <f t="shared" si="124"/>
        <v/>
      </c>
      <c r="B267" s="141" t="str">
        <f t="shared" si="125"/>
        <v/>
      </c>
      <c r="C267" s="157" t="str">
        <f>IF(D267="","",
    IF(ISERR(SEARCH("_",D267)),
        IFERROR(_xlfn.AGGREGATE(14,6,$C$12:C266,1),0)+1,
        IFERROR(
            VALUE(TRIM(MID(SUBSTITUTE(D267,"_",REPT(" ",LEN(D267))), (LEN(D267)-LEN(SUBSTITUTE(D267,"_",""))-1)*LEN(D267)+1, LEN(D267))))
            &amp; "." &amp;
            VALUE(TRIM(RIGHT(SUBSTITUTE(D267,"_",REPT(" ",LEN(D267))),LEN(D267)))),
            "")))</f>
        <v/>
      </c>
      <c r="D267" s="158"/>
      <c r="E267" s="159"/>
      <c r="F267" s="159"/>
      <c r="G267" s="159"/>
      <c r="H267" s="159"/>
      <c r="I267" s="158"/>
      <c r="J267" s="158"/>
      <c r="K267" s="159"/>
      <c r="L267" s="160"/>
      <c r="M267" s="159"/>
      <c r="N267" s="159"/>
      <c r="O267" s="161"/>
      <c r="P267" s="162" t="str">
        <f t="shared" si="126"/>
        <v/>
      </c>
      <c r="Q267" s="163" t="str">
        <f t="shared" si="127"/>
        <v/>
      </c>
      <c r="R267" s="164">
        <f t="shared" si="128"/>
        <v>0</v>
      </c>
      <c r="S267" s="165">
        <f t="shared" si="119"/>
        <v>0</v>
      </c>
      <c r="T267" s="165">
        <f t="shared" si="120"/>
        <v>0</v>
      </c>
      <c r="U267" s="166">
        <f t="shared" si="121"/>
        <v>0</v>
      </c>
      <c r="V267" s="153" t="str">
        <f t="shared" si="129"/>
        <v/>
      </c>
      <c r="W267" s="153" t="str">
        <f t="shared" si="130"/>
        <v/>
      </c>
      <c r="X267" s="244"/>
      <c r="Y267" s="154">
        <f t="shared" si="122"/>
        <v>0</v>
      </c>
      <c r="Z267" s="154" t="str">
        <f t="shared" si="118"/>
        <v>1000</v>
      </c>
      <c r="AA267" s="153" t="str">
        <f t="shared" si="131"/>
        <v/>
      </c>
      <c r="AD267" s="155" t="str">
        <f t="shared" si="123"/>
        <v/>
      </c>
      <c r="AI267" s="155">
        <f t="array" ref="AI267">MATCH(MIN(IF($AK$501:$AK$525&gt;=IF(G267&gt;1499,E267+7,E267+5), $AK$501:$AK$525)), $AK$501:$AK$525, 0)</f>
        <v>5</v>
      </c>
      <c r="AK267" s="233"/>
      <c r="AL267" s="233"/>
      <c r="AM267" s="155" t="str">
        <f t="shared" si="132"/>
        <v/>
      </c>
      <c r="AN267" s="155" t="str">
        <f t="shared" si="133"/>
        <v/>
      </c>
      <c r="AX267" s="155" t="str">
        <f t="shared" si="134"/>
        <v/>
      </c>
    </row>
    <row r="268" spans="1:50" s="155" customFormat="1" ht="30" hidden="1" customHeight="1">
      <c r="A268" s="141" t="str">
        <f t="shared" si="124"/>
        <v/>
      </c>
      <c r="B268" s="141" t="str">
        <f t="shared" si="125"/>
        <v/>
      </c>
      <c r="C268" s="157" t="str">
        <f>IF(D268="","",
    IF(ISERR(SEARCH("_",D268)),
        IFERROR(_xlfn.AGGREGATE(14,6,$C$12:C267,1),0)+1,
        IFERROR(
            VALUE(TRIM(MID(SUBSTITUTE(D268,"_",REPT(" ",LEN(D268))), (LEN(D268)-LEN(SUBSTITUTE(D268,"_",""))-1)*LEN(D268)+1, LEN(D268))))
            &amp; "." &amp;
            VALUE(TRIM(RIGHT(SUBSTITUTE(D268,"_",REPT(" ",LEN(D268))),LEN(D268)))),
            "")))</f>
        <v/>
      </c>
      <c r="D268" s="158"/>
      <c r="E268" s="159"/>
      <c r="F268" s="159"/>
      <c r="G268" s="159"/>
      <c r="H268" s="159"/>
      <c r="I268" s="158"/>
      <c r="J268" s="158"/>
      <c r="K268" s="159"/>
      <c r="L268" s="160"/>
      <c r="M268" s="159"/>
      <c r="N268" s="159"/>
      <c r="O268" s="161"/>
      <c r="P268" s="162" t="str">
        <f t="shared" si="126"/>
        <v/>
      </c>
      <c r="Q268" s="163" t="str">
        <f t="shared" si="127"/>
        <v/>
      </c>
      <c r="R268" s="164">
        <f t="shared" si="128"/>
        <v>0</v>
      </c>
      <c r="S268" s="165">
        <f t="shared" si="119"/>
        <v>0</v>
      </c>
      <c r="T268" s="165">
        <f t="shared" si="120"/>
        <v>0</v>
      </c>
      <c r="U268" s="166">
        <f t="shared" si="121"/>
        <v>0</v>
      </c>
      <c r="V268" s="153" t="str">
        <f t="shared" si="129"/>
        <v/>
      </c>
      <c r="W268" s="153" t="str">
        <f t="shared" si="130"/>
        <v/>
      </c>
      <c r="X268" s="244"/>
      <c r="Y268" s="154">
        <f t="shared" si="122"/>
        <v>0</v>
      </c>
      <c r="Z268" s="154" t="str">
        <f t="shared" si="118"/>
        <v>1000</v>
      </c>
      <c r="AA268" s="153" t="str">
        <f t="shared" si="131"/>
        <v/>
      </c>
      <c r="AD268" s="155" t="str">
        <f t="shared" si="123"/>
        <v/>
      </c>
      <c r="AI268" s="155">
        <f t="array" ref="AI268">MATCH(MIN(IF($AK$501:$AK$525&gt;=IF(G268&gt;1499,E268+7,E268+5), $AK$501:$AK$525)), $AK$501:$AK$525, 0)</f>
        <v>5</v>
      </c>
      <c r="AK268" s="233"/>
      <c r="AL268" s="233"/>
      <c r="AM268" s="155" t="str">
        <f t="shared" si="132"/>
        <v/>
      </c>
      <c r="AN268" s="155" t="str">
        <f t="shared" si="133"/>
        <v/>
      </c>
      <c r="AX268" s="155" t="str">
        <f t="shared" si="134"/>
        <v/>
      </c>
    </row>
    <row r="269" spans="1:50" s="155" customFormat="1" ht="30" hidden="1" customHeight="1">
      <c r="A269" s="141" t="str">
        <f t="shared" si="124"/>
        <v/>
      </c>
      <c r="B269" s="141" t="str">
        <f t="shared" si="125"/>
        <v/>
      </c>
      <c r="C269" s="157" t="str">
        <f>IF(D269="","",
    IF(ISERR(SEARCH("_",D269)),
        IFERROR(_xlfn.AGGREGATE(14,6,$C$12:C268,1),0)+1,
        IFERROR(
            VALUE(TRIM(MID(SUBSTITUTE(D269,"_",REPT(" ",LEN(D269))), (LEN(D269)-LEN(SUBSTITUTE(D269,"_",""))-1)*LEN(D269)+1, LEN(D269))))
            &amp; "." &amp;
            VALUE(TRIM(RIGHT(SUBSTITUTE(D269,"_",REPT(" ",LEN(D269))),LEN(D269)))),
            "")))</f>
        <v/>
      </c>
      <c r="D269" s="158"/>
      <c r="E269" s="159"/>
      <c r="F269" s="159"/>
      <c r="G269" s="159"/>
      <c r="H269" s="159"/>
      <c r="I269" s="158"/>
      <c r="J269" s="158"/>
      <c r="K269" s="159"/>
      <c r="L269" s="160"/>
      <c r="M269" s="159"/>
      <c r="N269" s="159"/>
      <c r="O269" s="161"/>
      <c r="P269" s="162" t="str">
        <f t="shared" si="126"/>
        <v/>
      </c>
      <c r="Q269" s="163" t="str">
        <f t="shared" si="127"/>
        <v/>
      </c>
      <c r="R269" s="164">
        <f t="shared" si="128"/>
        <v>0</v>
      </c>
      <c r="S269" s="165">
        <f t="shared" si="119"/>
        <v>0</v>
      </c>
      <c r="T269" s="165">
        <f t="shared" si="120"/>
        <v>0</v>
      </c>
      <c r="U269" s="166">
        <f t="shared" si="121"/>
        <v>0</v>
      </c>
      <c r="V269" s="153" t="str">
        <f t="shared" si="129"/>
        <v/>
      </c>
      <c r="W269" s="153" t="str">
        <f t="shared" si="130"/>
        <v/>
      </c>
      <c r="X269" s="244"/>
      <c r="Y269" s="154">
        <f t="shared" si="122"/>
        <v>0</v>
      </c>
      <c r="Z269" s="154" t="str">
        <f t="shared" ref="Z269:Z332" si="135">IFERROR(FIND(".",$C270),"1000")</f>
        <v>1000</v>
      </c>
      <c r="AA269" s="153" t="str">
        <f t="shared" si="131"/>
        <v/>
      </c>
      <c r="AD269" s="155" t="str">
        <f t="shared" si="123"/>
        <v/>
      </c>
      <c r="AI269" s="155">
        <f t="array" ref="AI269">MATCH(MIN(IF($AK$501:$AK$525&gt;=IF(G269&gt;1499,E269+7,E269+5), $AK$501:$AK$525)), $AK$501:$AK$525, 0)</f>
        <v>5</v>
      </c>
      <c r="AK269" s="233"/>
      <c r="AL269" s="233"/>
      <c r="AM269" s="155" t="str">
        <f t="shared" si="132"/>
        <v/>
      </c>
      <c r="AN269" s="155" t="str">
        <f t="shared" si="133"/>
        <v/>
      </c>
      <c r="AX269" s="155" t="str">
        <f t="shared" si="134"/>
        <v/>
      </c>
    </row>
    <row r="270" spans="1:50" s="155" customFormat="1" ht="30" hidden="1" customHeight="1">
      <c r="A270" s="141" t="str">
        <f t="shared" si="124"/>
        <v/>
      </c>
      <c r="B270" s="141" t="str">
        <f t="shared" si="125"/>
        <v/>
      </c>
      <c r="C270" s="157" t="str">
        <f>IF(D270="","",
    IF(ISERR(SEARCH("_",D270)),
        IFERROR(_xlfn.AGGREGATE(14,6,$C$12:C269,1),0)+1,
        IFERROR(
            VALUE(TRIM(MID(SUBSTITUTE(D270,"_",REPT(" ",LEN(D270))), (LEN(D270)-LEN(SUBSTITUTE(D270,"_",""))-1)*LEN(D270)+1, LEN(D270))))
            &amp; "." &amp;
            VALUE(TRIM(RIGHT(SUBSTITUTE(D270,"_",REPT(" ",LEN(D270))),LEN(D270)))),
            "")))</f>
        <v/>
      </c>
      <c r="D270" s="158"/>
      <c r="E270" s="159"/>
      <c r="F270" s="159"/>
      <c r="G270" s="159"/>
      <c r="H270" s="159"/>
      <c r="I270" s="158"/>
      <c r="J270" s="158"/>
      <c r="K270" s="159"/>
      <c r="L270" s="160"/>
      <c r="M270" s="159"/>
      <c r="N270" s="159"/>
      <c r="O270" s="161"/>
      <c r="P270" s="162" t="str">
        <f t="shared" si="126"/>
        <v/>
      </c>
      <c r="Q270" s="163" t="str">
        <f t="shared" si="127"/>
        <v/>
      </c>
      <c r="R270" s="164">
        <f t="shared" si="128"/>
        <v>0</v>
      </c>
      <c r="S270" s="165">
        <f t="shared" ref="S270:S333" si="136">IF(ISERR(SEARCH("2d",K270)),IF(ISERR(SEARCH("1d",K270)),0,1),2)*($G270+40)*$H270/10^3+IF(ISERR(SEARCH("2r",K270)),IF(ISERR(SEARCH("1r",K270)),0,1),2)*($F270+40)*$H270/10^3</f>
        <v>0</v>
      </c>
      <c r="T270" s="165">
        <f t="shared" ref="T270:T333" si="137">IF(ISERR(SEARCH("2m",M270)),IF(ISERR(SEARCH("1m",M270)),0,1),2)*$G270*$F270*$H270/10^6+IF(ISERR(SEARCH("2d",M270)),IF(ISERR(SEARCH("1d",M270)),0,1),2)*$G270*$E270*$H270/10^6+IF(ISERR(SEARCH("2r",M270)),IF(ISERR(SEARCH("1r",M270)),0,1),2)*$F270*$E270*$H270/10^6</f>
        <v>0</v>
      </c>
      <c r="U270" s="166">
        <f t="shared" ref="U270:U333" si="138">IF(ISERR(SEARCH("2m",N270)),IF(ISERR(SEARCH("1m",N270)),0,1),2)*$G270*$F270*$H270/10^6+IF(ISERR(SEARCH("2d",N270)),IF(ISERR(SEARCH("1d",N270)),0,1),2)*$G270*$E270*$H270/10^6+IF(ISERR(SEARCH("2r",N270)),IF(ISERR(SEARCH("1r",N270)),0,1),2)*$F270*$E270*$H270/10^6</f>
        <v>0</v>
      </c>
      <c r="V270" s="153" t="str">
        <f t="shared" si="129"/>
        <v/>
      </c>
      <c r="W270" s="153" t="str">
        <f t="shared" si="130"/>
        <v/>
      </c>
      <c r="X270" s="244"/>
      <c r="Y270" s="154">
        <f t="shared" ref="Y270:Y333" si="139">IFERROR((E270*F270*G270*H270*10^-9)*750,"")</f>
        <v>0</v>
      </c>
      <c r="Z270" s="154" t="str">
        <f t="shared" si="135"/>
        <v>1000</v>
      </c>
      <c r="AA270" s="153" t="str">
        <f t="shared" si="131"/>
        <v/>
      </c>
      <c r="AD270" s="155" t="str">
        <f t="shared" ref="AD270:AD333" si="140">IF(OR(I270="_",LEFT(I270,4)="KTHT"),"",IF(C270="","",1))</f>
        <v/>
      </c>
      <c r="AI270" s="155">
        <f t="array" ref="AI270">MATCH(MIN(IF($AK$501:$AK$525&gt;=IF(G270&gt;1499,E270+7,E270+5), $AK$501:$AK$525)), $AK$501:$AK$525, 0)</f>
        <v>5</v>
      </c>
      <c r="AK270" s="233"/>
      <c r="AL270" s="233"/>
      <c r="AM270" s="155" t="str">
        <f t="shared" si="132"/>
        <v/>
      </c>
      <c r="AN270" s="155" t="str">
        <f t="shared" si="133"/>
        <v/>
      </c>
      <c r="AX270" s="155" t="str">
        <f t="shared" si="134"/>
        <v/>
      </c>
    </row>
    <row r="271" spans="1:50" s="155" customFormat="1" ht="30" hidden="1" customHeight="1">
      <c r="A271" s="141" t="str">
        <f t="shared" si="124"/>
        <v/>
      </c>
      <c r="B271" s="141" t="str">
        <f t="shared" si="125"/>
        <v/>
      </c>
      <c r="C271" s="157" t="str">
        <f>IF(D271="","",
    IF(ISERR(SEARCH("_",D271)),
        IFERROR(_xlfn.AGGREGATE(14,6,$C$12:C270,1),0)+1,
        IFERROR(
            VALUE(TRIM(MID(SUBSTITUTE(D271,"_",REPT(" ",LEN(D271))), (LEN(D271)-LEN(SUBSTITUTE(D271,"_",""))-1)*LEN(D271)+1, LEN(D271))))
            &amp; "." &amp;
            VALUE(TRIM(RIGHT(SUBSTITUTE(D271,"_",REPT(" ",LEN(D271))),LEN(D271)))),
            "")))</f>
        <v/>
      </c>
      <c r="D271" s="158"/>
      <c r="E271" s="159"/>
      <c r="F271" s="159"/>
      <c r="G271" s="159"/>
      <c r="H271" s="159"/>
      <c r="I271" s="158"/>
      <c r="J271" s="158"/>
      <c r="K271" s="159"/>
      <c r="L271" s="160"/>
      <c r="M271" s="159"/>
      <c r="N271" s="159"/>
      <c r="O271" s="161"/>
      <c r="P271" s="162" t="str">
        <f t="shared" si="126"/>
        <v/>
      </c>
      <c r="Q271" s="163" t="str">
        <f t="shared" si="127"/>
        <v/>
      </c>
      <c r="R271" s="164">
        <f t="shared" si="128"/>
        <v>0</v>
      </c>
      <c r="S271" s="165">
        <f t="shared" si="136"/>
        <v>0</v>
      </c>
      <c r="T271" s="165">
        <f t="shared" si="137"/>
        <v>0</v>
      </c>
      <c r="U271" s="166">
        <f t="shared" si="138"/>
        <v>0</v>
      </c>
      <c r="V271" s="153" t="str">
        <f t="shared" si="129"/>
        <v/>
      </c>
      <c r="W271" s="153" t="str">
        <f t="shared" si="130"/>
        <v/>
      </c>
      <c r="X271" s="244"/>
      <c r="Y271" s="154">
        <f t="shared" si="139"/>
        <v>0</v>
      </c>
      <c r="Z271" s="154" t="str">
        <f t="shared" si="135"/>
        <v>1000</v>
      </c>
      <c r="AA271" s="153" t="str">
        <f t="shared" si="131"/>
        <v/>
      </c>
      <c r="AD271" s="155" t="str">
        <f t="shared" si="140"/>
        <v/>
      </c>
      <c r="AI271" s="155">
        <f t="array" ref="AI271">MATCH(MIN(IF($AK$501:$AK$525&gt;=IF(G271&gt;1499,E271+7,E271+5), $AK$501:$AK$525)), $AK$501:$AK$525, 0)</f>
        <v>5</v>
      </c>
      <c r="AK271" s="233"/>
      <c r="AL271" s="233"/>
      <c r="AM271" s="155" t="str">
        <f t="shared" si="132"/>
        <v/>
      </c>
      <c r="AN271" s="155" t="str">
        <f t="shared" si="133"/>
        <v/>
      </c>
      <c r="AX271" s="155" t="str">
        <f t="shared" si="134"/>
        <v/>
      </c>
    </row>
    <row r="272" spans="1:50" s="155" customFormat="1" ht="30" hidden="1" customHeight="1">
      <c r="A272" s="141" t="str">
        <f t="shared" ref="A272:A335" si="141">IF(W272="IN",$E$6,"")</f>
        <v/>
      </c>
      <c r="B272" s="141" t="str">
        <f t="shared" ref="B272:B335" si="142">IF(W272="IN","Muc "&amp;$E$7,"")</f>
        <v/>
      </c>
      <c r="C272" s="157" t="str">
        <f>IF(D272="","",
    IF(ISERR(SEARCH("_",D272)),
        IFERROR(_xlfn.AGGREGATE(14,6,$C$12:C271,1),0)+1,
        IFERROR(
            VALUE(TRIM(MID(SUBSTITUTE(D272,"_",REPT(" ",LEN(D272))), (LEN(D272)-LEN(SUBSTITUTE(D272,"_",""))-1)*LEN(D272)+1, LEN(D272))))
            &amp; "." &amp;
            VALUE(TRIM(RIGHT(SUBSTITUTE(D272,"_",REPT(" ",LEN(D272))),LEN(D272)))),
            "")))</f>
        <v/>
      </c>
      <c r="D272" s="158"/>
      <c r="E272" s="159"/>
      <c r="F272" s="159"/>
      <c r="G272" s="159"/>
      <c r="H272" s="159"/>
      <c r="I272" s="158"/>
      <c r="J272" s="158"/>
      <c r="K272" s="159"/>
      <c r="L272" s="160"/>
      <c r="M272" s="159"/>
      <c r="N272" s="159"/>
      <c r="O272" s="161"/>
      <c r="P272" s="162" t="str">
        <f t="shared" ref="P272:P335" si="143">IF(AND(LEFT(I272,2)="gỗ",M272&lt;&gt;""),IF(LEFT(RIGHT(IF(E272="","",INDEX($AL$501:$AL$525,VALUE(AI272),1)),3),2)="/4",AM272,AN272)&amp;" "&amp;IF(E272="","",INDEX($AL$501:$AL$525,VALUE(AI272),1)),IF(AND(LEFT(I272,2)="gỗ",M272=""),"loại BC"&amp;" "&amp;IF(E272="","",INDEX($AL$501:$AL$525,VALUE(AI272),1)),""))</f>
        <v/>
      </c>
      <c r="Q272" s="163" t="str">
        <f t="shared" ref="Q272:Q335" si="144">IF(I272="","",IF(LEFT(I272,2)="gỗ","m3","Tấm"))</f>
        <v/>
      </c>
      <c r="R272" s="164">
        <f t="shared" ref="R272:R335" si="145">IF(OR(Q272="Con",Q272="Cụm",Q272="Hệ",Q272="Thanh"),H272,IF(Q272="Tấm",(F272*G272*H272)/(1220*2440),IF(Q272="Md",G272*H272/1000,IF(Q272="M2",F272*G272*H272/10^6,IF(Q272="M3",E272*F272*G272*H272/10^9,0)))))</f>
        <v>0</v>
      </c>
      <c r="S272" s="165">
        <f t="shared" si="136"/>
        <v>0</v>
      </c>
      <c r="T272" s="165">
        <f t="shared" si="137"/>
        <v>0</v>
      </c>
      <c r="U272" s="166">
        <f t="shared" si="138"/>
        <v>0</v>
      </c>
      <c r="V272" s="153" t="str">
        <f t="shared" ref="V272:V335" si="146">IF(W272="IN",$Y$3,"")</f>
        <v/>
      </c>
      <c r="W272" s="153" t="str">
        <f t="shared" ref="W272:W335" si="147">IF(OR(C272&lt;&gt;"",D272&lt;&gt;""),"IN","")</f>
        <v/>
      </c>
      <c r="X272" s="244"/>
      <c r="Y272" s="154">
        <f t="shared" si="139"/>
        <v>0</v>
      </c>
      <c r="Z272" s="154" t="str">
        <f t="shared" si="135"/>
        <v>1000</v>
      </c>
      <c r="AA272" s="153" t="str">
        <f t="shared" ref="AA272:AA335" si="148">IFERROR(MATCH(J272,$J$13:$J$482,0)&amp;",","")</f>
        <v/>
      </c>
      <c r="AD272" s="155" t="str">
        <f t="shared" si="140"/>
        <v/>
      </c>
      <c r="AI272" s="155">
        <f t="array" ref="AI272">MATCH(MIN(IF($AK$501:$AK$525&gt;=IF(G272&gt;1499,E272+7,E272+5), $AK$501:$AK$525)), $AK$501:$AK$525, 0)</f>
        <v>5</v>
      </c>
      <c r="AK272" s="233"/>
      <c r="AL272" s="233"/>
      <c r="AM272" s="155" t="str">
        <f t="shared" ref="AM272:AM335" si="149">IF(M272="","",IF(F272&gt;99,"FAS",IF(LEFT(I272,2)="Gỗ",IF(LEFT(M272,4)="2M2D","loại 1common",IF(AND(G272&gt;1699,LEFT(M272,4)&lt;&gt;"2M2D"),"loại 1common","loại 2common")),"")))</f>
        <v/>
      </c>
      <c r="AN272" s="155" t="str">
        <f t="shared" ref="AN272:AN335" si="150">IF(AM272="","",IF(AM272="loại 1common","loại A",IF(AM272="loại 2common","loại AB","loại FAS")))</f>
        <v/>
      </c>
      <c r="AX272" s="155" t="str">
        <f t="shared" ref="AX272:AX335" si="151">W272</f>
        <v/>
      </c>
    </row>
    <row r="273" spans="1:50" s="155" customFormat="1" ht="30" hidden="1" customHeight="1">
      <c r="A273" s="141" t="str">
        <f t="shared" si="141"/>
        <v/>
      </c>
      <c r="B273" s="141" t="str">
        <f t="shared" si="142"/>
        <v/>
      </c>
      <c r="C273" s="157" t="str">
        <f>IF(D273="","",
    IF(ISERR(SEARCH("_",D273)),
        IFERROR(_xlfn.AGGREGATE(14,6,$C$12:C272,1),0)+1,
        IFERROR(
            VALUE(TRIM(MID(SUBSTITUTE(D273,"_",REPT(" ",LEN(D273))), (LEN(D273)-LEN(SUBSTITUTE(D273,"_",""))-1)*LEN(D273)+1, LEN(D273))))
            &amp; "." &amp;
            VALUE(TRIM(RIGHT(SUBSTITUTE(D273,"_",REPT(" ",LEN(D273))),LEN(D273)))),
            "")))</f>
        <v/>
      </c>
      <c r="D273" s="158"/>
      <c r="E273" s="159"/>
      <c r="F273" s="159"/>
      <c r="G273" s="159"/>
      <c r="H273" s="159"/>
      <c r="I273" s="158"/>
      <c r="J273" s="158"/>
      <c r="K273" s="159"/>
      <c r="L273" s="160"/>
      <c r="M273" s="159"/>
      <c r="N273" s="159"/>
      <c r="O273" s="161"/>
      <c r="P273" s="162" t="str">
        <f t="shared" si="143"/>
        <v/>
      </c>
      <c r="Q273" s="163" t="str">
        <f t="shared" si="144"/>
        <v/>
      </c>
      <c r="R273" s="164">
        <f t="shared" si="145"/>
        <v>0</v>
      </c>
      <c r="S273" s="165">
        <f t="shared" si="136"/>
        <v>0</v>
      </c>
      <c r="T273" s="165">
        <f t="shared" si="137"/>
        <v>0</v>
      </c>
      <c r="U273" s="166">
        <f t="shared" si="138"/>
        <v>0</v>
      </c>
      <c r="V273" s="153" t="str">
        <f t="shared" si="146"/>
        <v/>
      </c>
      <c r="W273" s="153" t="str">
        <f t="shared" si="147"/>
        <v/>
      </c>
      <c r="X273" s="244"/>
      <c r="Y273" s="154">
        <f t="shared" si="139"/>
        <v>0</v>
      </c>
      <c r="Z273" s="154" t="str">
        <f t="shared" si="135"/>
        <v>1000</v>
      </c>
      <c r="AA273" s="153" t="str">
        <f t="shared" si="148"/>
        <v/>
      </c>
      <c r="AD273" s="155" t="str">
        <f t="shared" si="140"/>
        <v/>
      </c>
      <c r="AI273" s="155">
        <f t="array" ref="AI273">MATCH(MIN(IF($AK$501:$AK$525&gt;=IF(G273&gt;1499,E273+7,E273+5), $AK$501:$AK$525)), $AK$501:$AK$525, 0)</f>
        <v>5</v>
      </c>
      <c r="AK273" s="233"/>
      <c r="AL273" s="233"/>
      <c r="AM273" s="155" t="str">
        <f t="shared" si="149"/>
        <v/>
      </c>
      <c r="AN273" s="155" t="str">
        <f t="shared" si="150"/>
        <v/>
      </c>
      <c r="AX273" s="155" t="str">
        <f t="shared" si="151"/>
        <v/>
      </c>
    </row>
    <row r="274" spans="1:50" s="155" customFormat="1" ht="30" hidden="1" customHeight="1">
      <c r="A274" s="141" t="str">
        <f t="shared" si="141"/>
        <v/>
      </c>
      <c r="B274" s="141" t="str">
        <f t="shared" si="142"/>
        <v/>
      </c>
      <c r="C274" s="157" t="str">
        <f>IF(D274="","",
    IF(ISERR(SEARCH("_",D274)),
        IFERROR(_xlfn.AGGREGATE(14,6,$C$12:C273,1),0)+1,
        IFERROR(
            VALUE(TRIM(MID(SUBSTITUTE(D274,"_",REPT(" ",LEN(D274))), (LEN(D274)-LEN(SUBSTITUTE(D274,"_",""))-1)*LEN(D274)+1, LEN(D274))))
            &amp; "." &amp;
            VALUE(TRIM(RIGHT(SUBSTITUTE(D274,"_",REPT(" ",LEN(D274))),LEN(D274)))),
            "")))</f>
        <v/>
      </c>
      <c r="D274" s="158"/>
      <c r="E274" s="159"/>
      <c r="F274" s="159"/>
      <c r="G274" s="159"/>
      <c r="H274" s="159"/>
      <c r="I274" s="158"/>
      <c r="J274" s="158"/>
      <c r="K274" s="159"/>
      <c r="L274" s="160"/>
      <c r="M274" s="159"/>
      <c r="N274" s="159"/>
      <c r="O274" s="161"/>
      <c r="P274" s="162" t="str">
        <f t="shared" si="143"/>
        <v/>
      </c>
      <c r="Q274" s="163" t="str">
        <f t="shared" si="144"/>
        <v/>
      </c>
      <c r="R274" s="164">
        <f t="shared" si="145"/>
        <v>0</v>
      </c>
      <c r="S274" s="165">
        <f t="shared" si="136"/>
        <v>0</v>
      </c>
      <c r="T274" s="165">
        <f t="shared" si="137"/>
        <v>0</v>
      </c>
      <c r="U274" s="166">
        <f t="shared" si="138"/>
        <v>0</v>
      </c>
      <c r="V274" s="153" t="str">
        <f t="shared" si="146"/>
        <v/>
      </c>
      <c r="W274" s="153" t="str">
        <f t="shared" si="147"/>
        <v/>
      </c>
      <c r="X274" s="244"/>
      <c r="Y274" s="154">
        <f t="shared" si="139"/>
        <v>0</v>
      </c>
      <c r="Z274" s="154" t="str">
        <f t="shared" si="135"/>
        <v>1000</v>
      </c>
      <c r="AA274" s="153" t="str">
        <f t="shared" si="148"/>
        <v/>
      </c>
      <c r="AD274" s="155" t="str">
        <f t="shared" si="140"/>
        <v/>
      </c>
      <c r="AI274" s="155">
        <f t="array" ref="AI274">MATCH(MIN(IF($AK$501:$AK$525&gt;=IF(G274&gt;1499,E274+7,E274+5), $AK$501:$AK$525)), $AK$501:$AK$525, 0)</f>
        <v>5</v>
      </c>
      <c r="AK274" s="233"/>
      <c r="AL274" s="233"/>
      <c r="AM274" s="155" t="str">
        <f t="shared" si="149"/>
        <v/>
      </c>
      <c r="AN274" s="155" t="str">
        <f t="shared" si="150"/>
        <v/>
      </c>
      <c r="AX274" s="155" t="str">
        <f t="shared" si="151"/>
        <v/>
      </c>
    </row>
    <row r="275" spans="1:50" s="155" customFormat="1" ht="30" hidden="1" customHeight="1">
      <c r="A275" s="141" t="str">
        <f t="shared" si="141"/>
        <v/>
      </c>
      <c r="B275" s="141" t="str">
        <f t="shared" si="142"/>
        <v/>
      </c>
      <c r="C275" s="157" t="str">
        <f>IF(D275="","",
    IF(ISERR(SEARCH("_",D275)),
        IFERROR(_xlfn.AGGREGATE(14,6,$C$12:C274,1),0)+1,
        IFERROR(
            VALUE(TRIM(MID(SUBSTITUTE(D275,"_",REPT(" ",LEN(D275))), (LEN(D275)-LEN(SUBSTITUTE(D275,"_",""))-1)*LEN(D275)+1, LEN(D275))))
            &amp; "." &amp;
            VALUE(TRIM(RIGHT(SUBSTITUTE(D275,"_",REPT(" ",LEN(D275))),LEN(D275)))),
            "")))</f>
        <v/>
      </c>
      <c r="D275" s="158"/>
      <c r="E275" s="159"/>
      <c r="F275" s="159"/>
      <c r="G275" s="159"/>
      <c r="H275" s="159"/>
      <c r="I275" s="158"/>
      <c r="J275" s="158"/>
      <c r="K275" s="159"/>
      <c r="L275" s="160"/>
      <c r="M275" s="159"/>
      <c r="N275" s="159"/>
      <c r="O275" s="161"/>
      <c r="P275" s="162" t="str">
        <f t="shared" si="143"/>
        <v/>
      </c>
      <c r="Q275" s="163" t="str">
        <f t="shared" si="144"/>
        <v/>
      </c>
      <c r="R275" s="164">
        <f t="shared" si="145"/>
        <v>0</v>
      </c>
      <c r="S275" s="165">
        <f t="shared" si="136"/>
        <v>0</v>
      </c>
      <c r="T275" s="165">
        <f t="shared" si="137"/>
        <v>0</v>
      </c>
      <c r="U275" s="166">
        <f t="shared" si="138"/>
        <v>0</v>
      </c>
      <c r="V275" s="153" t="str">
        <f t="shared" si="146"/>
        <v/>
      </c>
      <c r="W275" s="153" t="str">
        <f t="shared" si="147"/>
        <v/>
      </c>
      <c r="X275" s="244"/>
      <c r="Y275" s="154">
        <f t="shared" si="139"/>
        <v>0</v>
      </c>
      <c r="Z275" s="154" t="str">
        <f t="shared" si="135"/>
        <v>1000</v>
      </c>
      <c r="AA275" s="153" t="str">
        <f t="shared" si="148"/>
        <v/>
      </c>
      <c r="AD275" s="155" t="str">
        <f t="shared" si="140"/>
        <v/>
      </c>
      <c r="AI275" s="155">
        <f t="array" ref="AI275">MATCH(MIN(IF($AK$501:$AK$525&gt;=IF(G275&gt;1499,E275+7,E275+5), $AK$501:$AK$525)), $AK$501:$AK$525, 0)</f>
        <v>5</v>
      </c>
      <c r="AK275" s="233"/>
      <c r="AL275" s="233"/>
      <c r="AM275" s="155" t="str">
        <f t="shared" si="149"/>
        <v/>
      </c>
      <c r="AN275" s="155" t="str">
        <f t="shared" si="150"/>
        <v/>
      </c>
      <c r="AX275" s="155" t="str">
        <f t="shared" si="151"/>
        <v/>
      </c>
    </row>
    <row r="276" spans="1:50" s="155" customFormat="1" ht="30" hidden="1" customHeight="1">
      <c r="A276" s="141" t="str">
        <f t="shared" si="141"/>
        <v/>
      </c>
      <c r="B276" s="141" t="str">
        <f t="shared" si="142"/>
        <v/>
      </c>
      <c r="C276" s="157" t="str">
        <f>IF(D276="","",
    IF(ISERR(SEARCH("_",D276)),
        IFERROR(_xlfn.AGGREGATE(14,6,$C$12:C275,1),0)+1,
        IFERROR(
            VALUE(TRIM(MID(SUBSTITUTE(D276,"_",REPT(" ",LEN(D276))), (LEN(D276)-LEN(SUBSTITUTE(D276,"_",""))-1)*LEN(D276)+1, LEN(D276))))
            &amp; "." &amp;
            VALUE(TRIM(RIGHT(SUBSTITUTE(D276,"_",REPT(" ",LEN(D276))),LEN(D276)))),
            "")))</f>
        <v/>
      </c>
      <c r="D276" s="158"/>
      <c r="E276" s="159"/>
      <c r="F276" s="159"/>
      <c r="G276" s="159"/>
      <c r="H276" s="159"/>
      <c r="I276" s="158"/>
      <c r="J276" s="158"/>
      <c r="K276" s="159"/>
      <c r="L276" s="160"/>
      <c r="M276" s="159"/>
      <c r="N276" s="159"/>
      <c r="O276" s="161"/>
      <c r="P276" s="162" t="str">
        <f t="shared" si="143"/>
        <v/>
      </c>
      <c r="Q276" s="163" t="str">
        <f t="shared" si="144"/>
        <v/>
      </c>
      <c r="R276" s="164">
        <f t="shared" si="145"/>
        <v>0</v>
      </c>
      <c r="S276" s="165">
        <f t="shared" si="136"/>
        <v>0</v>
      </c>
      <c r="T276" s="165">
        <f t="shared" si="137"/>
        <v>0</v>
      </c>
      <c r="U276" s="166">
        <f t="shared" si="138"/>
        <v>0</v>
      </c>
      <c r="V276" s="153" t="str">
        <f t="shared" si="146"/>
        <v/>
      </c>
      <c r="W276" s="153" t="str">
        <f t="shared" si="147"/>
        <v/>
      </c>
      <c r="X276" s="244"/>
      <c r="Y276" s="154">
        <f t="shared" si="139"/>
        <v>0</v>
      </c>
      <c r="Z276" s="154" t="str">
        <f t="shared" si="135"/>
        <v>1000</v>
      </c>
      <c r="AA276" s="153" t="str">
        <f t="shared" si="148"/>
        <v/>
      </c>
      <c r="AD276" s="155" t="str">
        <f t="shared" si="140"/>
        <v/>
      </c>
      <c r="AI276" s="155">
        <f t="array" ref="AI276">MATCH(MIN(IF($AK$501:$AK$525&gt;=IF(G276&gt;1499,E276+7,E276+5), $AK$501:$AK$525)), $AK$501:$AK$525, 0)</f>
        <v>5</v>
      </c>
      <c r="AK276" s="233"/>
      <c r="AL276" s="233"/>
      <c r="AM276" s="155" t="str">
        <f t="shared" si="149"/>
        <v/>
      </c>
      <c r="AN276" s="155" t="str">
        <f t="shared" si="150"/>
        <v/>
      </c>
      <c r="AX276" s="155" t="str">
        <f t="shared" si="151"/>
        <v/>
      </c>
    </row>
    <row r="277" spans="1:50" s="155" customFormat="1" ht="30" hidden="1" customHeight="1">
      <c r="A277" s="141" t="str">
        <f t="shared" si="141"/>
        <v/>
      </c>
      <c r="B277" s="141" t="str">
        <f t="shared" si="142"/>
        <v/>
      </c>
      <c r="C277" s="157" t="str">
        <f>IF(D277="","",
    IF(ISERR(SEARCH("_",D277)),
        IFERROR(_xlfn.AGGREGATE(14,6,$C$12:C276,1),0)+1,
        IFERROR(
            VALUE(TRIM(MID(SUBSTITUTE(D277,"_",REPT(" ",LEN(D277))), (LEN(D277)-LEN(SUBSTITUTE(D277,"_",""))-1)*LEN(D277)+1, LEN(D277))))
            &amp; "." &amp;
            VALUE(TRIM(RIGHT(SUBSTITUTE(D277,"_",REPT(" ",LEN(D277))),LEN(D277)))),
            "")))</f>
        <v/>
      </c>
      <c r="D277" s="158"/>
      <c r="E277" s="159"/>
      <c r="F277" s="159"/>
      <c r="G277" s="159"/>
      <c r="H277" s="159"/>
      <c r="I277" s="158"/>
      <c r="J277" s="158"/>
      <c r="K277" s="159"/>
      <c r="L277" s="160"/>
      <c r="M277" s="159"/>
      <c r="N277" s="159"/>
      <c r="O277" s="161"/>
      <c r="P277" s="162" t="str">
        <f t="shared" si="143"/>
        <v/>
      </c>
      <c r="Q277" s="163" t="str">
        <f t="shared" si="144"/>
        <v/>
      </c>
      <c r="R277" s="164">
        <f t="shared" si="145"/>
        <v>0</v>
      </c>
      <c r="S277" s="165">
        <f t="shared" si="136"/>
        <v>0</v>
      </c>
      <c r="T277" s="165">
        <f t="shared" si="137"/>
        <v>0</v>
      </c>
      <c r="U277" s="166">
        <f t="shared" si="138"/>
        <v>0</v>
      </c>
      <c r="V277" s="153" t="str">
        <f t="shared" si="146"/>
        <v/>
      </c>
      <c r="W277" s="153" t="str">
        <f t="shared" si="147"/>
        <v/>
      </c>
      <c r="X277" s="244"/>
      <c r="Y277" s="154">
        <f t="shared" si="139"/>
        <v>0</v>
      </c>
      <c r="Z277" s="154" t="str">
        <f t="shared" si="135"/>
        <v>1000</v>
      </c>
      <c r="AA277" s="153" t="str">
        <f t="shared" si="148"/>
        <v/>
      </c>
      <c r="AD277" s="155" t="str">
        <f t="shared" si="140"/>
        <v/>
      </c>
      <c r="AI277" s="155">
        <f t="array" ref="AI277">MATCH(MIN(IF($AK$501:$AK$525&gt;=IF(G277&gt;1499,E277+7,E277+5), $AK$501:$AK$525)), $AK$501:$AK$525, 0)</f>
        <v>5</v>
      </c>
      <c r="AK277" s="233"/>
      <c r="AL277" s="233"/>
      <c r="AM277" s="155" t="str">
        <f t="shared" si="149"/>
        <v/>
      </c>
      <c r="AN277" s="155" t="str">
        <f t="shared" si="150"/>
        <v/>
      </c>
      <c r="AX277" s="155" t="str">
        <f t="shared" si="151"/>
        <v/>
      </c>
    </row>
    <row r="278" spans="1:50" s="155" customFormat="1" ht="30" hidden="1" customHeight="1">
      <c r="A278" s="141" t="str">
        <f t="shared" si="141"/>
        <v/>
      </c>
      <c r="B278" s="141" t="str">
        <f t="shared" si="142"/>
        <v/>
      </c>
      <c r="C278" s="157" t="str">
        <f>IF(D278="","",
    IF(ISERR(SEARCH("_",D278)),
        IFERROR(_xlfn.AGGREGATE(14,6,$C$12:C277,1),0)+1,
        IFERROR(
            VALUE(TRIM(MID(SUBSTITUTE(D278,"_",REPT(" ",LEN(D278))), (LEN(D278)-LEN(SUBSTITUTE(D278,"_",""))-1)*LEN(D278)+1, LEN(D278))))
            &amp; "." &amp;
            VALUE(TRIM(RIGHT(SUBSTITUTE(D278,"_",REPT(" ",LEN(D278))),LEN(D278)))),
            "")))</f>
        <v/>
      </c>
      <c r="D278" s="158"/>
      <c r="E278" s="159"/>
      <c r="F278" s="159"/>
      <c r="G278" s="159"/>
      <c r="H278" s="159"/>
      <c r="I278" s="158"/>
      <c r="J278" s="158"/>
      <c r="K278" s="159"/>
      <c r="L278" s="160"/>
      <c r="M278" s="159"/>
      <c r="N278" s="159"/>
      <c r="O278" s="161"/>
      <c r="P278" s="162" t="str">
        <f t="shared" si="143"/>
        <v/>
      </c>
      <c r="Q278" s="163" t="str">
        <f t="shared" si="144"/>
        <v/>
      </c>
      <c r="R278" s="164">
        <f t="shared" si="145"/>
        <v>0</v>
      </c>
      <c r="S278" s="165">
        <f t="shared" si="136"/>
        <v>0</v>
      </c>
      <c r="T278" s="165">
        <f t="shared" si="137"/>
        <v>0</v>
      </c>
      <c r="U278" s="166">
        <f t="shared" si="138"/>
        <v>0</v>
      </c>
      <c r="V278" s="153" t="str">
        <f t="shared" si="146"/>
        <v/>
      </c>
      <c r="W278" s="153" t="str">
        <f t="shared" si="147"/>
        <v/>
      </c>
      <c r="X278" s="244"/>
      <c r="Y278" s="154">
        <f t="shared" si="139"/>
        <v>0</v>
      </c>
      <c r="Z278" s="154" t="str">
        <f t="shared" si="135"/>
        <v>1000</v>
      </c>
      <c r="AA278" s="153" t="str">
        <f t="shared" si="148"/>
        <v/>
      </c>
      <c r="AD278" s="155" t="str">
        <f t="shared" si="140"/>
        <v/>
      </c>
      <c r="AI278" s="155">
        <f t="array" ref="AI278">MATCH(MIN(IF($AK$501:$AK$525&gt;=IF(G278&gt;1499,E278+7,E278+5), $AK$501:$AK$525)), $AK$501:$AK$525, 0)</f>
        <v>5</v>
      </c>
      <c r="AK278" s="233"/>
      <c r="AL278" s="233"/>
      <c r="AM278" s="155" t="str">
        <f t="shared" si="149"/>
        <v/>
      </c>
      <c r="AN278" s="155" t="str">
        <f t="shared" si="150"/>
        <v/>
      </c>
      <c r="AX278" s="155" t="str">
        <f t="shared" si="151"/>
        <v/>
      </c>
    </row>
    <row r="279" spans="1:50" s="155" customFormat="1" ht="30" hidden="1" customHeight="1">
      <c r="A279" s="141" t="str">
        <f t="shared" si="141"/>
        <v/>
      </c>
      <c r="B279" s="141" t="str">
        <f t="shared" si="142"/>
        <v/>
      </c>
      <c r="C279" s="157" t="str">
        <f>IF(D279="","",
    IF(ISERR(SEARCH("_",D279)),
        IFERROR(_xlfn.AGGREGATE(14,6,$C$12:C278,1),0)+1,
        IFERROR(
            VALUE(TRIM(MID(SUBSTITUTE(D279,"_",REPT(" ",LEN(D279))), (LEN(D279)-LEN(SUBSTITUTE(D279,"_",""))-1)*LEN(D279)+1, LEN(D279))))
            &amp; "." &amp;
            VALUE(TRIM(RIGHT(SUBSTITUTE(D279,"_",REPT(" ",LEN(D279))),LEN(D279)))),
            "")))</f>
        <v/>
      </c>
      <c r="D279" s="158"/>
      <c r="E279" s="159"/>
      <c r="F279" s="159"/>
      <c r="G279" s="159"/>
      <c r="H279" s="159"/>
      <c r="I279" s="158"/>
      <c r="J279" s="158"/>
      <c r="K279" s="159"/>
      <c r="L279" s="160"/>
      <c r="M279" s="159"/>
      <c r="N279" s="159"/>
      <c r="O279" s="161"/>
      <c r="P279" s="162" t="str">
        <f t="shared" si="143"/>
        <v/>
      </c>
      <c r="Q279" s="163" t="str">
        <f t="shared" si="144"/>
        <v/>
      </c>
      <c r="R279" s="164">
        <f t="shared" si="145"/>
        <v>0</v>
      </c>
      <c r="S279" s="165">
        <f t="shared" si="136"/>
        <v>0</v>
      </c>
      <c r="T279" s="165">
        <f t="shared" si="137"/>
        <v>0</v>
      </c>
      <c r="U279" s="166">
        <f t="shared" si="138"/>
        <v>0</v>
      </c>
      <c r="V279" s="153" t="str">
        <f t="shared" si="146"/>
        <v/>
      </c>
      <c r="W279" s="153" t="str">
        <f t="shared" si="147"/>
        <v/>
      </c>
      <c r="X279" s="244"/>
      <c r="Y279" s="154">
        <f t="shared" si="139"/>
        <v>0</v>
      </c>
      <c r="Z279" s="154" t="str">
        <f t="shared" si="135"/>
        <v>1000</v>
      </c>
      <c r="AA279" s="153" t="str">
        <f t="shared" si="148"/>
        <v/>
      </c>
      <c r="AD279" s="155" t="str">
        <f t="shared" si="140"/>
        <v/>
      </c>
      <c r="AI279" s="155">
        <f t="array" ref="AI279">MATCH(MIN(IF($AK$501:$AK$525&gt;=IF(G279&gt;1499,E279+7,E279+5), $AK$501:$AK$525)), $AK$501:$AK$525, 0)</f>
        <v>5</v>
      </c>
      <c r="AK279" s="233"/>
      <c r="AL279" s="233"/>
      <c r="AM279" s="155" t="str">
        <f t="shared" si="149"/>
        <v/>
      </c>
      <c r="AN279" s="155" t="str">
        <f t="shared" si="150"/>
        <v/>
      </c>
      <c r="AX279" s="155" t="str">
        <f t="shared" si="151"/>
        <v/>
      </c>
    </row>
    <row r="280" spans="1:50" s="155" customFormat="1" ht="30" hidden="1" customHeight="1">
      <c r="A280" s="141" t="str">
        <f t="shared" si="141"/>
        <v/>
      </c>
      <c r="B280" s="141" t="str">
        <f t="shared" si="142"/>
        <v/>
      </c>
      <c r="C280" s="157" t="str">
        <f>IF(D280="","",
    IF(ISERR(SEARCH("_",D280)),
        IFERROR(_xlfn.AGGREGATE(14,6,$C$12:C279,1),0)+1,
        IFERROR(
            VALUE(TRIM(MID(SUBSTITUTE(D280,"_",REPT(" ",LEN(D280))), (LEN(D280)-LEN(SUBSTITUTE(D280,"_",""))-1)*LEN(D280)+1, LEN(D280))))
            &amp; "." &amp;
            VALUE(TRIM(RIGHT(SUBSTITUTE(D280,"_",REPT(" ",LEN(D280))),LEN(D280)))),
            "")))</f>
        <v/>
      </c>
      <c r="D280" s="158"/>
      <c r="E280" s="159"/>
      <c r="F280" s="159"/>
      <c r="G280" s="159"/>
      <c r="H280" s="159"/>
      <c r="I280" s="158"/>
      <c r="J280" s="158"/>
      <c r="K280" s="159"/>
      <c r="L280" s="160"/>
      <c r="M280" s="159"/>
      <c r="N280" s="159"/>
      <c r="O280" s="161"/>
      <c r="P280" s="162" t="str">
        <f t="shared" si="143"/>
        <v/>
      </c>
      <c r="Q280" s="163" t="str">
        <f t="shared" si="144"/>
        <v/>
      </c>
      <c r="R280" s="164">
        <f t="shared" si="145"/>
        <v>0</v>
      </c>
      <c r="S280" s="165">
        <f t="shared" si="136"/>
        <v>0</v>
      </c>
      <c r="T280" s="165">
        <f t="shared" si="137"/>
        <v>0</v>
      </c>
      <c r="U280" s="166">
        <f t="shared" si="138"/>
        <v>0</v>
      </c>
      <c r="V280" s="153" t="str">
        <f t="shared" si="146"/>
        <v/>
      </c>
      <c r="W280" s="153" t="str">
        <f t="shared" si="147"/>
        <v/>
      </c>
      <c r="X280" s="244"/>
      <c r="Y280" s="154">
        <f t="shared" si="139"/>
        <v>0</v>
      </c>
      <c r="Z280" s="154" t="str">
        <f t="shared" si="135"/>
        <v>1000</v>
      </c>
      <c r="AA280" s="153" t="str">
        <f t="shared" si="148"/>
        <v/>
      </c>
      <c r="AD280" s="155" t="str">
        <f t="shared" si="140"/>
        <v/>
      </c>
      <c r="AI280" s="155">
        <f t="array" ref="AI280">MATCH(MIN(IF($AK$501:$AK$525&gt;=IF(G280&gt;1499,E280+7,E280+5), $AK$501:$AK$525)), $AK$501:$AK$525, 0)</f>
        <v>5</v>
      </c>
      <c r="AK280" s="233"/>
      <c r="AL280" s="233"/>
      <c r="AM280" s="155" t="str">
        <f t="shared" si="149"/>
        <v/>
      </c>
      <c r="AN280" s="155" t="str">
        <f t="shared" si="150"/>
        <v/>
      </c>
      <c r="AX280" s="155" t="str">
        <f t="shared" si="151"/>
        <v/>
      </c>
    </row>
    <row r="281" spans="1:50" s="155" customFormat="1" ht="30" hidden="1" customHeight="1">
      <c r="A281" s="141" t="str">
        <f t="shared" si="141"/>
        <v/>
      </c>
      <c r="B281" s="141" t="str">
        <f t="shared" si="142"/>
        <v/>
      </c>
      <c r="C281" s="157" t="str">
        <f>IF(D281="","",
    IF(ISERR(SEARCH("_",D281)),
        IFERROR(_xlfn.AGGREGATE(14,6,$C$12:C280,1),0)+1,
        IFERROR(
            VALUE(TRIM(MID(SUBSTITUTE(D281,"_",REPT(" ",LEN(D281))), (LEN(D281)-LEN(SUBSTITUTE(D281,"_",""))-1)*LEN(D281)+1, LEN(D281))))
            &amp; "." &amp;
            VALUE(TRIM(RIGHT(SUBSTITUTE(D281,"_",REPT(" ",LEN(D281))),LEN(D281)))),
            "")))</f>
        <v/>
      </c>
      <c r="D281" s="158"/>
      <c r="E281" s="159"/>
      <c r="F281" s="159"/>
      <c r="G281" s="159"/>
      <c r="H281" s="159"/>
      <c r="I281" s="158"/>
      <c r="J281" s="158"/>
      <c r="K281" s="159"/>
      <c r="L281" s="160"/>
      <c r="M281" s="159"/>
      <c r="N281" s="159"/>
      <c r="O281" s="161"/>
      <c r="P281" s="162" t="str">
        <f t="shared" si="143"/>
        <v/>
      </c>
      <c r="Q281" s="163" t="str">
        <f t="shared" si="144"/>
        <v/>
      </c>
      <c r="R281" s="164">
        <f t="shared" si="145"/>
        <v>0</v>
      </c>
      <c r="S281" s="165">
        <f t="shared" si="136"/>
        <v>0</v>
      </c>
      <c r="T281" s="165">
        <f t="shared" si="137"/>
        <v>0</v>
      </c>
      <c r="U281" s="166">
        <f t="shared" si="138"/>
        <v>0</v>
      </c>
      <c r="V281" s="153" t="str">
        <f t="shared" si="146"/>
        <v/>
      </c>
      <c r="W281" s="153" t="str">
        <f t="shared" si="147"/>
        <v/>
      </c>
      <c r="X281" s="244"/>
      <c r="Y281" s="154">
        <f t="shared" si="139"/>
        <v>0</v>
      </c>
      <c r="Z281" s="154" t="str">
        <f t="shared" si="135"/>
        <v>1000</v>
      </c>
      <c r="AA281" s="153" t="str">
        <f t="shared" si="148"/>
        <v/>
      </c>
      <c r="AD281" s="155" t="str">
        <f t="shared" si="140"/>
        <v/>
      </c>
      <c r="AI281" s="155">
        <f t="array" ref="AI281">MATCH(MIN(IF($AK$501:$AK$525&gt;=IF(G281&gt;1499,E281+7,E281+5), $AK$501:$AK$525)), $AK$501:$AK$525, 0)</f>
        <v>5</v>
      </c>
      <c r="AK281" s="233"/>
      <c r="AL281" s="233"/>
      <c r="AM281" s="155" t="str">
        <f t="shared" si="149"/>
        <v/>
      </c>
      <c r="AN281" s="155" t="str">
        <f t="shared" si="150"/>
        <v/>
      </c>
      <c r="AX281" s="155" t="str">
        <f t="shared" si="151"/>
        <v/>
      </c>
    </row>
    <row r="282" spans="1:50" s="155" customFormat="1" ht="30" hidden="1" customHeight="1">
      <c r="A282" s="141" t="str">
        <f t="shared" si="141"/>
        <v/>
      </c>
      <c r="B282" s="141" t="str">
        <f t="shared" si="142"/>
        <v/>
      </c>
      <c r="C282" s="157" t="str">
        <f>IF(D282="","",
    IF(ISERR(SEARCH("_",D282)),
        IFERROR(_xlfn.AGGREGATE(14,6,$C$12:C281,1),0)+1,
        IFERROR(
            VALUE(TRIM(MID(SUBSTITUTE(D282,"_",REPT(" ",LEN(D282))), (LEN(D282)-LEN(SUBSTITUTE(D282,"_",""))-1)*LEN(D282)+1, LEN(D282))))
            &amp; "." &amp;
            VALUE(TRIM(RIGHT(SUBSTITUTE(D282,"_",REPT(" ",LEN(D282))),LEN(D282)))),
            "")))</f>
        <v/>
      </c>
      <c r="D282" s="158"/>
      <c r="E282" s="159"/>
      <c r="F282" s="159"/>
      <c r="G282" s="159"/>
      <c r="H282" s="159"/>
      <c r="I282" s="158"/>
      <c r="J282" s="158"/>
      <c r="K282" s="159"/>
      <c r="L282" s="160"/>
      <c r="M282" s="159"/>
      <c r="N282" s="159"/>
      <c r="O282" s="161"/>
      <c r="P282" s="162" t="str">
        <f t="shared" si="143"/>
        <v/>
      </c>
      <c r="Q282" s="163" t="str">
        <f t="shared" si="144"/>
        <v/>
      </c>
      <c r="R282" s="164">
        <f t="shared" si="145"/>
        <v>0</v>
      </c>
      <c r="S282" s="165">
        <f t="shared" si="136"/>
        <v>0</v>
      </c>
      <c r="T282" s="165">
        <f t="shared" si="137"/>
        <v>0</v>
      </c>
      <c r="U282" s="166">
        <f t="shared" si="138"/>
        <v>0</v>
      </c>
      <c r="V282" s="153" t="str">
        <f t="shared" si="146"/>
        <v/>
      </c>
      <c r="W282" s="153" t="str">
        <f t="shared" si="147"/>
        <v/>
      </c>
      <c r="X282" s="244"/>
      <c r="Y282" s="154">
        <f t="shared" si="139"/>
        <v>0</v>
      </c>
      <c r="Z282" s="154" t="str">
        <f t="shared" si="135"/>
        <v>1000</v>
      </c>
      <c r="AA282" s="153" t="str">
        <f t="shared" si="148"/>
        <v/>
      </c>
      <c r="AD282" s="155" t="str">
        <f t="shared" si="140"/>
        <v/>
      </c>
      <c r="AI282" s="155">
        <f t="array" ref="AI282">MATCH(MIN(IF($AK$501:$AK$525&gt;=IF(G282&gt;1499,E282+7,E282+5), $AK$501:$AK$525)), $AK$501:$AK$525, 0)</f>
        <v>5</v>
      </c>
      <c r="AK282" s="233"/>
      <c r="AL282" s="233"/>
      <c r="AM282" s="155" t="str">
        <f t="shared" si="149"/>
        <v/>
      </c>
      <c r="AN282" s="155" t="str">
        <f t="shared" si="150"/>
        <v/>
      </c>
      <c r="AX282" s="155" t="str">
        <f t="shared" si="151"/>
        <v/>
      </c>
    </row>
    <row r="283" spans="1:50" s="155" customFormat="1" ht="30" hidden="1" customHeight="1">
      <c r="A283" s="141" t="str">
        <f t="shared" si="141"/>
        <v/>
      </c>
      <c r="B283" s="141" t="str">
        <f t="shared" si="142"/>
        <v/>
      </c>
      <c r="C283" s="157" t="str">
        <f>IF(D283="","",
    IF(ISERR(SEARCH("_",D283)),
        IFERROR(_xlfn.AGGREGATE(14,6,$C$12:C282,1),0)+1,
        IFERROR(
            VALUE(TRIM(MID(SUBSTITUTE(D283,"_",REPT(" ",LEN(D283))), (LEN(D283)-LEN(SUBSTITUTE(D283,"_",""))-1)*LEN(D283)+1, LEN(D283))))
            &amp; "." &amp;
            VALUE(TRIM(RIGHT(SUBSTITUTE(D283,"_",REPT(" ",LEN(D283))),LEN(D283)))),
            "")))</f>
        <v/>
      </c>
      <c r="D283" s="158"/>
      <c r="E283" s="159"/>
      <c r="F283" s="159"/>
      <c r="G283" s="159"/>
      <c r="H283" s="159"/>
      <c r="I283" s="158"/>
      <c r="J283" s="158"/>
      <c r="K283" s="159"/>
      <c r="L283" s="160"/>
      <c r="M283" s="159"/>
      <c r="N283" s="159"/>
      <c r="O283" s="161"/>
      <c r="P283" s="162" t="str">
        <f t="shared" si="143"/>
        <v/>
      </c>
      <c r="Q283" s="163" t="str">
        <f t="shared" si="144"/>
        <v/>
      </c>
      <c r="R283" s="164">
        <f t="shared" si="145"/>
        <v>0</v>
      </c>
      <c r="S283" s="165">
        <f t="shared" si="136"/>
        <v>0</v>
      </c>
      <c r="T283" s="165">
        <f t="shared" si="137"/>
        <v>0</v>
      </c>
      <c r="U283" s="166">
        <f t="shared" si="138"/>
        <v>0</v>
      </c>
      <c r="V283" s="153" t="str">
        <f t="shared" si="146"/>
        <v/>
      </c>
      <c r="W283" s="153" t="str">
        <f t="shared" si="147"/>
        <v/>
      </c>
      <c r="X283" s="244"/>
      <c r="Y283" s="154">
        <f t="shared" si="139"/>
        <v>0</v>
      </c>
      <c r="Z283" s="154" t="str">
        <f t="shared" si="135"/>
        <v>1000</v>
      </c>
      <c r="AA283" s="153" t="str">
        <f t="shared" si="148"/>
        <v/>
      </c>
      <c r="AD283" s="155" t="str">
        <f t="shared" si="140"/>
        <v/>
      </c>
      <c r="AI283" s="155">
        <f t="array" ref="AI283">MATCH(MIN(IF($AK$501:$AK$525&gt;=IF(G283&gt;1499,E283+7,E283+5), $AK$501:$AK$525)), $AK$501:$AK$525, 0)</f>
        <v>5</v>
      </c>
      <c r="AK283" s="233"/>
      <c r="AL283" s="233"/>
      <c r="AM283" s="155" t="str">
        <f t="shared" si="149"/>
        <v/>
      </c>
      <c r="AN283" s="155" t="str">
        <f t="shared" si="150"/>
        <v/>
      </c>
      <c r="AX283" s="155" t="str">
        <f t="shared" si="151"/>
        <v/>
      </c>
    </row>
    <row r="284" spans="1:50" s="155" customFormat="1" ht="30" hidden="1" customHeight="1">
      <c r="A284" s="141" t="str">
        <f t="shared" si="141"/>
        <v/>
      </c>
      <c r="B284" s="141" t="str">
        <f t="shared" si="142"/>
        <v/>
      </c>
      <c r="C284" s="157" t="str">
        <f>IF(D284="","",
    IF(ISERR(SEARCH("_",D284)),
        IFERROR(_xlfn.AGGREGATE(14,6,$C$12:C283,1),0)+1,
        IFERROR(
            VALUE(TRIM(MID(SUBSTITUTE(D284,"_",REPT(" ",LEN(D284))), (LEN(D284)-LEN(SUBSTITUTE(D284,"_",""))-1)*LEN(D284)+1, LEN(D284))))
            &amp; "." &amp;
            VALUE(TRIM(RIGHT(SUBSTITUTE(D284,"_",REPT(" ",LEN(D284))),LEN(D284)))),
            "")))</f>
        <v/>
      </c>
      <c r="D284" s="158"/>
      <c r="E284" s="159"/>
      <c r="F284" s="159"/>
      <c r="G284" s="159"/>
      <c r="H284" s="159"/>
      <c r="I284" s="158"/>
      <c r="J284" s="158"/>
      <c r="K284" s="159"/>
      <c r="L284" s="160"/>
      <c r="M284" s="159"/>
      <c r="N284" s="159"/>
      <c r="O284" s="161"/>
      <c r="P284" s="162" t="str">
        <f t="shared" si="143"/>
        <v/>
      </c>
      <c r="Q284" s="163" t="str">
        <f t="shared" si="144"/>
        <v/>
      </c>
      <c r="R284" s="164">
        <f t="shared" si="145"/>
        <v>0</v>
      </c>
      <c r="S284" s="165">
        <f t="shared" si="136"/>
        <v>0</v>
      </c>
      <c r="T284" s="165">
        <f t="shared" si="137"/>
        <v>0</v>
      </c>
      <c r="U284" s="166">
        <f t="shared" si="138"/>
        <v>0</v>
      </c>
      <c r="V284" s="153" t="str">
        <f t="shared" si="146"/>
        <v/>
      </c>
      <c r="W284" s="153" t="str">
        <f t="shared" si="147"/>
        <v/>
      </c>
      <c r="X284" s="244"/>
      <c r="Y284" s="154">
        <f t="shared" si="139"/>
        <v>0</v>
      </c>
      <c r="Z284" s="154" t="str">
        <f t="shared" si="135"/>
        <v>1000</v>
      </c>
      <c r="AA284" s="153" t="str">
        <f t="shared" si="148"/>
        <v/>
      </c>
      <c r="AD284" s="155" t="str">
        <f t="shared" si="140"/>
        <v/>
      </c>
      <c r="AI284" s="155">
        <f t="array" ref="AI284">MATCH(MIN(IF($AK$501:$AK$525&gt;=IF(G284&gt;1499,E284+7,E284+5), $AK$501:$AK$525)), $AK$501:$AK$525, 0)</f>
        <v>5</v>
      </c>
      <c r="AK284" s="233"/>
      <c r="AL284" s="233"/>
      <c r="AM284" s="155" t="str">
        <f t="shared" si="149"/>
        <v/>
      </c>
      <c r="AN284" s="155" t="str">
        <f t="shared" si="150"/>
        <v/>
      </c>
      <c r="AX284" s="155" t="str">
        <f t="shared" si="151"/>
        <v/>
      </c>
    </row>
    <row r="285" spans="1:50" s="155" customFormat="1" ht="30" hidden="1" customHeight="1">
      <c r="A285" s="141" t="str">
        <f t="shared" si="141"/>
        <v/>
      </c>
      <c r="B285" s="141" t="str">
        <f t="shared" si="142"/>
        <v/>
      </c>
      <c r="C285" s="157" t="str">
        <f>IF(D285="","",
    IF(ISERR(SEARCH("_",D285)),
        IFERROR(_xlfn.AGGREGATE(14,6,$C$12:C284,1),0)+1,
        IFERROR(
            VALUE(TRIM(MID(SUBSTITUTE(D285,"_",REPT(" ",LEN(D285))), (LEN(D285)-LEN(SUBSTITUTE(D285,"_",""))-1)*LEN(D285)+1, LEN(D285))))
            &amp; "." &amp;
            VALUE(TRIM(RIGHT(SUBSTITUTE(D285,"_",REPT(" ",LEN(D285))),LEN(D285)))),
            "")))</f>
        <v/>
      </c>
      <c r="D285" s="158"/>
      <c r="E285" s="159"/>
      <c r="F285" s="159"/>
      <c r="G285" s="159"/>
      <c r="H285" s="159"/>
      <c r="I285" s="158"/>
      <c r="J285" s="158"/>
      <c r="K285" s="159"/>
      <c r="L285" s="160"/>
      <c r="M285" s="159"/>
      <c r="N285" s="159"/>
      <c r="O285" s="161"/>
      <c r="P285" s="162" t="str">
        <f t="shared" si="143"/>
        <v/>
      </c>
      <c r="Q285" s="163" t="str">
        <f t="shared" si="144"/>
        <v/>
      </c>
      <c r="R285" s="164">
        <f t="shared" si="145"/>
        <v>0</v>
      </c>
      <c r="S285" s="165">
        <f t="shared" si="136"/>
        <v>0</v>
      </c>
      <c r="T285" s="165">
        <f t="shared" si="137"/>
        <v>0</v>
      </c>
      <c r="U285" s="166">
        <f t="shared" si="138"/>
        <v>0</v>
      </c>
      <c r="V285" s="153" t="str">
        <f t="shared" si="146"/>
        <v/>
      </c>
      <c r="W285" s="153" t="str">
        <f t="shared" si="147"/>
        <v/>
      </c>
      <c r="X285" s="244"/>
      <c r="Y285" s="154">
        <f t="shared" si="139"/>
        <v>0</v>
      </c>
      <c r="Z285" s="154" t="str">
        <f t="shared" si="135"/>
        <v>1000</v>
      </c>
      <c r="AA285" s="153" t="str">
        <f t="shared" si="148"/>
        <v/>
      </c>
      <c r="AD285" s="155" t="str">
        <f t="shared" si="140"/>
        <v/>
      </c>
      <c r="AI285" s="155">
        <f t="array" ref="AI285">MATCH(MIN(IF($AK$501:$AK$525&gt;=IF(G285&gt;1499,E285+7,E285+5), $AK$501:$AK$525)), $AK$501:$AK$525, 0)</f>
        <v>5</v>
      </c>
      <c r="AK285" s="233"/>
      <c r="AL285" s="233"/>
      <c r="AM285" s="155" t="str">
        <f t="shared" si="149"/>
        <v/>
      </c>
      <c r="AN285" s="155" t="str">
        <f t="shared" si="150"/>
        <v/>
      </c>
      <c r="AX285" s="155" t="str">
        <f t="shared" si="151"/>
        <v/>
      </c>
    </row>
    <row r="286" spans="1:50" s="155" customFormat="1" ht="30" hidden="1" customHeight="1">
      <c r="A286" s="141" t="str">
        <f t="shared" si="141"/>
        <v/>
      </c>
      <c r="B286" s="141" t="str">
        <f t="shared" si="142"/>
        <v/>
      </c>
      <c r="C286" s="157" t="str">
        <f>IF(D286="","",
    IF(ISERR(SEARCH("_",D286)),
        IFERROR(_xlfn.AGGREGATE(14,6,$C$12:C285,1),0)+1,
        IFERROR(
            VALUE(TRIM(MID(SUBSTITUTE(D286,"_",REPT(" ",LEN(D286))), (LEN(D286)-LEN(SUBSTITUTE(D286,"_",""))-1)*LEN(D286)+1, LEN(D286))))
            &amp; "." &amp;
            VALUE(TRIM(RIGHT(SUBSTITUTE(D286,"_",REPT(" ",LEN(D286))),LEN(D286)))),
            "")))</f>
        <v/>
      </c>
      <c r="D286" s="158"/>
      <c r="E286" s="159"/>
      <c r="F286" s="159"/>
      <c r="G286" s="159"/>
      <c r="H286" s="159"/>
      <c r="I286" s="158"/>
      <c r="J286" s="158"/>
      <c r="K286" s="159"/>
      <c r="L286" s="160"/>
      <c r="M286" s="159"/>
      <c r="N286" s="159"/>
      <c r="O286" s="161"/>
      <c r="P286" s="162" t="str">
        <f t="shared" si="143"/>
        <v/>
      </c>
      <c r="Q286" s="163" t="str">
        <f t="shared" si="144"/>
        <v/>
      </c>
      <c r="R286" s="164">
        <f t="shared" si="145"/>
        <v>0</v>
      </c>
      <c r="S286" s="165">
        <f t="shared" si="136"/>
        <v>0</v>
      </c>
      <c r="T286" s="165">
        <f t="shared" si="137"/>
        <v>0</v>
      </c>
      <c r="U286" s="166">
        <f t="shared" si="138"/>
        <v>0</v>
      </c>
      <c r="V286" s="153" t="str">
        <f t="shared" si="146"/>
        <v/>
      </c>
      <c r="W286" s="153" t="str">
        <f t="shared" si="147"/>
        <v/>
      </c>
      <c r="X286" s="244"/>
      <c r="Y286" s="154">
        <f t="shared" si="139"/>
        <v>0</v>
      </c>
      <c r="Z286" s="154" t="str">
        <f t="shared" si="135"/>
        <v>1000</v>
      </c>
      <c r="AA286" s="153" t="str">
        <f t="shared" si="148"/>
        <v/>
      </c>
      <c r="AD286" s="155" t="str">
        <f t="shared" si="140"/>
        <v/>
      </c>
      <c r="AI286" s="155">
        <f t="array" ref="AI286">MATCH(MIN(IF($AK$501:$AK$525&gt;=IF(G286&gt;1499,E286+7,E286+5), $AK$501:$AK$525)), $AK$501:$AK$525, 0)</f>
        <v>5</v>
      </c>
      <c r="AK286" s="233"/>
      <c r="AL286" s="233"/>
      <c r="AM286" s="155" t="str">
        <f t="shared" si="149"/>
        <v/>
      </c>
      <c r="AN286" s="155" t="str">
        <f t="shared" si="150"/>
        <v/>
      </c>
      <c r="AX286" s="155" t="str">
        <f t="shared" si="151"/>
        <v/>
      </c>
    </row>
    <row r="287" spans="1:50" s="155" customFormat="1" ht="30" hidden="1" customHeight="1">
      <c r="A287" s="141" t="str">
        <f t="shared" si="141"/>
        <v/>
      </c>
      <c r="B287" s="141" t="str">
        <f t="shared" si="142"/>
        <v/>
      </c>
      <c r="C287" s="157" t="str">
        <f>IF(D287="","",
    IF(ISERR(SEARCH("_",D287)),
        IFERROR(_xlfn.AGGREGATE(14,6,$C$12:C286,1),0)+1,
        IFERROR(
            VALUE(TRIM(MID(SUBSTITUTE(D287,"_",REPT(" ",LEN(D287))), (LEN(D287)-LEN(SUBSTITUTE(D287,"_",""))-1)*LEN(D287)+1, LEN(D287))))
            &amp; "." &amp;
            VALUE(TRIM(RIGHT(SUBSTITUTE(D287,"_",REPT(" ",LEN(D287))),LEN(D287)))),
            "")))</f>
        <v/>
      </c>
      <c r="D287" s="158"/>
      <c r="E287" s="159"/>
      <c r="F287" s="159"/>
      <c r="G287" s="159"/>
      <c r="H287" s="159"/>
      <c r="I287" s="158"/>
      <c r="J287" s="158"/>
      <c r="K287" s="159"/>
      <c r="L287" s="160"/>
      <c r="M287" s="159"/>
      <c r="N287" s="159"/>
      <c r="O287" s="161"/>
      <c r="P287" s="162" t="str">
        <f t="shared" si="143"/>
        <v/>
      </c>
      <c r="Q287" s="163" t="str">
        <f t="shared" si="144"/>
        <v/>
      </c>
      <c r="R287" s="164">
        <f t="shared" si="145"/>
        <v>0</v>
      </c>
      <c r="S287" s="165">
        <f t="shared" si="136"/>
        <v>0</v>
      </c>
      <c r="T287" s="165">
        <f t="shared" si="137"/>
        <v>0</v>
      </c>
      <c r="U287" s="166">
        <f t="shared" si="138"/>
        <v>0</v>
      </c>
      <c r="V287" s="153" t="str">
        <f t="shared" si="146"/>
        <v/>
      </c>
      <c r="W287" s="153" t="str">
        <f t="shared" si="147"/>
        <v/>
      </c>
      <c r="X287" s="244"/>
      <c r="Y287" s="154">
        <f t="shared" si="139"/>
        <v>0</v>
      </c>
      <c r="Z287" s="154" t="str">
        <f t="shared" si="135"/>
        <v>1000</v>
      </c>
      <c r="AA287" s="153" t="str">
        <f t="shared" si="148"/>
        <v/>
      </c>
      <c r="AD287" s="155" t="str">
        <f t="shared" si="140"/>
        <v/>
      </c>
      <c r="AI287" s="155">
        <f t="array" ref="AI287">MATCH(MIN(IF($AK$501:$AK$525&gt;=IF(G287&gt;1499,E287+7,E287+5), $AK$501:$AK$525)), $AK$501:$AK$525, 0)</f>
        <v>5</v>
      </c>
      <c r="AK287" s="233"/>
      <c r="AL287" s="233"/>
      <c r="AM287" s="155" t="str">
        <f t="shared" si="149"/>
        <v/>
      </c>
      <c r="AN287" s="155" t="str">
        <f t="shared" si="150"/>
        <v/>
      </c>
      <c r="AX287" s="155" t="str">
        <f t="shared" si="151"/>
        <v/>
      </c>
    </row>
    <row r="288" spans="1:50" s="155" customFormat="1" ht="30" hidden="1" customHeight="1">
      <c r="A288" s="141" t="str">
        <f t="shared" si="141"/>
        <v/>
      </c>
      <c r="B288" s="141" t="str">
        <f t="shared" si="142"/>
        <v/>
      </c>
      <c r="C288" s="157" t="str">
        <f>IF(D288="","",
    IF(ISERR(SEARCH("_",D288)),
        IFERROR(_xlfn.AGGREGATE(14,6,$C$12:C287,1),0)+1,
        IFERROR(
            VALUE(TRIM(MID(SUBSTITUTE(D288,"_",REPT(" ",LEN(D288))), (LEN(D288)-LEN(SUBSTITUTE(D288,"_",""))-1)*LEN(D288)+1, LEN(D288))))
            &amp; "." &amp;
            VALUE(TRIM(RIGHT(SUBSTITUTE(D288,"_",REPT(" ",LEN(D288))),LEN(D288)))),
            "")))</f>
        <v/>
      </c>
      <c r="D288" s="158"/>
      <c r="E288" s="159"/>
      <c r="F288" s="159"/>
      <c r="G288" s="159"/>
      <c r="H288" s="159"/>
      <c r="I288" s="158"/>
      <c r="J288" s="158"/>
      <c r="K288" s="159"/>
      <c r="L288" s="160"/>
      <c r="M288" s="159"/>
      <c r="N288" s="159"/>
      <c r="O288" s="161"/>
      <c r="P288" s="162" t="str">
        <f t="shared" si="143"/>
        <v/>
      </c>
      <c r="Q288" s="163" t="str">
        <f t="shared" si="144"/>
        <v/>
      </c>
      <c r="R288" s="164">
        <f t="shared" si="145"/>
        <v>0</v>
      </c>
      <c r="S288" s="165">
        <f t="shared" si="136"/>
        <v>0</v>
      </c>
      <c r="T288" s="165">
        <f t="shared" si="137"/>
        <v>0</v>
      </c>
      <c r="U288" s="166">
        <f t="shared" si="138"/>
        <v>0</v>
      </c>
      <c r="V288" s="153" t="str">
        <f t="shared" si="146"/>
        <v/>
      </c>
      <c r="W288" s="153" t="str">
        <f t="shared" si="147"/>
        <v/>
      </c>
      <c r="X288" s="244"/>
      <c r="Y288" s="154">
        <f t="shared" si="139"/>
        <v>0</v>
      </c>
      <c r="Z288" s="154" t="str">
        <f t="shared" si="135"/>
        <v>1000</v>
      </c>
      <c r="AA288" s="153" t="str">
        <f t="shared" si="148"/>
        <v/>
      </c>
      <c r="AD288" s="155" t="str">
        <f t="shared" si="140"/>
        <v/>
      </c>
      <c r="AI288" s="155">
        <f t="array" ref="AI288">MATCH(MIN(IF($AK$501:$AK$525&gt;=IF(G288&gt;1499,E288+7,E288+5), $AK$501:$AK$525)), $AK$501:$AK$525, 0)</f>
        <v>5</v>
      </c>
      <c r="AK288" s="233"/>
      <c r="AL288" s="233"/>
      <c r="AM288" s="155" t="str">
        <f t="shared" si="149"/>
        <v/>
      </c>
      <c r="AN288" s="155" t="str">
        <f t="shared" si="150"/>
        <v/>
      </c>
      <c r="AX288" s="155" t="str">
        <f t="shared" si="151"/>
        <v/>
      </c>
    </row>
    <row r="289" spans="1:50" s="155" customFormat="1" ht="30" hidden="1" customHeight="1">
      <c r="A289" s="141" t="str">
        <f t="shared" si="141"/>
        <v/>
      </c>
      <c r="B289" s="141" t="str">
        <f t="shared" si="142"/>
        <v/>
      </c>
      <c r="C289" s="157" t="str">
        <f>IF(D289="","",
    IF(ISERR(SEARCH("_",D289)),
        IFERROR(_xlfn.AGGREGATE(14,6,$C$12:C288,1),0)+1,
        IFERROR(
            VALUE(TRIM(MID(SUBSTITUTE(D289,"_",REPT(" ",LEN(D289))), (LEN(D289)-LEN(SUBSTITUTE(D289,"_",""))-1)*LEN(D289)+1, LEN(D289))))
            &amp; "." &amp;
            VALUE(TRIM(RIGHT(SUBSTITUTE(D289,"_",REPT(" ",LEN(D289))),LEN(D289)))),
            "")))</f>
        <v/>
      </c>
      <c r="D289" s="158"/>
      <c r="E289" s="159"/>
      <c r="F289" s="159"/>
      <c r="G289" s="159"/>
      <c r="H289" s="159"/>
      <c r="I289" s="158"/>
      <c r="J289" s="158"/>
      <c r="K289" s="159"/>
      <c r="L289" s="160"/>
      <c r="M289" s="159"/>
      <c r="N289" s="159"/>
      <c r="O289" s="161"/>
      <c r="P289" s="162" t="str">
        <f t="shared" si="143"/>
        <v/>
      </c>
      <c r="Q289" s="163" t="str">
        <f t="shared" si="144"/>
        <v/>
      </c>
      <c r="R289" s="164">
        <f t="shared" si="145"/>
        <v>0</v>
      </c>
      <c r="S289" s="165">
        <f t="shared" si="136"/>
        <v>0</v>
      </c>
      <c r="T289" s="165">
        <f t="shared" si="137"/>
        <v>0</v>
      </c>
      <c r="U289" s="166">
        <f t="shared" si="138"/>
        <v>0</v>
      </c>
      <c r="V289" s="153" t="str">
        <f t="shared" si="146"/>
        <v/>
      </c>
      <c r="W289" s="153" t="str">
        <f t="shared" si="147"/>
        <v/>
      </c>
      <c r="X289" s="244"/>
      <c r="Y289" s="154">
        <f t="shared" si="139"/>
        <v>0</v>
      </c>
      <c r="Z289" s="154" t="str">
        <f t="shared" si="135"/>
        <v>1000</v>
      </c>
      <c r="AA289" s="153" t="str">
        <f t="shared" si="148"/>
        <v/>
      </c>
      <c r="AD289" s="155" t="str">
        <f t="shared" si="140"/>
        <v/>
      </c>
      <c r="AI289" s="155">
        <f t="array" ref="AI289">MATCH(MIN(IF($AK$501:$AK$525&gt;=IF(G289&gt;1499,E289+7,E289+5), $AK$501:$AK$525)), $AK$501:$AK$525, 0)</f>
        <v>5</v>
      </c>
      <c r="AK289" s="233"/>
      <c r="AL289" s="233"/>
      <c r="AM289" s="155" t="str">
        <f t="shared" si="149"/>
        <v/>
      </c>
      <c r="AN289" s="155" t="str">
        <f t="shared" si="150"/>
        <v/>
      </c>
      <c r="AX289" s="155" t="str">
        <f t="shared" si="151"/>
        <v/>
      </c>
    </row>
    <row r="290" spans="1:50" s="155" customFormat="1" ht="30" hidden="1" customHeight="1">
      <c r="A290" s="141" t="str">
        <f t="shared" si="141"/>
        <v/>
      </c>
      <c r="B290" s="141" t="str">
        <f t="shared" si="142"/>
        <v/>
      </c>
      <c r="C290" s="157" t="str">
        <f>IF(D290="","",
    IF(ISERR(SEARCH("_",D290)),
        IFERROR(_xlfn.AGGREGATE(14,6,$C$12:C289,1),0)+1,
        IFERROR(
            VALUE(TRIM(MID(SUBSTITUTE(D290,"_",REPT(" ",LEN(D290))), (LEN(D290)-LEN(SUBSTITUTE(D290,"_",""))-1)*LEN(D290)+1, LEN(D290))))
            &amp; "." &amp;
            VALUE(TRIM(RIGHT(SUBSTITUTE(D290,"_",REPT(" ",LEN(D290))),LEN(D290)))),
            "")))</f>
        <v/>
      </c>
      <c r="D290" s="158"/>
      <c r="E290" s="159"/>
      <c r="F290" s="159"/>
      <c r="G290" s="159"/>
      <c r="H290" s="159"/>
      <c r="I290" s="158"/>
      <c r="J290" s="158"/>
      <c r="K290" s="159"/>
      <c r="L290" s="160"/>
      <c r="M290" s="159"/>
      <c r="N290" s="159"/>
      <c r="O290" s="161"/>
      <c r="P290" s="162" t="str">
        <f t="shared" si="143"/>
        <v/>
      </c>
      <c r="Q290" s="163" t="str">
        <f t="shared" si="144"/>
        <v/>
      </c>
      <c r="R290" s="164">
        <f t="shared" si="145"/>
        <v>0</v>
      </c>
      <c r="S290" s="165">
        <f t="shared" si="136"/>
        <v>0</v>
      </c>
      <c r="T290" s="165">
        <f t="shared" si="137"/>
        <v>0</v>
      </c>
      <c r="U290" s="166">
        <f t="shared" si="138"/>
        <v>0</v>
      </c>
      <c r="V290" s="153" t="str">
        <f t="shared" si="146"/>
        <v/>
      </c>
      <c r="W290" s="153" t="str">
        <f t="shared" si="147"/>
        <v/>
      </c>
      <c r="X290" s="244"/>
      <c r="Y290" s="154">
        <f t="shared" si="139"/>
        <v>0</v>
      </c>
      <c r="Z290" s="154" t="str">
        <f t="shared" si="135"/>
        <v>1000</v>
      </c>
      <c r="AA290" s="153" t="str">
        <f t="shared" si="148"/>
        <v/>
      </c>
      <c r="AD290" s="155" t="str">
        <f t="shared" si="140"/>
        <v/>
      </c>
      <c r="AI290" s="155">
        <f t="array" ref="AI290">MATCH(MIN(IF($AK$501:$AK$525&gt;=IF(G290&gt;1499,E290+7,E290+5), $AK$501:$AK$525)), $AK$501:$AK$525, 0)</f>
        <v>5</v>
      </c>
      <c r="AK290" s="233"/>
      <c r="AL290" s="233"/>
      <c r="AM290" s="155" t="str">
        <f t="shared" si="149"/>
        <v/>
      </c>
      <c r="AN290" s="155" t="str">
        <f t="shared" si="150"/>
        <v/>
      </c>
      <c r="AX290" s="155" t="str">
        <f t="shared" si="151"/>
        <v/>
      </c>
    </row>
    <row r="291" spans="1:50" s="155" customFormat="1" ht="30" hidden="1" customHeight="1">
      <c r="A291" s="141" t="str">
        <f t="shared" si="141"/>
        <v/>
      </c>
      <c r="B291" s="141" t="str">
        <f t="shared" si="142"/>
        <v/>
      </c>
      <c r="C291" s="157" t="str">
        <f>IF(D291="","",
    IF(ISERR(SEARCH("_",D291)),
        IFERROR(_xlfn.AGGREGATE(14,6,$C$12:C290,1),0)+1,
        IFERROR(
            VALUE(TRIM(MID(SUBSTITUTE(D291,"_",REPT(" ",LEN(D291))), (LEN(D291)-LEN(SUBSTITUTE(D291,"_",""))-1)*LEN(D291)+1, LEN(D291))))
            &amp; "." &amp;
            VALUE(TRIM(RIGHT(SUBSTITUTE(D291,"_",REPT(" ",LEN(D291))),LEN(D291)))),
            "")))</f>
        <v/>
      </c>
      <c r="D291" s="158"/>
      <c r="E291" s="159"/>
      <c r="F291" s="159"/>
      <c r="G291" s="159"/>
      <c r="H291" s="159"/>
      <c r="I291" s="158"/>
      <c r="J291" s="158"/>
      <c r="K291" s="159"/>
      <c r="L291" s="160"/>
      <c r="M291" s="159"/>
      <c r="N291" s="159"/>
      <c r="O291" s="161"/>
      <c r="P291" s="162" t="str">
        <f t="shared" si="143"/>
        <v/>
      </c>
      <c r="Q291" s="163" t="str">
        <f t="shared" si="144"/>
        <v/>
      </c>
      <c r="R291" s="164">
        <f t="shared" si="145"/>
        <v>0</v>
      </c>
      <c r="S291" s="165">
        <f t="shared" si="136"/>
        <v>0</v>
      </c>
      <c r="T291" s="165">
        <f t="shared" si="137"/>
        <v>0</v>
      </c>
      <c r="U291" s="166">
        <f t="shared" si="138"/>
        <v>0</v>
      </c>
      <c r="V291" s="153" t="str">
        <f t="shared" si="146"/>
        <v/>
      </c>
      <c r="W291" s="153" t="str">
        <f t="shared" si="147"/>
        <v/>
      </c>
      <c r="X291" s="244"/>
      <c r="Y291" s="154">
        <f t="shared" si="139"/>
        <v>0</v>
      </c>
      <c r="Z291" s="154" t="str">
        <f t="shared" si="135"/>
        <v>1000</v>
      </c>
      <c r="AA291" s="153" t="str">
        <f t="shared" si="148"/>
        <v/>
      </c>
      <c r="AD291" s="155" t="str">
        <f t="shared" si="140"/>
        <v/>
      </c>
      <c r="AI291" s="155">
        <f t="array" ref="AI291">MATCH(MIN(IF($AK$501:$AK$525&gt;=IF(G291&gt;1499,E291+7,E291+5), $AK$501:$AK$525)), $AK$501:$AK$525, 0)</f>
        <v>5</v>
      </c>
      <c r="AK291" s="233"/>
      <c r="AL291" s="233"/>
      <c r="AM291" s="155" t="str">
        <f t="shared" si="149"/>
        <v/>
      </c>
      <c r="AN291" s="155" t="str">
        <f t="shared" si="150"/>
        <v/>
      </c>
      <c r="AX291" s="155" t="str">
        <f t="shared" si="151"/>
        <v/>
      </c>
    </row>
    <row r="292" spans="1:50" s="155" customFormat="1" ht="30" hidden="1" customHeight="1">
      <c r="A292" s="141" t="str">
        <f t="shared" si="141"/>
        <v/>
      </c>
      <c r="B292" s="141" t="str">
        <f t="shared" si="142"/>
        <v/>
      </c>
      <c r="C292" s="157" t="str">
        <f>IF(D292="","",
    IF(ISERR(SEARCH("_",D292)),
        IFERROR(_xlfn.AGGREGATE(14,6,$C$12:C291,1),0)+1,
        IFERROR(
            VALUE(TRIM(MID(SUBSTITUTE(D292,"_",REPT(" ",LEN(D292))), (LEN(D292)-LEN(SUBSTITUTE(D292,"_",""))-1)*LEN(D292)+1, LEN(D292))))
            &amp; "." &amp;
            VALUE(TRIM(RIGHT(SUBSTITUTE(D292,"_",REPT(" ",LEN(D292))),LEN(D292)))),
            "")))</f>
        <v/>
      </c>
      <c r="D292" s="158"/>
      <c r="E292" s="159"/>
      <c r="F292" s="159"/>
      <c r="G292" s="159"/>
      <c r="H292" s="159"/>
      <c r="I292" s="158"/>
      <c r="J292" s="158"/>
      <c r="K292" s="159"/>
      <c r="L292" s="160"/>
      <c r="M292" s="159"/>
      <c r="N292" s="159"/>
      <c r="O292" s="161"/>
      <c r="P292" s="162" t="str">
        <f t="shared" si="143"/>
        <v/>
      </c>
      <c r="Q292" s="163" t="str">
        <f t="shared" si="144"/>
        <v/>
      </c>
      <c r="R292" s="164">
        <f t="shared" si="145"/>
        <v>0</v>
      </c>
      <c r="S292" s="165">
        <f t="shared" si="136"/>
        <v>0</v>
      </c>
      <c r="T292" s="165">
        <f t="shared" si="137"/>
        <v>0</v>
      </c>
      <c r="U292" s="166">
        <f t="shared" si="138"/>
        <v>0</v>
      </c>
      <c r="V292" s="153" t="str">
        <f t="shared" si="146"/>
        <v/>
      </c>
      <c r="W292" s="153" t="str">
        <f t="shared" si="147"/>
        <v/>
      </c>
      <c r="X292" s="244"/>
      <c r="Y292" s="154">
        <f t="shared" si="139"/>
        <v>0</v>
      </c>
      <c r="Z292" s="154" t="str">
        <f t="shared" si="135"/>
        <v>1000</v>
      </c>
      <c r="AA292" s="153" t="str">
        <f t="shared" si="148"/>
        <v/>
      </c>
      <c r="AD292" s="155" t="str">
        <f t="shared" si="140"/>
        <v/>
      </c>
      <c r="AI292" s="155">
        <f t="array" ref="AI292">MATCH(MIN(IF($AK$501:$AK$525&gt;=IF(G292&gt;1499,E292+7,E292+5), $AK$501:$AK$525)), $AK$501:$AK$525, 0)</f>
        <v>5</v>
      </c>
      <c r="AK292" s="233"/>
      <c r="AL292" s="233"/>
      <c r="AM292" s="155" t="str">
        <f t="shared" si="149"/>
        <v/>
      </c>
      <c r="AN292" s="155" t="str">
        <f t="shared" si="150"/>
        <v/>
      </c>
      <c r="AX292" s="155" t="str">
        <f t="shared" si="151"/>
        <v/>
      </c>
    </row>
    <row r="293" spans="1:50" s="155" customFormat="1" ht="30" hidden="1" customHeight="1">
      <c r="A293" s="141" t="str">
        <f t="shared" si="141"/>
        <v/>
      </c>
      <c r="B293" s="141" t="str">
        <f t="shared" si="142"/>
        <v/>
      </c>
      <c r="C293" s="157" t="str">
        <f>IF(D293="","",
    IF(ISERR(SEARCH("_",D293)),
        IFERROR(_xlfn.AGGREGATE(14,6,$C$12:C292,1),0)+1,
        IFERROR(
            VALUE(TRIM(MID(SUBSTITUTE(D293,"_",REPT(" ",LEN(D293))), (LEN(D293)-LEN(SUBSTITUTE(D293,"_",""))-1)*LEN(D293)+1, LEN(D293))))
            &amp; "." &amp;
            VALUE(TRIM(RIGHT(SUBSTITUTE(D293,"_",REPT(" ",LEN(D293))),LEN(D293)))),
            "")))</f>
        <v/>
      </c>
      <c r="D293" s="158"/>
      <c r="E293" s="159"/>
      <c r="F293" s="159"/>
      <c r="G293" s="159"/>
      <c r="H293" s="159"/>
      <c r="I293" s="158"/>
      <c r="J293" s="158"/>
      <c r="K293" s="159"/>
      <c r="L293" s="160"/>
      <c r="M293" s="159"/>
      <c r="N293" s="159"/>
      <c r="O293" s="161"/>
      <c r="P293" s="162" t="str">
        <f t="shared" si="143"/>
        <v/>
      </c>
      <c r="Q293" s="163" t="str">
        <f t="shared" si="144"/>
        <v/>
      </c>
      <c r="R293" s="164">
        <f t="shared" si="145"/>
        <v>0</v>
      </c>
      <c r="S293" s="165">
        <f t="shared" si="136"/>
        <v>0</v>
      </c>
      <c r="T293" s="165">
        <f t="shared" si="137"/>
        <v>0</v>
      </c>
      <c r="U293" s="166">
        <f t="shared" si="138"/>
        <v>0</v>
      </c>
      <c r="V293" s="153" t="str">
        <f t="shared" si="146"/>
        <v/>
      </c>
      <c r="W293" s="153" t="str">
        <f t="shared" si="147"/>
        <v/>
      </c>
      <c r="X293" s="244"/>
      <c r="Y293" s="154">
        <f t="shared" si="139"/>
        <v>0</v>
      </c>
      <c r="Z293" s="154" t="str">
        <f t="shared" si="135"/>
        <v>1000</v>
      </c>
      <c r="AA293" s="153" t="str">
        <f t="shared" si="148"/>
        <v/>
      </c>
      <c r="AD293" s="155" t="str">
        <f t="shared" si="140"/>
        <v/>
      </c>
      <c r="AI293" s="155">
        <f t="array" ref="AI293">MATCH(MIN(IF($AK$501:$AK$525&gt;=IF(G293&gt;1499,E293+7,E293+5), $AK$501:$AK$525)), $AK$501:$AK$525, 0)</f>
        <v>5</v>
      </c>
      <c r="AK293" s="233"/>
      <c r="AL293" s="233"/>
      <c r="AM293" s="155" t="str">
        <f t="shared" si="149"/>
        <v/>
      </c>
      <c r="AN293" s="155" t="str">
        <f t="shared" si="150"/>
        <v/>
      </c>
      <c r="AX293" s="155" t="str">
        <f t="shared" si="151"/>
        <v/>
      </c>
    </row>
    <row r="294" spans="1:50" s="155" customFormat="1" ht="30" hidden="1" customHeight="1">
      <c r="A294" s="141" t="str">
        <f t="shared" si="141"/>
        <v/>
      </c>
      <c r="B294" s="141" t="str">
        <f t="shared" si="142"/>
        <v/>
      </c>
      <c r="C294" s="157" t="str">
        <f>IF(D294="","",
    IF(ISERR(SEARCH("_",D294)),
        IFERROR(_xlfn.AGGREGATE(14,6,$C$12:C293,1),0)+1,
        IFERROR(
            VALUE(TRIM(MID(SUBSTITUTE(D294,"_",REPT(" ",LEN(D294))), (LEN(D294)-LEN(SUBSTITUTE(D294,"_",""))-1)*LEN(D294)+1, LEN(D294))))
            &amp; "." &amp;
            VALUE(TRIM(RIGHT(SUBSTITUTE(D294,"_",REPT(" ",LEN(D294))),LEN(D294)))),
            "")))</f>
        <v/>
      </c>
      <c r="D294" s="158"/>
      <c r="E294" s="159"/>
      <c r="F294" s="159"/>
      <c r="G294" s="159"/>
      <c r="H294" s="159"/>
      <c r="I294" s="158"/>
      <c r="J294" s="158"/>
      <c r="K294" s="159"/>
      <c r="L294" s="160"/>
      <c r="M294" s="159"/>
      <c r="N294" s="159"/>
      <c r="O294" s="161"/>
      <c r="P294" s="162" t="str">
        <f t="shared" si="143"/>
        <v/>
      </c>
      <c r="Q294" s="163" t="str">
        <f t="shared" si="144"/>
        <v/>
      </c>
      <c r="R294" s="164">
        <f t="shared" si="145"/>
        <v>0</v>
      </c>
      <c r="S294" s="165">
        <f t="shared" si="136"/>
        <v>0</v>
      </c>
      <c r="T294" s="165">
        <f t="shared" si="137"/>
        <v>0</v>
      </c>
      <c r="U294" s="166">
        <f t="shared" si="138"/>
        <v>0</v>
      </c>
      <c r="V294" s="153" t="str">
        <f t="shared" si="146"/>
        <v/>
      </c>
      <c r="W294" s="153" t="str">
        <f t="shared" si="147"/>
        <v/>
      </c>
      <c r="X294" s="244"/>
      <c r="Y294" s="154">
        <f t="shared" si="139"/>
        <v>0</v>
      </c>
      <c r="Z294" s="154" t="str">
        <f t="shared" si="135"/>
        <v>1000</v>
      </c>
      <c r="AA294" s="153" t="str">
        <f t="shared" si="148"/>
        <v/>
      </c>
      <c r="AD294" s="155" t="str">
        <f t="shared" si="140"/>
        <v/>
      </c>
      <c r="AI294" s="155">
        <f t="array" ref="AI294">MATCH(MIN(IF($AK$501:$AK$525&gt;=IF(G294&gt;1499,E294+7,E294+5), $AK$501:$AK$525)), $AK$501:$AK$525, 0)</f>
        <v>5</v>
      </c>
      <c r="AK294" s="233"/>
      <c r="AL294" s="233"/>
      <c r="AM294" s="155" t="str">
        <f t="shared" si="149"/>
        <v/>
      </c>
      <c r="AN294" s="155" t="str">
        <f t="shared" si="150"/>
        <v/>
      </c>
      <c r="AX294" s="155" t="str">
        <f t="shared" si="151"/>
        <v/>
      </c>
    </row>
    <row r="295" spans="1:50" s="155" customFormat="1" ht="30" hidden="1" customHeight="1">
      <c r="A295" s="141" t="str">
        <f t="shared" si="141"/>
        <v/>
      </c>
      <c r="B295" s="141" t="str">
        <f t="shared" si="142"/>
        <v/>
      </c>
      <c r="C295" s="157" t="str">
        <f>IF(D295="","",
    IF(ISERR(SEARCH("_",D295)),
        IFERROR(_xlfn.AGGREGATE(14,6,$C$12:C294,1),0)+1,
        IFERROR(
            VALUE(TRIM(MID(SUBSTITUTE(D295,"_",REPT(" ",LEN(D295))), (LEN(D295)-LEN(SUBSTITUTE(D295,"_",""))-1)*LEN(D295)+1, LEN(D295))))
            &amp; "." &amp;
            VALUE(TRIM(RIGHT(SUBSTITUTE(D295,"_",REPT(" ",LEN(D295))),LEN(D295)))),
            "")))</f>
        <v/>
      </c>
      <c r="D295" s="158"/>
      <c r="E295" s="159"/>
      <c r="F295" s="159"/>
      <c r="G295" s="159"/>
      <c r="H295" s="159"/>
      <c r="I295" s="158"/>
      <c r="J295" s="158"/>
      <c r="K295" s="159"/>
      <c r="L295" s="160"/>
      <c r="M295" s="159"/>
      <c r="N295" s="159"/>
      <c r="O295" s="161"/>
      <c r="P295" s="162" t="str">
        <f t="shared" si="143"/>
        <v/>
      </c>
      <c r="Q295" s="163" t="str">
        <f t="shared" si="144"/>
        <v/>
      </c>
      <c r="R295" s="164">
        <f t="shared" si="145"/>
        <v>0</v>
      </c>
      <c r="S295" s="165">
        <f t="shared" si="136"/>
        <v>0</v>
      </c>
      <c r="T295" s="165">
        <f t="shared" si="137"/>
        <v>0</v>
      </c>
      <c r="U295" s="166">
        <f t="shared" si="138"/>
        <v>0</v>
      </c>
      <c r="V295" s="153" t="str">
        <f t="shared" si="146"/>
        <v/>
      </c>
      <c r="W295" s="153" t="str">
        <f t="shared" si="147"/>
        <v/>
      </c>
      <c r="X295" s="244"/>
      <c r="Y295" s="154">
        <f t="shared" si="139"/>
        <v>0</v>
      </c>
      <c r="Z295" s="154" t="str">
        <f t="shared" si="135"/>
        <v>1000</v>
      </c>
      <c r="AA295" s="153" t="str">
        <f t="shared" si="148"/>
        <v/>
      </c>
      <c r="AD295" s="155" t="str">
        <f t="shared" si="140"/>
        <v/>
      </c>
      <c r="AI295" s="155">
        <f t="array" ref="AI295">MATCH(MIN(IF($AK$501:$AK$525&gt;=IF(G295&gt;1499,E295+7,E295+5), $AK$501:$AK$525)), $AK$501:$AK$525, 0)</f>
        <v>5</v>
      </c>
      <c r="AK295" s="233"/>
      <c r="AL295" s="233"/>
      <c r="AM295" s="155" t="str">
        <f t="shared" si="149"/>
        <v/>
      </c>
      <c r="AN295" s="155" t="str">
        <f t="shared" si="150"/>
        <v/>
      </c>
      <c r="AX295" s="155" t="str">
        <f t="shared" si="151"/>
        <v/>
      </c>
    </row>
    <row r="296" spans="1:50" s="155" customFormat="1" ht="30" hidden="1" customHeight="1">
      <c r="A296" s="141" t="str">
        <f t="shared" si="141"/>
        <v/>
      </c>
      <c r="B296" s="141" t="str">
        <f t="shared" si="142"/>
        <v/>
      </c>
      <c r="C296" s="157" t="str">
        <f>IF(D296="","",
    IF(ISERR(SEARCH("_",D296)),
        IFERROR(_xlfn.AGGREGATE(14,6,$C$12:C295,1),0)+1,
        IFERROR(
            VALUE(TRIM(MID(SUBSTITUTE(D296,"_",REPT(" ",LEN(D296))), (LEN(D296)-LEN(SUBSTITUTE(D296,"_",""))-1)*LEN(D296)+1, LEN(D296))))
            &amp; "." &amp;
            VALUE(TRIM(RIGHT(SUBSTITUTE(D296,"_",REPT(" ",LEN(D296))),LEN(D296)))),
            "")))</f>
        <v/>
      </c>
      <c r="D296" s="158"/>
      <c r="E296" s="159"/>
      <c r="F296" s="159"/>
      <c r="G296" s="159"/>
      <c r="H296" s="159"/>
      <c r="I296" s="158"/>
      <c r="J296" s="158"/>
      <c r="K296" s="159"/>
      <c r="L296" s="160"/>
      <c r="M296" s="159"/>
      <c r="N296" s="159"/>
      <c r="O296" s="161"/>
      <c r="P296" s="162" t="str">
        <f t="shared" si="143"/>
        <v/>
      </c>
      <c r="Q296" s="163" t="str">
        <f t="shared" si="144"/>
        <v/>
      </c>
      <c r="R296" s="164">
        <f t="shared" si="145"/>
        <v>0</v>
      </c>
      <c r="S296" s="165">
        <f t="shared" si="136"/>
        <v>0</v>
      </c>
      <c r="T296" s="165">
        <f t="shared" si="137"/>
        <v>0</v>
      </c>
      <c r="U296" s="166">
        <f t="shared" si="138"/>
        <v>0</v>
      </c>
      <c r="V296" s="153" t="str">
        <f t="shared" si="146"/>
        <v/>
      </c>
      <c r="W296" s="153" t="str">
        <f t="shared" si="147"/>
        <v/>
      </c>
      <c r="X296" s="244"/>
      <c r="Y296" s="154">
        <f t="shared" si="139"/>
        <v>0</v>
      </c>
      <c r="Z296" s="154" t="str">
        <f t="shared" si="135"/>
        <v>1000</v>
      </c>
      <c r="AA296" s="153" t="str">
        <f t="shared" si="148"/>
        <v/>
      </c>
      <c r="AD296" s="155" t="str">
        <f t="shared" si="140"/>
        <v/>
      </c>
      <c r="AI296" s="155">
        <f t="array" ref="AI296">MATCH(MIN(IF($AK$501:$AK$525&gt;=IF(G296&gt;1499,E296+7,E296+5), $AK$501:$AK$525)), $AK$501:$AK$525, 0)</f>
        <v>5</v>
      </c>
      <c r="AK296" s="233"/>
      <c r="AL296" s="233"/>
      <c r="AM296" s="155" t="str">
        <f t="shared" si="149"/>
        <v/>
      </c>
      <c r="AN296" s="155" t="str">
        <f t="shared" si="150"/>
        <v/>
      </c>
      <c r="AX296" s="155" t="str">
        <f t="shared" si="151"/>
        <v/>
      </c>
    </row>
    <row r="297" spans="1:50" s="155" customFormat="1" ht="30" hidden="1" customHeight="1">
      <c r="A297" s="141" t="str">
        <f t="shared" si="141"/>
        <v/>
      </c>
      <c r="B297" s="141" t="str">
        <f t="shared" si="142"/>
        <v/>
      </c>
      <c r="C297" s="157" t="str">
        <f>IF(D297="","",
    IF(ISERR(SEARCH("_",D297)),
        IFERROR(_xlfn.AGGREGATE(14,6,$C$12:C296,1),0)+1,
        IFERROR(
            VALUE(TRIM(MID(SUBSTITUTE(D297,"_",REPT(" ",LEN(D297))), (LEN(D297)-LEN(SUBSTITUTE(D297,"_",""))-1)*LEN(D297)+1, LEN(D297))))
            &amp; "." &amp;
            VALUE(TRIM(RIGHT(SUBSTITUTE(D297,"_",REPT(" ",LEN(D297))),LEN(D297)))),
            "")))</f>
        <v/>
      </c>
      <c r="D297" s="158"/>
      <c r="E297" s="159"/>
      <c r="F297" s="159"/>
      <c r="G297" s="159"/>
      <c r="H297" s="159"/>
      <c r="I297" s="158"/>
      <c r="J297" s="158"/>
      <c r="K297" s="159"/>
      <c r="L297" s="160"/>
      <c r="M297" s="159"/>
      <c r="N297" s="159"/>
      <c r="O297" s="161"/>
      <c r="P297" s="162" t="str">
        <f t="shared" si="143"/>
        <v/>
      </c>
      <c r="Q297" s="163" t="str">
        <f t="shared" si="144"/>
        <v/>
      </c>
      <c r="R297" s="164">
        <f t="shared" si="145"/>
        <v>0</v>
      </c>
      <c r="S297" s="165">
        <f t="shared" si="136"/>
        <v>0</v>
      </c>
      <c r="T297" s="165">
        <f t="shared" si="137"/>
        <v>0</v>
      </c>
      <c r="U297" s="166">
        <f t="shared" si="138"/>
        <v>0</v>
      </c>
      <c r="V297" s="153" t="str">
        <f t="shared" si="146"/>
        <v/>
      </c>
      <c r="W297" s="153" t="str">
        <f t="shared" si="147"/>
        <v/>
      </c>
      <c r="X297" s="244"/>
      <c r="Y297" s="154">
        <f t="shared" si="139"/>
        <v>0</v>
      </c>
      <c r="Z297" s="154" t="str">
        <f t="shared" si="135"/>
        <v>1000</v>
      </c>
      <c r="AA297" s="153" t="str">
        <f t="shared" si="148"/>
        <v/>
      </c>
      <c r="AD297" s="155" t="str">
        <f t="shared" si="140"/>
        <v/>
      </c>
      <c r="AI297" s="155">
        <f t="array" ref="AI297">MATCH(MIN(IF($AK$501:$AK$525&gt;=IF(G297&gt;1499,E297+7,E297+5), $AK$501:$AK$525)), $AK$501:$AK$525, 0)</f>
        <v>5</v>
      </c>
      <c r="AK297" s="233"/>
      <c r="AL297" s="233"/>
      <c r="AM297" s="155" t="str">
        <f t="shared" si="149"/>
        <v/>
      </c>
      <c r="AN297" s="155" t="str">
        <f t="shared" si="150"/>
        <v/>
      </c>
      <c r="AX297" s="155" t="str">
        <f t="shared" si="151"/>
        <v/>
      </c>
    </row>
    <row r="298" spans="1:50" s="155" customFormat="1" ht="30" hidden="1" customHeight="1">
      <c r="A298" s="141" t="str">
        <f t="shared" si="141"/>
        <v/>
      </c>
      <c r="B298" s="141" t="str">
        <f t="shared" si="142"/>
        <v/>
      </c>
      <c r="C298" s="157" t="str">
        <f>IF(D298="","",
    IF(ISERR(SEARCH("_",D298)),
        IFERROR(_xlfn.AGGREGATE(14,6,$C$12:C297,1),0)+1,
        IFERROR(
            VALUE(TRIM(MID(SUBSTITUTE(D298,"_",REPT(" ",LEN(D298))), (LEN(D298)-LEN(SUBSTITUTE(D298,"_",""))-1)*LEN(D298)+1, LEN(D298))))
            &amp; "." &amp;
            VALUE(TRIM(RIGHT(SUBSTITUTE(D298,"_",REPT(" ",LEN(D298))),LEN(D298)))),
            "")))</f>
        <v/>
      </c>
      <c r="D298" s="158"/>
      <c r="E298" s="159"/>
      <c r="F298" s="159"/>
      <c r="G298" s="159"/>
      <c r="H298" s="159"/>
      <c r="I298" s="158"/>
      <c r="J298" s="158"/>
      <c r="K298" s="159"/>
      <c r="L298" s="160"/>
      <c r="M298" s="159"/>
      <c r="N298" s="159"/>
      <c r="O298" s="161"/>
      <c r="P298" s="162" t="str">
        <f t="shared" si="143"/>
        <v/>
      </c>
      <c r="Q298" s="163" t="str">
        <f t="shared" si="144"/>
        <v/>
      </c>
      <c r="R298" s="164">
        <f t="shared" si="145"/>
        <v>0</v>
      </c>
      <c r="S298" s="165">
        <f t="shared" si="136"/>
        <v>0</v>
      </c>
      <c r="T298" s="165">
        <f t="shared" si="137"/>
        <v>0</v>
      </c>
      <c r="U298" s="166">
        <f t="shared" si="138"/>
        <v>0</v>
      </c>
      <c r="V298" s="153" t="str">
        <f t="shared" si="146"/>
        <v/>
      </c>
      <c r="W298" s="153" t="str">
        <f t="shared" si="147"/>
        <v/>
      </c>
      <c r="X298" s="244"/>
      <c r="Y298" s="154">
        <f t="shared" si="139"/>
        <v>0</v>
      </c>
      <c r="Z298" s="154" t="str">
        <f t="shared" si="135"/>
        <v>1000</v>
      </c>
      <c r="AA298" s="153" t="str">
        <f t="shared" si="148"/>
        <v/>
      </c>
      <c r="AD298" s="155" t="str">
        <f t="shared" si="140"/>
        <v/>
      </c>
      <c r="AI298" s="155">
        <f t="array" ref="AI298">MATCH(MIN(IF($AK$501:$AK$525&gt;=IF(G298&gt;1499,E298+7,E298+5), $AK$501:$AK$525)), $AK$501:$AK$525, 0)</f>
        <v>5</v>
      </c>
      <c r="AK298" s="233"/>
      <c r="AL298" s="233"/>
      <c r="AM298" s="155" t="str">
        <f t="shared" si="149"/>
        <v/>
      </c>
      <c r="AN298" s="155" t="str">
        <f t="shared" si="150"/>
        <v/>
      </c>
      <c r="AX298" s="155" t="str">
        <f t="shared" si="151"/>
        <v/>
      </c>
    </row>
    <row r="299" spans="1:50" s="155" customFormat="1" ht="30" hidden="1" customHeight="1">
      <c r="A299" s="141" t="str">
        <f t="shared" si="141"/>
        <v/>
      </c>
      <c r="B299" s="141" t="str">
        <f t="shared" si="142"/>
        <v/>
      </c>
      <c r="C299" s="157" t="str">
        <f>IF(D299="","",
    IF(ISERR(SEARCH("_",D299)),
        IFERROR(_xlfn.AGGREGATE(14,6,$C$12:C298,1),0)+1,
        IFERROR(
            VALUE(TRIM(MID(SUBSTITUTE(D299,"_",REPT(" ",LEN(D299))), (LEN(D299)-LEN(SUBSTITUTE(D299,"_",""))-1)*LEN(D299)+1, LEN(D299))))
            &amp; "." &amp;
            VALUE(TRIM(RIGHT(SUBSTITUTE(D299,"_",REPT(" ",LEN(D299))),LEN(D299)))),
            "")))</f>
        <v/>
      </c>
      <c r="D299" s="158"/>
      <c r="E299" s="159"/>
      <c r="F299" s="159"/>
      <c r="G299" s="159"/>
      <c r="H299" s="159"/>
      <c r="I299" s="158"/>
      <c r="J299" s="158"/>
      <c r="K299" s="159"/>
      <c r="L299" s="160"/>
      <c r="M299" s="159"/>
      <c r="N299" s="159"/>
      <c r="O299" s="161"/>
      <c r="P299" s="162" t="str">
        <f t="shared" si="143"/>
        <v/>
      </c>
      <c r="Q299" s="163" t="str">
        <f t="shared" si="144"/>
        <v/>
      </c>
      <c r="R299" s="164">
        <f t="shared" si="145"/>
        <v>0</v>
      </c>
      <c r="S299" s="165">
        <f t="shared" si="136"/>
        <v>0</v>
      </c>
      <c r="T299" s="165">
        <f t="shared" si="137"/>
        <v>0</v>
      </c>
      <c r="U299" s="166">
        <f t="shared" si="138"/>
        <v>0</v>
      </c>
      <c r="V299" s="153" t="str">
        <f t="shared" si="146"/>
        <v/>
      </c>
      <c r="W299" s="153" t="str">
        <f t="shared" si="147"/>
        <v/>
      </c>
      <c r="X299" s="244"/>
      <c r="Y299" s="154">
        <f t="shared" si="139"/>
        <v>0</v>
      </c>
      <c r="Z299" s="154" t="str">
        <f t="shared" si="135"/>
        <v>1000</v>
      </c>
      <c r="AA299" s="153" t="str">
        <f t="shared" si="148"/>
        <v/>
      </c>
      <c r="AD299" s="155" t="str">
        <f t="shared" si="140"/>
        <v/>
      </c>
      <c r="AI299" s="155">
        <f t="array" ref="AI299">MATCH(MIN(IF($AK$501:$AK$525&gt;=IF(G299&gt;1499,E299+7,E299+5), $AK$501:$AK$525)), $AK$501:$AK$525, 0)</f>
        <v>5</v>
      </c>
      <c r="AK299" s="233"/>
      <c r="AL299" s="233"/>
      <c r="AM299" s="155" t="str">
        <f t="shared" si="149"/>
        <v/>
      </c>
      <c r="AN299" s="155" t="str">
        <f t="shared" si="150"/>
        <v/>
      </c>
      <c r="AX299" s="155" t="str">
        <f t="shared" si="151"/>
        <v/>
      </c>
    </row>
    <row r="300" spans="1:50" s="155" customFormat="1" ht="30" hidden="1" customHeight="1">
      <c r="A300" s="141" t="str">
        <f t="shared" si="141"/>
        <v/>
      </c>
      <c r="B300" s="141" t="str">
        <f t="shared" si="142"/>
        <v/>
      </c>
      <c r="C300" s="157" t="str">
        <f>IF(D300="","",
    IF(ISERR(SEARCH("_",D300)),
        IFERROR(_xlfn.AGGREGATE(14,6,$C$12:C299,1),0)+1,
        IFERROR(
            VALUE(TRIM(MID(SUBSTITUTE(D300,"_",REPT(" ",LEN(D300))), (LEN(D300)-LEN(SUBSTITUTE(D300,"_",""))-1)*LEN(D300)+1, LEN(D300))))
            &amp; "." &amp;
            VALUE(TRIM(RIGHT(SUBSTITUTE(D300,"_",REPT(" ",LEN(D300))),LEN(D300)))),
            "")))</f>
        <v/>
      </c>
      <c r="D300" s="158"/>
      <c r="E300" s="159"/>
      <c r="F300" s="159"/>
      <c r="G300" s="159"/>
      <c r="H300" s="159"/>
      <c r="I300" s="158"/>
      <c r="J300" s="158"/>
      <c r="K300" s="159"/>
      <c r="L300" s="160"/>
      <c r="M300" s="159"/>
      <c r="N300" s="159"/>
      <c r="O300" s="161"/>
      <c r="P300" s="162" t="str">
        <f t="shared" si="143"/>
        <v/>
      </c>
      <c r="Q300" s="163" t="str">
        <f t="shared" si="144"/>
        <v/>
      </c>
      <c r="R300" s="164">
        <f t="shared" si="145"/>
        <v>0</v>
      </c>
      <c r="S300" s="165">
        <f t="shared" si="136"/>
        <v>0</v>
      </c>
      <c r="T300" s="165">
        <f t="shared" si="137"/>
        <v>0</v>
      </c>
      <c r="U300" s="166">
        <f t="shared" si="138"/>
        <v>0</v>
      </c>
      <c r="V300" s="153" t="str">
        <f t="shared" si="146"/>
        <v/>
      </c>
      <c r="W300" s="153" t="str">
        <f t="shared" si="147"/>
        <v/>
      </c>
      <c r="X300" s="244"/>
      <c r="Y300" s="154">
        <f t="shared" si="139"/>
        <v>0</v>
      </c>
      <c r="Z300" s="154" t="str">
        <f t="shared" si="135"/>
        <v>1000</v>
      </c>
      <c r="AA300" s="153" t="str">
        <f t="shared" si="148"/>
        <v/>
      </c>
      <c r="AD300" s="155" t="str">
        <f t="shared" si="140"/>
        <v/>
      </c>
      <c r="AI300" s="155">
        <f t="array" ref="AI300">MATCH(MIN(IF($AK$501:$AK$525&gt;=IF(G300&gt;1499,E300+7,E300+5), $AK$501:$AK$525)), $AK$501:$AK$525, 0)</f>
        <v>5</v>
      </c>
      <c r="AK300" s="233"/>
      <c r="AL300" s="233"/>
      <c r="AM300" s="155" t="str">
        <f t="shared" si="149"/>
        <v/>
      </c>
      <c r="AN300" s="155" t="str">
        <f t="shared" si="150"/>
        <v/>
      </c>
      <c r="AX300" s="155" t="str">
        <f t="shared" si="151"/>
        <v/>
      </c>
    </row>
    <row r="301" spans="1:50" s="155" customFormat="1" ht="30" hidden="1" customHeight="1">
      <c r="A301" s="141" t="str">
        <f t="shared" si="141"/>
        <v/>
      </c>
      <c r="B301" s="141" t="str">
        <f t="shared" si="142"/>
        <v/>
      </c>
      <c r="C301" s="157" t="str">
        <f>IF(D301="","",
    IF(ISERR(SEARCH("_",D301)),
        IFERROR(_xlfn.AGGREGATE(14,6,$C$12:C300,1),0)+1,
        IFERROR(
            VALUE(TRIM(MID(SUBSTITUTE(D301,"_",REPT(" ",LEN(D301))), (LEN(D301)-LEN(SUBSTITUTE(D301,"_",""))-1)*LEN(D301)+1, LEN(D301))))
            &amp; "." &amp;
            VALUE(TRIM(RIGHT(SUBSTITUTE(D301,"_",REPT(" ",LEN(D301))),LEN(D301)))),
            "")))</f>
        <v/>
      </c>
      <c r="D301" s="158"/>
      <c r="E301" s="159"/>
      <c r="F301" s="159"/>
      <c r="G301" s="159"/>
      <c r="H301" s="159"/>
      <c r="I301" s="158"/>
      <c r="J301" s="158"/>
      <c r="K301" s="159"/>
      <c r="L301" s="160"/>
      <c r="M301" s="159"/>
      <c r="N301" s="159"/>
      <c r="O301" s="161"/>
      <c r="P301" s="162" t="str">
        <f t="shared" si="143"/>
        <v/>
      </c>
      <c r="Q301" s="163" t="str">
        <f t="shared" si="144"/>
        <v/>
      </c>
      <c r="R301" s="164">
        <f t="shared" si="145"/>
        <v>0</v>
      </c>
      <c r="S301" s="165">
        <f t="shared" si="136"/>
        <v>0</v>
      </c>
      <c r="T301" s="165">
        <f t="shared" si="137"/>
        <v>0</v>
      </c>
      <c r="U301" s="166">
        <f t="shared" si="138"/>
        <v>0</v>
      </c>
      <c r="V301" s="153" t="str">
        <f t="shared" si="146"/>
        <v/>
      </c>
      <c r="W301" s="153" t="str">
        <f t="shared" si="147"/>
        <v/>
      </c>
      <c r="X301" s="244"/>
      <c r="Y301" s="154">
        <f t="shared" si="139"/>
        <v>0</v>
      </c>
      <c r="Z301" s="154" t="str">
        <f t="shared" si="135"/>
        <v>1000</v>
      </c>
      <c r="AA301" s="153" t="str">
        <f t="shared" si="148"/>
        <v/>
      </c>
      <c r="AD301" s="155" t="str">
        <f t="shared" si="140"/>
        <v/>
      </c>
      <c r="AI301" s="155">
        <f t="array" ref="AI301">MATCH(MIN(IF($AK$501:$AK$525&gt;=IF(G301&gt;1499,E301+7,E301+5), $AK$501:$AK$525)), $AK$501:$AK$525, 0)</f>
        <v>5</v>
      </c>
      <c r="AK301" s="233"/>
      <c r="AL301" s="233"/>
      <c r="AM301" s="155" t="str">
        <f t="shared" si="149"/>
        <v/>
      </c>
      <c r="AN301" s="155" t="str">
        <f t="shared" si="150"/>
        <v/>
      </c>
      <c r="AX301" s="155" t="str">
        <f t="shared" si="151"/>
        <v/>
      </c>
    </row>
    <row r="302" spans="1:50" s="155" customFormat="1" ht="30" hidden="1" customHeight="1">
      <c r="A302" s="141" t="str">
        <f t="shared" si="141"/>
        <v/>
      </c>
      <c r="B302" s="141" t="str">
        <f t="shared" si="142"/>
        <v/>
      </c>
      <c r="C302" s="157" t="str">
        <f>IF(D302="","",
    IF(ISERR(SEARCH("_",D302)),
        IFERROR(_xlfn.AGGREGATE(14,6,$C$12:C301,1),0)+1,
        IFERROR(
            VALUE(TRIM(MID(SUBSTITUTE(D302,"_",REPT(" ",LEN(D302))), (LEN(D302)-LEN(SUBSTITUTE(D302,"_",""))-1)*LEN(D302)+1, LEN(D302))))
            &amp; "." &amp;
            VALUE(TRIM(RIGHT(SUBSTITUTE(D302,"_",REPT(" ",LEN(D302))),LEN(D302)))),
            "")))</f>
        <v/>
      </c>
      <c r="D302" s="158"/>
      <c r="E302" s="159"/>
      <c r="F302" s="159"/>
      <c r="G302" s="159"/>
      <c r="H302" s="159"/>
      <c r="I302" s="158"/>
      <c r="J302" s="158"/>
      <c r="K302" s="159"/>
      <c r="L302" s="160"/>
      <c r="M302" s="159"/>
      <c r="N302" s="159"/>
      <c r="O302" s="161"/>
      <c r="P302" s="162" t="str">
        <f t="shared" si="143"/>
        <v/>
      </c>
      <c r="Q302" s="163" t="str">
        <f t="shared" si="144"/>
        <v/>
      </c>
      <c r="R302" s="164">
        <f t="shared" si="145"/>
        <v>0</v>
      </c>
      <c r="S302" s="165">
        <f t="shared" si="136"/>
        <v>0</v>
      </c>
      <c r="T302" s="165">
        <f t="shared" si="137"/>
        <v>0</v>
      </c>
      <c r="U302" s="166">
        <f t="shared" si="138"/>
        <v>0</v>
      </c>
      <c r="V302" s="153" t="str">
        <f t="shared" si="146"/>
        <v/>
      </c>
      <c r="W302" s="153" t="str">
        <f t="shared" si="147"/>
        <v/>
      </c>
      <c r="X302" s="244"/>
      <c r="Y302" s="154">
        <f t="shared" si="139"/>
        <v>0</v>
      </c>
      <c r="Z302" s="154" t="str">
        <f t="shared" si="135"/>
        <v>1000</v>
      </c>
      <c r="AA302" s="153" t="str">
        <f t="shared" si="148"/>
        <v/>
      </c>
      <c r="AD302" s="155" t="str">
        <f t="shared" si="140"/>
        <v/>
      </c>
      <c r="AI302" s="155">
        <f t="array" ref="AI302">MATCH(MIN(IF($AK$501:$AK$525&gt;=IF(G302&gt;1499,E302+7,E302+5), $AK$501:$AK$525)), $AK$501:$AK$525, 0)</f>
        <v>5</v>
      </c>
      <c r="AK302" s="233"/>
      <c r="AL302" s="233"/>
      <c r="AM302" s="155" t="str">
        <f t="shared" si="149"/>
        <v/>
      </c>
      <c r="AN302" s="155" t="str">
        <f t="shared" si="150"/>
        <v/>
      </c>
      <c r="AX302" s="155" t="str">
        <f t="shared" si="151"/>
        <v/>
      </c>
    </row>
    <row r="303" spans="1:50" s="155" customFormat="1" ht="30" hidden="1" customHeight="1">
      <c r="A303" s="141" t="str">
        <f t="shared" si="141"/>
        <v/>
      </c>
      <c r="B303" s="141" t="str">
        <f t="shared" si="142"/>
        <v/>
      </c>
      <c r="C303" s="157" t="str">
        <f>IF(D303="","",
    IF(ISERR(SEARCH("_",D303)),
        IFERROR(_xlfn.AGGREGATE(14,6,$C$12:C302,1),0)+1,
        IFERROR(
            VALUE(TRIM(MID(SUBSTITUTE(D303,"_",REPT(" ",LEN(D303))), (LEN(D303)-LEN(SUBSTITUTE(D303,"_",""))-1)*LEN(D303)+1, LEN(D303))))
            &amp; "." &amp;
            VALUE(TRIM(RIGHT(SUBSTITUTE(D303,"_",REPT(" ",LEN(D303))),LEN(D303)))),
            "")))</f>
        <v/>
      </c>
      <c r="D303" s="158"/>
      <c r="E303" s="159"/>
      <c r="F303" s="159"/>
      <c r="G303" s="159"/>
      <c r="H303" s="159"/>
      <c r="I303" s="158"/>
      <c r="J303" s="158"/>
      <c r="K303" s="159"/>
      <c r="L303" s="160"/>
      <c r="M303" s="159"/>
      <c r="N303" s="159"/>
      <c r="O303" s="161"/>
      <c r="P303" s="162" t="str">
        <f t="shared" si="143"/>
        <v/>
      </c>
      <c r="Q303" s="163" t="str">
        <f t="shared" si="144"/>
        <v/>
      </c>
      <c r="R303" s="164">
        <f t="shared" si="145"/>
        <v>0</v>
      </c>
      <c r="S303" s="165">
        <f t="shared" si="136"/>
        <v>0</v>
      </c>
      <c r="T303" s="165">
        <f t="shared" si="137"/>
        <v>0</v>
      </c>
      <c r="U303" s="166">
        <f t="shared" si="138"/>
        <v>0</v>
      </c>
      <c r="V303" s="153" t="str">
        <f t="shared" si="146"/>
        <v/>
      </c>
      <c r="W303" s="153" t="str">
        <f t="shared" si="147"/>
        <v/>
      </c>
      <c r="X303" s="244"/>
      <c r="Y303" s="154">
        <f t="shared" si="139"/>
        <v>0</v>
      </c>
      <c r="Z303" s="154" t="str">
        <f t="shared" si="135"/>
        <v>1000</v>
      </c>
      <c r="AA303" s="153" t="str">
        <f t="shared" si="148"/>
        <v/>
      </c>
      <c r="AD303" s="155" t="str">
        <f t="shared" si="140"/>
        <v/>
      </c>
      <c r="AI303" s="155">
        <f t="array" ref="AI303">MATCH(MIN(IF($AK$501:$AK$525&gt;=IF(G303&gt;1499,E303+7,E303+5), $AK$501:$AK$525)), $AK$501:$AK$525, 0)</f>
        <v>5</v>
      </c>
      <c r="AK303" s="233"/>
      <c r="AL303" s="233"/>
      <c r="AM303" s="155" t="str">
        <f t="shared" si="149"/>
        <v/>
      </c>
      <c r="AN303" s="155" t="str">
        <f t="shared" si="150"/>
        <v/>
      </c>
      <c r="AX303" s="155" t="str">
        <f t="shared" si="151"/>
        <v/>
      </c>
    </row>
    <row r="304" spans="1:50" s="155" customFormat="1" ht="30" hidden="1" customHeight="1">
      <c r="A304" s="141" t="str">
        <f t="shared" si="141"/>
        <v/>
      </c>
      <c r="B304" s="141" t="str">
        <f t="shared" si="142"/>
        <v/>
      </c>
      <c r="C304" s="157" t="str">
        <f>IF(D304="","",
    IF(ISERR(SEARCH("_",D304)),
        IFERROR(_xlfn.AGGREGATE(14,6,$C$12:C303,1),0)+1,
        IFERROR(
            VALUE(TRIM(MID(SUBSTITUTE(D304,"_",REPT(" ",LEN(D304))), (LEN(D304)-LEN(SUBSTITUTE(D304,"_",""))-1)*LEN(D304)+1, LEN(D304))))
            &amp; "." &amp;
            VALUE(TRIM(RIGHT(SUBSTITUTE(D304,"_",REPT(" ",LEN(D304))),LEN(D304)))),
            "")))</f>
        <v/>
      </c>
      <c r="D304" s="158"/>
      <c r="E304" s="159"/>
      <c r="F304" s="159"/>
      <c r="G304" s="159"/>
      <c r="H304" s="159"/>
      <c r="I304" s="158"/>
      <c r="J304" s="158"/>
      <c r="K304" s="159"/>
      <c r="L304" s="160"/>
      <c r="M304" s="159"/>
      <c r="N304" s="159"/>
      <c r="O304" s="161"/>
      <c r="P304" s="162" t="str">
        <f t="shared" si="143"/>
        <v/>
      </c>
      <c r="Q304" s="163" t="str">
        <f t="shared" si="144"/>
        <v/>
      </c>
      <c r="R304" s="164">
        <f t="shared" si="145"/>
        <v>0</v>
      </c>
      <c r="S304" s="165">
        <f t="shared" si="136"/>
        <v>0</v>
      </c>
      <c r="T304" s="165">
        <f t="shared" si="137"/>
        <v>0</v>
      </c>
      <c r="U304" s="166">
        <f t="shared" si="138"/>
        <v>0</v>
      </c>
      <c r="V304" s="153" t="str">
        <f t="shared" si="146"/>
        <v/>
      </c>
      <c r="W304" s="153" t="str">
        <f t="shared" si="147"/>
        <v/>
      </c>
      <c r="X304" s="244"/>
      <c r="Y304" s="154">
        <f t="shared" si="139"/>
        <v>0</v>
      </c>
      <c r="Z304" s="154" t="str">
        <f t="shared" si="135"/>
        <v>1000</v>
      </c>
      <c r="AA304" s="153" t="str">
        <f t="shared" si="148"/>
        <v/>
      </c>
      <c r="AD304" s="155" t="str">
        <f t="shared" si="140"/>
        <v/>
      </c>
      <c r="AI304" s="155">
        <f t="array" ref="AI304">MATCH(MIN(IF($AK$501:$AK$525&gt;=IF(G304&gt;1499,E304+7,E304+5), $AK$501:$AK$525)), $AK$501:$AK$525, 0)</f>
        <v>5</v>
      </c>
      <c r="AK304" s="233"/>
      <c r="AL304" s="233"/>
      <c r="AM304" s="155" t="str">
        <f t="shared" si="149"/>
        <v/>
      </c>
      <c r="AN304" s="155" t="str">
        <f t="shared" si="150"/>
        <v/>
      </c>
      <c r="AX304" s="155" t="str">
        <f t="shared" si="151"/>
        <v/>
      </c>
    </row>
    <row r="305" spans="1:50" s="155" customFormat="1" ht="30" hidden="1" customHeight="1">
      <c r="A305" s="141" t="str">
        <f t="shared" si="141"/>
        <v/>
      </c>
      <c r="B305" s="141" t="str">
        <f t="shared" si="142"/>
        <v/>
      </c>
      <c r="C305" s="157" t="str">
        <f>IF(D305="","",
    IF(ISERR(SEARCH("_",D305)),
        IFERROR(_xlfn.AGGREGATE(14,6,$C$12:C304,1),0)+1,
        IFERROR(
            VALUE(TRIM(MID(SUBSTITUTE(D305,"_",REPT(" ",LEN(D305))), (LEN(D305)-LEN(SUBSTITUTE(D305,"_",""))-1)*LEN(D305)+1, LEN(D305))))
            &amp; "." &amp;
            VALUE(TRIM(RIGHT(SUBSTITUTE(D305,"_",REPT(" ",LEN(D305))),LEN(D305)))),
            "")))</f>
        <v/>
      </c>
      <c r="D305" s="158"/>
      <c r="E305" s="159"/>
      <c r="F305" s="159"/>
      <c r="G305" s="159"/>
      <c r="H305" s="159"/>
      <c r="I305" s="158"/>
      <c r="J305" s="158"/>
      <c r="K305" s="159"/>
      <c r="L305" s="160"/>
      <c r="M305" s="159"/>
      <c r="N305" s="159"/>
      <c r="O305" s="161"/>
      <c r="P305" s="162" t="str">
        <f t="shared" si="143"/>
        <v/>
      </c>
      <c r="Q305" s="163" t="str">
        <f t="shared" si="144"/>
        <v/>
      </c>
      <c r="R305" s="164">
        <f t="shared" si="145"/>
        <v>0</v>
      </c>
      <c r="S305" s="165">
        <f t="shared" si="136"/>
        <v>0</v>
      </c>
      <c r="T305" s="165">
        <f t="shared" si="137"/>
        <v>0</v>
      </c>
      <c r="U305" s="166">
        <f t="shared" si="138"/>
        <v>0</v>
      </c>
      <c r="V305" s="153" t="str">
        <f t="shared" si="146"/>
        <v/>
      </c>
      <c r="W305" s="153" t="str">
        <f t="shared" si="147"/>
        <v/>
      </c>
      <c r="X305" s="244"/>
      <c r="Y305" s="154">
        <f t="shared" si="139"/>
        <v>0</v>
      </c>
      <c r="Z305" s="154" t="str">
        <f t="shared" si="135"/>
        <v>1000</v>
      </c>
      <c r="AA305" s="153" t="str">
        <f t="shared" si="148"/>
        <v/>
      </c>
      <c r="AD305" s="155" t="str">
        <f t="shared" si="140"/>
        <v/>
      </c>
      <c r="AI305" s="155">
        <f t="array" ref="AI305">MATCH(MIN(IF($AK$501:$AK$525&gt;=IF(G305&gt;1499,E305+7,E305+5), $AK$501:$AK$525)), $AK$501:$AK$525, 0)</f>
        <v>5</v>
      </c>
      <c r="AK305" s="233"/>
      <c r="AL305" s="233"/>
      <c r="AM305" s="155" t="str">
        <f t="shared" si="149"/>
        <v/>
      </c>
      <c r="AN305" s="155" t="str">
        <f t="shared" si="150"/>
        <v/>
      </c>
      <c r="AX305" s="155" t="str">
        <f t="shared" si="151"/>
        <v/>
      </c>
    </row>
    <row r="306" spans="1:50" s="155" customFormat="1" ht="30" hidden="1" customHeight="1">
      <c r="A306" s="141" t="str">
        <f t="shared" si="141"/>
        <v/>
      </c>
      <c r="B306" s="141" t="str">
        <f t="shared" si="142"/>
        <v/>
      </c>
      <c r="C306" s="157" t="str">
        <f>IF(D306="","",
    IF(ISERR(SEARCH("_",D306)),
        IFERROR(_xlfn.AGGREGATE(14,6,$C$12:C305,1),0)+1,
        IFERROR(
            VALUE(TRIM(MID(SUBSTITUTE(D306,"_",REPT(" ",LEN(D306))), (LEN(D306)-LEN(SUBSTITUTE(D306,"_",""))-1)*LEN(D306)+1, LEN(D306))))
            &amp; "." &amp;
            VALUE(TRIM(RIGHT(SUBSTITUTE(D306,"_",REPT(" ",LEN(D306))),LEN(D306)))),
            "")))</f>
        <v/>
      </c>
      <c r="D306" s="158"/>
      <c r="E306" s="159"/>
      <c r="F306" s="159"/>
      <c r="G306" s="159"/>
      <c r="H306" s="159"/>
      <c r="I306" s="158"/>
      <c r="J306" s="158"/>
      <c r="K306" s="159"/>
      <c r="L306" s="160"/>
      <c r="M306" s="159"/>
      <c r="N306" s="159"/>
      <c r="O306" s="161"/>
      <c r="P306" s="162" t="str">
        <f t="shared" si="143"/>
        <v/>
      </c>
      <c r="Q306" s="163" t="str">
        <f t="shared" si="144"/>
        <v/>
      </c>
      <c r="R306" s="164">
        <f t="shared" si="145"/>
        <v>0</v>
      </c>
      <c r="S306" s="165">
        <f t="shared" si="136"/>
        <v>0</v>
      </c>
      <c r="T306" s="165">
        <f t="shared" si="137"/>
        <v>0</v>
      </c>
      <c r="U306" s="166">
        <f t="shared" si="138"/>
        <v>0</v>
      </c>
      <c r="V306" s="153" t="str">
        <f t="shared" si="146"/>
        <v/>
      </c>
      <c r="W306" s="153" t="str">
        <f t="shared" si="147"/>
        <v/>
      </c>
      <c r="X306" s="244"/>
      <c r="Y306" s="154">
        <f t="shared" si="139"/>
        <v>0</v>
      </c>
      <c r="Z306" s="154" t="str">
        <f t="shared" si="135"/>
        <v>1000</v>
      </c>
      <c r="AA306" s="153" t="str">
        <f t="shared" si="148"/>
        <v/>
      </c>
      <c r="AD306" s="155" t="str">
        <f t="shared" si="140"/>
        <v/>
      </c>
      <c r="AI306" s="155">
        <f t="array" ref="AI306">MATCH(MIN(IF($AK$501:$AK$525&gt;=IF(G306&gt;1499,E306+7,E306+5), $AK$501:$AK$525)), $AK$501:$AK$525, 0)</f>
        <v>5</v>
      </c>
      <c r="AK306" s="233"/>
      <c r="AL306" s="233"/>
      <c r="AM306" s="155" t="str">
        <f t="shared" si="149"/>
        <v/>
      </c>
      <c r="AN306" s="155" t="str">
        <f t="shared" si="150"/>
        <v/>
      </c>
      <c r="AX306" s="155" t="str">
        <f t="shared" si="151"/>
        <v/>
      </c>
    </row>
    <row r="307" spans="1:50" s="155" customFormat="1" ht="30" hidden="1" customHeight="1">
      <c r="A307" s="141" t="str">
        <f t="shared" si="141"/>
        <v/>
      </c>
      <c r="B307" s="141" t="str">
        <f t="shared" si="142"/>
        <v/>
      </c>
      <c r="C307" s="157" t="str">
        <f>IF(D307="","",
    IF(ISERR(SEARCH("_",D307)),
        IFERROR(_xlfn.AGGREGATE(14,6,$C$12:C306,1),0)+1,
        IFERROR(
            VALUE(TRIM(MID(SUBSTITUTE(D307,"_",REPT(" ",LEN(D307))), (LEN(D307)-LEN(SUBSTITUTE(D307,"_",""))-1)*LEN(D307)+1, LEN(D307))))
            &amp; "." &amp;
            VALUE(TRIM(RIGHT(SUBSTITUTE(D307,"_",REPT(" ",LEN(D307))),LEN(D307)))),
            "")))</f>
        <v/>
      </c>
      <c r="D307" s="158"/>
      <c r="E307" s="159"/>
      <c r="F307" s="159"/>
      <c r="G307" s="159"/>
      <c r="H307" s="159"/>
      <c r="I307" s="158"/>
      <c r="J307" s="158"/>
      <c r="K307" s="159"/>
      <c r="L307" s="160"/>
      <c r="M307" s="159"/>
      <c r="N307" s="159"/>
      <c r="O307" s="161"/>
      <c r="P307" s="162" t="str">
        <f t="shared" si="143"/>
        <v/>
      </c>
      <c r="Q307" s="163" t="str">
        <f t="shared" si="144"/>
        <v/>
      </c>
      <c r="R307" s="164">
        <f t="shared" si="145"/>
        <v>0</v>
      </c>
      <c r="S307" s="165">
        <f t="shared" si="136"/>
        <v>0</v>
      </c>
      <c r="T307" s="165">
        <f t="shared" si="137"/>
        <v>0</v>
      </c>
      <c r="U307" s="166">
        <f t="shared" si="138"/>
        <v>0</v>
      </c>
      <c r="V307" s="153" t="str">
        <f t="shared" si="146"/>
        <v/>
      </c>
      <c r="W307" s="153" t="str">
        <f t="shared" si="147"/>
        <v/>
      </c>
      <c r="X307" s="244"/>
      <c r="Y307" s="154">
        <f t="shared" si="139"/>
        <v>0</v>
      </c>
      <c r="Z307" s="154" t="str">
        <f t="shared" si="135"/>
        <v>1000</v>
      </c>
      <c r="AA307" s="153" t="str">
        <f t="shared" si="148"/>
        <v/>
      </c>
      <c r="AD307" s="155" t="str">
        <f t="shared" si="140"/>
        <v/>
      </c>
      <c r="AI307" s="155">
        <f t="array" ref="AI307">MATCH(MIN(IF($AK$501:$AK$525&gt;=IF(G307&gt;1499,E307+7,E307+5), $AK$501:$AK$525)), $AK$501:$AK$525, 0)</f>
        <v>5</v>
      </c>
      <c r="AK307" s="233"/>
      <c r="AL307" s="233"/>
      <c r="AM307" s="155" t="str">
        <f t="shared" si="149"/>
        <v/>
      </c>
      <c r="AN307" s="155" t="str">
        <f t="shared" si="150"/>
        <v/>
      </c>
      <c r="AX307" s="155" t="str">
        <f t="shared" si="151"/>
        <v/>
      </c>
    </row>
    <row r="308" spans="1:50" s="155" customFormat="1" ht="30" hidden="1" customHeight="1">
      <c r="A308" s="141" t="str">
        <f t="shared" si="141"/>
        <v/>
      </c>
      <c r="B308" s="141" t="str">
        <f t="shared" si="142"/>
        <v/>
      </c>
      <c r="C308" s="157" t="str">
        <f>IF(D308="","",
    IF(ISERR(SEARCH("_",D308)),
        IFERROR(_xlfn.AGGREGATE(14,6,$C$12:C307,1),0)+1,
        IFERROR(
            VALUE(TRIM(MID(SUBSTITUTE(D308,"_",REPT(" ",LEN(D308))), (LEN(D308)-LEN(SUBSTITUTE(D308,"_",""))-1)*LEN(D308)+1, LEN(D308))))
            &amp; "." &amp;
            VALUE(TRIM(RIGHT(SUBSTITUTE(D308,"_",REPT(" ",LEN(D308))),LEN(D308)))),
            "")))</f>
        <v/>
      </c>
      <c r="D308" s="158"/>
      <c r="E308" s="159"/>
      <c r="F308" s="159"/>
      <c r="G308" s="159"/>
      <c r="H308" s="159"/>
      <c r="I308" s="158"/>
      <c r="J308" s="158"/>
      <c r="K308" s="159"/>
      <c r="L308" s="160"/>
      <c r="M308" s="159"/>
      <c r="N308" s="159"/>
      <c r="O308" s="161"/>
      <c r="P308" s="162" t="str">
        <f t="shared" si="143"/>
        <v/>
      </c>
      <c r="Q308" s="163" t="str">
        <f t="shared" si="144"/>
        <v/>
      </c>
      <c r="R308" s="164">
        <f t="shared" si="145"/>
        <v>0</v>
      </c>
      <c r="S308" s="165">
        <f t="shared" si="136"/>
        <v>0</v>
      </c>
      <c r="T308" s="165">
        <f t="shared" si="137"/>
        <v>0</v>
      </c>
      <c r="U308" s="166">
        <f t="shared" si="138"/>
        <v>0</v>
      </c>
      <c r="V308" s="153" t="str">
        <f t="shared" si="146"/>
        <v/>
      </c>
      <c r="W308" s="153" t="str">
        <f t="shared" si="147"/>
        <v/>
      </c>
      <c r="X308" s="244"/>
      <c r="Y308" s="154">
        <f t="shared" si="139"/>
        <v>0</v>
      </c>
      <c r="Z308" s="154" t="str">
        <f t="shared" si="135"/>
        <v>1000</v>
      </c>
      <c r="AA308" s="153" t="str">
        <f t="shared" si="148"/>
        <v/>
      </c>
      <c r="AD308" s="155" t="str">
        <f t="shared" si="140"/>
        <v/>
      </c>
      <c r="AI308" s="155">
        <f t="array" ref="AI308">MATCH(MIN(IF($AK$501:$AK$525&gt;=IF(G308&gt;1499,E308+7,E308+5), $AK$501:$AK$525)), $AK$501:$AK$525, 0)</f>
        <v>5</v>
      </c>
      <c r="AK308" s="233"/>
      <c r="AL308" s="233"/>
      <c r="AM308" s="155" t="str">
        <f t="shared" si="149"/>
        <v/>
      </c>
      <c r="AN308" s="155" t="str">
        <f t="shared" si="150"/>
        <v/>
      </c>
      <c r="AX308" s="155" t="str">
        <f t="shared" si="151"/>
        <v/>
      </c>
    </row>
    <row r="309" spans="1:50" s="155" customFormat="1" ht="30" hidden="1" customHeight="1">
      <c r="A309" s="141" t="str">
        <f t="shared" si="141"/>
        <v/>
      </c>
      <c r="B309" s="141" t="str">
        <f t="shared" si="142"/>
        <v/>
      </c>
      <c r="C309" s="157" t="str">
        <f>IF(D309="","",
    IF(ISERR(SEARCH("_",D309)),
        IFERROR(_xlfn.AGGREGATE(14,6,$C$12:C308,1),0)+1,
        IFERROR(
            VALUE(TRIM(MID(SUBSTITUTE(D309,"_",REPT(" ",LEN(D309))), (LEN(D309)-LEN(SUBSTITUTE(D309,"_",""))-1)*LEN(D309)+1, LEN(D309))))
            &amp; "." &amp;
            VALUE(TRIM(RIGHT(SUBSTITUTE(D309,"_",REPT(" ",LEN(D309))),LEN(D309)))),
            "")))</f>
        <v/>
      </c>
      <c r="D309" s="158"/>
      <c r="E309" s="159"/>
      <c r="F309" s="159"/>
      <c r="G309" s="159"/>
      <c r="H309" s="159"/>
      <c r="I309" s="158"/>
      <c r="J309" s="158"/>
      <c r="K309" s="159"/>
      <c r="L309" s="160"/>
      <c r="M309" s="159"/>
      <c r="N309" s="159"/>
      <c r="O309" s="161"/>
      <c r="P309" s="162" t="str">
        <f t="shared" si="143"/>
        <v/>
      </c>
      <c r="Q309" s="163" t="str">
        <f t="shared" si="144"/>
        <v/>
      </c>
      <c r="R309" s="164">
        <f t="shared" si="145"/>
        <v>0</v>
      </c>
      <c r="S309" s="165">
        <f t="shared" si="136"/>
        <v>0</v>
      </c>
      <c r="T309" s="165">
        <f t="shared" si="137"/>
        <v>0</v>
      </c>
      <c r="U309" s="166">
        <f t="shared" si="138"/>
        <v>0</v>
      </c>
      <c r="V309" s="153" t="str">
        <f t="shared" si="146"/>
        <v/>
      </c>
      <c r="W309" s="153" t="str">
        <f t="shared" si="147"/>
        <v/>
      </c>
      <c r="X309" s="244"/>
      <c r="Y309" s="154">
        <f t="shared" si="139"/>
        <v>0</v>
      </c>
      <c r="Z309" s="154" t="str">
        <f t="shared" si="135"/>
        <v>1000</v>
      </c>
      <c r="AA309" s="153" t="str">
        <f t="shared" si="148"/>
        <v/>
      </c>
      <c r="AD309" s="155" t="str">
        <f t="shared" si="140"/>
        <v/>
      </c>
      <c r="AI309" s="155">
        <f t="array" ref="AI309">MATCH(MIN(IF($AK$501:$AK$525&gt;=IF(G309&gt;1499,E309+7,E309+5), $AK$501:$AK$525)), $AK$501:$AK$525, 0)</f>
        <v>5</v>
      </c>
      <c r="AK309" s="233"/>
      <c r="AL309" s="233"/>
      <c r="AM309" s="155" t="str">
        <f t="shared" si="149"/>
        <v/>
      </c>
      <c r="AN309" s="155" t="str">
        <f t="shared" si="150"/>
        <v/>
      </c>
      <c r="AX309" s="155" t="str">
        <f t="shared" si="151"/>
        <v/>
      </c>
    </row>
    <row r="310" spans="1:50" s="155" customFormat="1" ht="30" hidden="1" customHeight="1">
      <c r="A310" s="141" t="str">
        <f t="shared" si="141"/>
        <v/>
      </c>
      <c r="B310" s="141" t="str">
        <f t="shared" si="142"/>
        <v/>
      </c>
      <c r="C310" s="157" t="str">
        <f>IF(D310="","",
    IF(ISERR(SEARCH("_",D310)),
        IFERROR(_xlfn.AGGREGATE(14,6,$C$12:C309,1),0)+1,
        IFERROR(
            VALUE(TRIM(MID(SUBSTITUTE(D310,"_",REPT(" ",LEN(D310))), (LEN(D310)-LEN(SUBSTITUTE(D310,"_",""))-1)*LEN(D310)+1, LEN(D310))))
            &amp; "." &amp;
            VALUE(TRIM(RIGHT(SUBSTITUTE(D310,"_",REPT(" ",LEN(D310))),LEN(D310)))),
            "")))</f>
        <v/>
      </c>
      <c r="D310" s="158"/>
      <c r="E310" s="159"/>
      <c r="F310" s="159"/>
      <c r="G310" s="159"/>
      <c r="H310" s="159"/>
      <c r="I310" s="158"/>
      <c r="J310" s="158"/>
      <c r="K310" s="159"/>
      <c r="L310" s="160"/>
      <c r="M310" s="159"/>
      <c r="N310" s="159"/>
      <c r="O310" s="161"/>
      <c r="P310" s="162" t="str">
        <f t="shared" si="143"/>
        <v/>
      </c>
      <c r="Q310" s="163" t="str">
        <f t="shared" si="144"/>
        <v/>
      </c>
      <c r="R310" s="164">
        <f t="shared" si="145"/>
        <v>0</v>
      </c>
      <c r="S310" s="165">
        <f t="shared" si="136"/>
        <v>0</v>
      </c>
      <c r="T310" s="165">
        <f t="shared" si="137"/>
        <v>0</v>
      </c>
      <c r="U310" s="166">
        <f t="shared" si="138"/>
        <v>0</v>
      </c>
      <c r="V310" s="153" t="str">
        <f t="shared" si="146"/>
        <v/>
      </c>
      <c r="W310" s="153" t="str">
        <f t="shared" si="147"/>
        <v/>
      </c>
      <c r="X310" s="244"/>
      <c r="Y310" s="154">
        <f t="shared" si="139"/>
        <v>0</v>
      </c>
      <c r="Z310" s="154" t="str">
        <f t="shared" si="135"/>
        <v>1000</v>
      </c>
      <c r="AA310" s="153" t="str">
        <f t="shared" si="148"/>
        <v/>
      </c>
      <c r="AD310" s="155" t="str">
        <f t="shared" si="140"/>
        <v/>
      </c>
      <c r="AI310" s="155">
        <f t="array" ref="AI310">MATCH(MIN(IF($AK$501:$AK$525&gt;=IF(G310&gt;1499,E310+7,E310+5), $AK$501:$AK$525)), $AK$501:$AK$525, 0)</f>
        <v>5</v>
      </c>
      <c r="AK310" s="233"/>
      <c r="AL310" s="233"/>
      <c r="AM310" s="155" t="str">
        <f t="shared" si="149"/>
        <v/>
      </c>
      <c r="AN310" s="155" t="str">
        <f t="shared" si="150"/>
        <v/>
      </c>
      <c r="AX310" s="155" t="str">
        <f t="shared" si="151"/>
        <v/>
      </c>
    </row>
    <row r="311" spans="1:50" s="155" customFormat="1" ht="30" hidden="1" customHeight="1">
      <c r="A311" s="141" t="str">
        <f t="shared" si="141"/>
        <v/>
      </c>
      <c r="B311" s="141" t="str">
        <f t="shared" si="142"/>
        <v/>
      </c>
      <c r="C311" s="157" t="str">
        <f>IF(D311="","",
    IF(ISERR(SEARCH("_",D311)),
        IFERROR(_xlfn.AGGREGATE(14,6,$C$12:C310,1),0)+1,
        IFERROR(
            VALUE(TRIM(MID(SUBSTITUTE(D311,"_",REPT(" ",LEN(D311))), (LEN(D311)-LEN(SUBSTITUTE(D311,"_",""))-1)*LEN(D311)+1, LEN(D311))))
            &amp; "." &amp;
            VALUE(TRIM(RIGHT(SUBSTITUTE(D311,"_",REPT(" ",LEN(D311))),LEN(D311)))),
            "")))</f>
        <v/>
      </c>
      <c r="D311" s="158"/>
      <c r="E311" s="159"/>
      <c r="F311" s="159"/>
      <c r="G311" s="159"/>
      <c r="H311" s="159"/>
      <c r="I311" s="158"/>
      <c r="J311" s="158"/>
      <c r="K311" s="159"/>
      <c r="L311" s="160"/>
      <c r="M311" s="159"/>
      <c r="N311" s="159"/>
      <c r="O311" s="161"/>
      <c r="P311" s="162" t="str">
        <f t="shared" si="143"/>
        <v/>
      </c>
      <c r="Q311" s="163" t="str">
        <f t="shared" si="144"/>
        <v/>
      </c>
      <c r="R311" s="164">
        <f t="shared" si="145"/>
        <v>0</v>
      </c>
      <c r="S311" s="165">
        <f t="shared" si="136"/>
        <v>0</v>
      </c>
      <c r="T311" s="165">
        <f t="shared" si="137"/>
        <v>0</v>
      </c>
      <c r="U311" s="166">
        <f t="shared" si="138"/>
        <v>0</v>
      </c>
      <c r="V311" s="153" t="str">
        <f t="shared" si="146"/>
        <v/>
      </c>
      <c r="W311" s="153" t="str">
        <f t="shared" si="147"/>
        <v/>
      </c>
      <c r="X311" s="244"/>
      <c r="Y311" s="154">
        <f t="shared" si="139"/>
        <v>0</v>
      </c>
      <c r="Z311" s="154" t="str">
        <f t="shared" si="135"/>
        <v>1000</v>
      </c>
      <c r="AA311" s="153" t="str">
        <f t="shared" si="148"/>
        <v/>
      </c>
      <c r="AD311" s="155" t="str">
        <f t="shared" si="140"/>
        <v/>
      </c>
      <c r="AI311" s="155">
        <f t="array" ref="AI311">MATCH(MIN(IF($AK$501:$AK$525&gt;=IF(G311&gt;1499,E311+7,E311+5), $AK$501:$AK$525)), $AK$501:$AK$525, 0)</f>
        <v>5</v>
      </c>
      <c r="AK311" s="233"/>
      <c r="AL311" s="233"/>
      <c r="AM311" s="155" t="str">
        <f t="shared" si="149"/>
        <v/>
      </c>
      <c r="AN311" s="155" t="str">
        <f t="shared" si="150"/>
        <v/>
      </c>
      <c r="AX311" s="155" t="str">
        <f t="shared" si="151"/>
        <v/>
      </c>
    </row>
    <row r="312" spans="1:50" s="155" customFormat="1" ht="30" hidden="1" customHeight="1">
      <c r="A312" s="141" t="str">
        <f t="shared" si="141"/>
        <v/>
      </c>
      <c r="B312" s="141" t="str">
        <f t="shared" si="142"/>
        <v/>
      </c>
      <c r="C312" s="157" t="str">
        <f>IF(D312="","",
    IF(ISERR(SEARCH("_",D312)),
        IFERROR(_xlfn.AGGREGATE(14,6,$C$12:C311,1),0)+1,
        IFERROR(
            VALUE(TRIM(MID(SUBSTITUTE(D312,"_",REPT(" ",LEN(D312))), (LEN(D312)-LEN(SUBSTITUTE(D312,"_",""))-1)*LEN(D312)+1, LEN(D312))))
            &amp; "." &amp;
            VALUE(TRIM(RIGHT(SUBSTITUTE(D312,"_",REPT(" ",LEN(D312))),LEN(D312)))),
            "")))</f>
        <v/>
      </c>
      <c r="D312" s="158"/>
      <c r="E312" s="159"/>
      <c r="F312" s="159"/>
      <c r="G312" s="159"/>
      <c r="H312" s="159"/>
      <c r="I312" s="158"/>
      <c r="J312" s="158"/>
      <c r="K312" s="159"/>
      <c r="L312" s="160"/>
      <c r="M312" s="159"/>
      <c r="N312" s="159"/>
      <c r="O312" s="161"/>
      <c r="P312" s="162" t="str">
        <f t="shared" si="143"/>
        <v/>
      </c>
      <c r="Q312" s="163" t="str">
        <f t="shared" si="144"/>
        <v/>
      </c>
      <c r="R312" s="164">
        <f t="shared" si="145"/>
        <v>0</v>
      </c>
      <c r="S312" s="165">
        <f t="shared" si="136"/>
        <v>0</v>
      </c>
      <c r="T312" s="165">
        <f t="shared" si="137"/>
        <v>0</v>
      </c>
      <c r="U312" s="166">
        <f t="shared" si="138"/>
        <v>0</v>
      </c>
      <c r="V312" s="153" t="str">
        <f t="shared" si="146"/>
        <v/>
      </c>
      <c r="W312" s="153" t="str">
        <f t="shared" si="147"/>
        <v/>
      </c>
      <c r="X312" s="244"/>
      <c r="Y312" s="154">
        <f t="shared" si="139"/>
        <v>0</v>
      </c>
      <c r="Z312" s="154" t="str">
        <f t="shared" si="135"/>
        <v>1000</v>
      </c>
      <c r="AA312" s="153" t="str">
        <f t="shared" si="148"/>
        <v/>
      </c>
      <c r="AD312" s="155" t="str">
        <f t="shared" si="140"/>
        <v/>
      </c>
      <c r="AI312" s="155">
        <f t="array" ref="AI312">MATCH(MIN(IF($AK$501:$AK$525&gt;=IF(G312&gt;1499,E312+7,E312+5), $AK$501:$AK$525)), $AK$501:$AK$525, 0)</f>
        <v>5</v>
      </c>
      <c r="AK312" s="233"/>
      <c r="AL312" s="233"/>
      <c r="AM312" s="155" t="str">
        <f t="shared" si="149"/>
        <v/>
      </c>
      <c r="AN312" s="155" t="str">
        <f t="shared" si="150"/>
        <v/>
      </c>
      <c r="AX312" s="155" t="str">
        <f t="shared" si="151"/>
        <v/>
      </c>
    </row>
    <row r="313" spans="1:50" s="155" customFormat="1" ht="30" hidden="1" customHeight="1">
      <c r="A313" s="141" t="str">
        <f t="shared" si="141"/>
        <v/>
      </c>
      <c r="B313" s="141" t="str">
        <f t="shared" si="142"/>
        <v/>
      </c>
      <c r="C313" s="157" t="str">
        <f>IF(D313="","",
    IF(ISERR(SEARCH("_",D313)),
        IFERROR(_xlfn.AGGREGATE(14,6,$C$12:C312,1),0)+1,
        IFERROR(
            VALUE(TRIM(MID(SUBSTITUTE(D313,"_",REPT(" ",LEN(D313))), (LEN(D313)-LEN(SUBSTITUTE(D313,"_",""))-1)*LEN(D313)+1, LEN(D313))))
            &amp; "." &amp;
            VALUE(TRIM(RIGHT(SUBSTITUTE(D313,"_",REPT(" ",LEN(D313))),LEN(D313)))),
            "")))</f>
        <v/>
      </c>
      <c r="D313" s="158"/>
      <c r="E313" s="159"/>
      <c r="F313" s="159"/>
      <c r="G313" s="159"/>
      <c r="H313" s="159"/>
      <c r="I313" s="158"/>
      <c r="J313" s="158"/>
      <c r="K313" s="159"/>
      <c r="L313" s="160"/>
      <c r="M313" s="159"/>
      <c r="N313" s="159"/>
      <c r="O313" s="161"/>
      <c r="P313" s="162" t="str">
        <f t="shared" si="143"/>
        <v/>
      </c>
      <c r="Q313" s="163" t="str">
        <f t="shared" si="144"/>
        <v/>
      </c>
      <c r="R313" s="164">
        <f t="shared" si="145"/>
        <v>0</v>
      </c>
      <c r="S313" s="165">
        <f t="shared" si="136"/>
        <v>0</v>
      </c>
      <c r="T313" s="165">
        <f t="shared" si="137"/>
        <v>0</v>
      </c>
      <c r="U313" s="166">
        <f t="shared" si="138"/>
        <v>0</v>
      </c>
      <c r="V313" s="153" t="str">
        <f t="shared" si="146"/>
        <v/>
      </c>
      <c r="W313" s="153" t="str">
        <f t="shared" si="147"/>
        <v/>
      </c>
      <c r="X313" s="244"/>
      <c r="Y313" s="154">
        <f t="shared" si="139"/>
        <v>0</v>
      </c>
      <c r="Z313" s="154" t="str">
        <f t="shared" si="135"/>
        <v>1000</v>
      </c>
      <c r="AA313" s="153" t="str">
        <f t="shared" si="148"/>
        <v/>
      </c>
      <c r="AD313" s="155" t="str">
        <f t="shared" si="140"/>
        <v/>
      </c>
      <c r="AI313" s="155">
        <f t="array" ref="AI313">MATCH(MIN(IF($AK$501:$AK$525&gt;=IF(G313&gt;1499,E313+7,E313+5), $AK$501:$AK$525)), $AK$501:$AK$525, 0)</f>
        <v>5</v>
      </c>
      <c r="AK313" s="233"/>
      <c r="AL313" s="233"/>
      <c r="AM313" s="155" t="str">
        <f t="shared" si="149"/>
        <v/>
      </c>
      <c r="AN313" s="155" t="str">
        <f t="shared" si="150"/>
        <v/>
      </c>
      <c r="AX313" s="155" t="str">
        <f t="shared" si="151"/>
        <v/>
      </c>
    </row>
    <row r="314" spans="1:50" s="155" customFormat="1" ht="30" hidden="1" customHeight="1">
      <c r="A314" s="141" t="str">
        <f t="shared" si="141"/>
        <v/>
      </c>
      <c r="B314" s="141" t="str">
        <f t="shared" si="142"/>
        <v/>
      </c>
      <c r="C314" s="157" t="str">
        <f>IF(D314="","",
    IF(ISERR(SEARCH("_",D314)),
        IFERROR(_xlfn.AGGREGATE(14,6,$C$12:C313,1),0)+1,
        IFERROR(
            VALUE(TRIM(MID(SUBSTITUTE(D314,"_",REPT(" ",LEN(D314))), (LEN(D314)-LEN(SUBSTITUTE(D314,"_",""))-1)*LEN(D314)+1, LEN(D314))))
            &amp; "." &amp;
            VALUE(TRIM(RIGHT(SUBSTITUTE(D314,"_",REPT(" ",LEN(D314))),LEN(D314)))),
            "")))</f>
        <v/>
      </c>
      <c r="D314" s="158"/>
      <c r="E314" s="159"/>
      <c r="F314" s="159"/>
      <c r="G314" s="159"/>
      <c r="H314" s="159"/>
      <c r="I314" s="158"/>
      <c r="J314" s="158"/>
      <c r="K314" s="159"/>
      <c r="L314" s="160"/>
      <c r="M314" s="159"/>
      <c r="N314" s="159"/>
      <c r="O314" s="161"/>
      <c r="P314" s="162" t="str">
        <f t="shared" si="143"/>
        <v/>
      </c>
      <c r="Q314" s="163" t="str">
        <f t="shared" si="144"/>
        <v/>
      </c>
      <c r="R314" s="164">
        <f t="shared" si="145"/>
        <v>0</v>
      </c>
      <c r="S314" s="165">
        <f t="shared" si="136"/>
        <v>0</v>
      </c>
      <c r="T314" s="165">
        <f t="shared" si="137"/>
        <v>0</v>
      </c>
      <c r="U314" s="166">
        <f t="shared" si="138"/>
        <v>0</v>
      </c>
      <c r="V314" s="153" t="str">
        <f t="shared" si="146"/>
        <v/>
      </c>
      <c r="W314" s="153" t="str">
        <f t="shared" si="147"/>
        <v/>
      </c>
      <c r="X314" s="244"/>
      <c r="Y314" s="154">
        <f t="shared" si="139"/>
        <v>0</v>
      </c>
      <c r="Z314" s="154" t="str">
        <f t="shared" si="135"/>
        <v>1000</v>
      </c>
      <c r="AA314" s="153" t="str">
        <f t="shared" si="148"/>
        <v/>
      </c>
      <c r="AD314" s="155" t="str">
        <f t="shared" si="140"/>
        <v/>
      </c>
      <c r="AI314" s="155">
        <f t="array" ref="AI314">MATCH(MIN(IF($AK$501:$AK$525&gt;=IF(G314&gt;1499,E314+7,E314+5), $AK$501:$AK$525)), $AK$501:$AK$525, 0)</f>
        <v>5</v>
      </c>
      <c r="AK314" s="233"/>
      <c r="AL314" s="233"/>
      <c r="AM314" s="155" t="str">
        <f t="shared" si="149"/>
        <v/>
      </c>
      <c r="AN314" s="155" t="str">
        <f t="shared" si="150"/>
        <v/>
      </c>
      <c r="AX314" s="155" t="str">
        <f t="shared" si="151"/>
        <v/>
      </c>
    </row>
    <row r="315" spans="1:50" s="155" customFormat="1" ht="30" hidden="1" customHeight="1">
      <c r="A315" s="141" t="str">
        <f t="shared" si="141"/>
        <v/>
      </c>
      <c r="B315" s="141" t="str">
        <f t="shared" si="142"/>
        <v/>
      </c>
      <c r="C315" s="157" t="str">
        <f>IF(D315="","",
    IF(ISERR(SEARCH("_",D315)),
        IFERROR(_xlfn.AGGREGATE(14,6,$C$12:C314,1),0)+1,
        IFERROR(
            VALUE(TRIM(MID(SUBSTITUTE(D315,"_",REPT(" ",LEN(D315))), (LEN(D315)-LEN(SUBSTITUTE(D315,"_",""))-1)*LEN(D315)+1, LEN(D315))))
            &amp; "." &amp;
            VALUE(TRIM(RIGHT(SUBSTITUTE(D315,"_",REPT(" ",LEN(D315))),LEN(D315)))),
            "")))</f>
        <v/>
      </c>
      <c r="D315" s="158"/>
      <c r="E315" s="159"/>
      <c r="F315" s="159"/>
      <c r="G315" s="159"/>
      <c r="H315" s="159"/>
      <c r="I315" s="158"/>
      <c r="J315" s="158"/>
      <c r="K315" s="159"/>
      <c r="L315" s="160"/>
      <c r="M315" s="159"/>
      <c r="N315" s="159"/>
      <c r="O315" s="161"/>
      <c r="P315" s="162" t="str">
        <f t="shared" si="143"/>
        <v/>
      </c>
      <c r="Q315" s="163" t="str">
        <f t="shared" si="144"/>
        <v/>
      </c>
      <c r="R315" s="164">
        <f t="shared" si="145"/>
        <v>0</v>
      </c>
      <c r="S315" s="165">
        <f t="shared" si="136"/>
        <v>0</v>
      </c>
      <c r="T315" s="165">
        <f t="shared" si="137"/>
        <v>0</v>
      </c>
      <c r="U315" s="166">
        <f t="shared" si="138"/>
        <v>0</v>
      </c>
      <c r="V315" s="153" t="str">
        <f t="shared" si="146"/>
        <v/>
      </c>
      <c r="W315" s="153" t="str">
        <f t="shared" si="147"/>
        <v/>
      </c>
      <c r="X315" s="244"/>
      <c r="Y315" s="154">
        <f t="shared" si="139"/>
        <v>0</v>
      </c>
      <c r="Z315" s="154" t="str">
        <f t="shared" si="135"/>
        <v>1000</v>
      </c>
      <c r="AA315" s="153" t="str">
        <f t="shared" si="148"/>
        <v/>
      </c>
      <c r="AD315" s="155" t="str">
        <f t="shared" si="140"/>
        <v/>
      </c>
      <c r="AI315" s="155">
        <f t="array" ref="AI315">MATCH(MIN(IF($AK$501:$AK$525&gt;=IF(G315&gt;1499,E315+7,E315+5), $AK$501:$AK$525)), $AK$501:$AK$525, 0)</f>
        <v>5</v>
      </c>
      <c r="AK315" s="233"/>
      <c r="AL315" s="233"/>
      <c r="AM315" s="155" t="str">
        <f t="shared" si="149"/>
        <v/>
      </c>
      <c r="AN315" s="155" t="str">
        <f t="shared" si="150"/>
        <v/>
      </c>
      <c r="AX315" s="155" t="str">
        <f t="shared" si="151"/>
        <v/>
      </c>
    </row>
    <row r="316" spans="1:50" s="155" customFormat="1" ht="30" hidden="1" customHeight="1">
      <c r="A316" s="141" t="str">
        <f t="shared" si="141"/>
        <v/>
      </c>
      <c r="B316" s="141" t="str">
        <f t="shared" si="142"/>
        <v/>
      </c>
      <c r="C316" s="157" t="str">
        <f>IF(D316="","",
    IF(ISERR(SEARCH("_",D316)),
        IFERROR(_xlfn.AGGREGATE(14,6,$C$12:C315,1),0)+1,
        IFERROR(
            VALUE(TRIM(MID(SUBSTITUTE(D316,"_",REPT(" ",LEN(D316))), (LEN(D316)-LEN(SUBSTITUTE(D316,"_",""))-1)*LEN(D316)+1, LEN(D316))))
            &amp; "." &amp;
            VALUE(TRIM(RIGHT(SUBSTITUTE(D316,"_",REPT(" ",LEN(D316))),LEN(D316)))),
            "")))</f>
        <v/>
      </c>
      <c r="D316" s="158"/>
      <c r="E316" s="159"/>
      <c r="F316" s="159"/>
      <c r="G316" s="159"/>
      <c r="H316" s="159"/>
      <c r="I316" s="158"/>
      <c r="J316" s="158"/>
      <c r="K316" s="159"/>
      <c r="L316" s="160"/>
      <c r="M316" s="159"/>
      <c r="N316" s="159"/>
      <c r="O316" s="161"/>
      <c r="P316" s="162" t="str">
        <f t="shared" si="143"/>
        <v/>
      </c>
      <c r="Q316" s="163" t="str">
        <f t="shared" si="144"/>
        <v/>
      </c>
      <c r="R316" s="164">
        <f t="shared" si="145"/>
        <v>0</v>
      </c>
      <c r="S316" s="165">
        <f t="shared" si="136"/>
        <v>0</v>
      </c>
      <c r="T316" s="165">
        <f t="shared" si="137"/>
        <v>0</v>
      </c>
      <c r="U316" s="166">
        <f t="shared" si="138"/>
        <v>0</v>
      </c>
      <c r="V316" s="153" t="str">
        <f t="shared" si="146"/>
        <v/>
      </c>
      <c r="W316" s="153" t="str">
        <f t="shared" si="147"/>
        <v/>
      </c>
      <c r="X316" s="244"/>
      <c r="Y316" s="154">
        <f t="shared" si="139"/>
        <v>0</v>
      </c>
      <c r="Z316" s="154" t="str">
        <f t="shared" si="135"/>
        <v>1000</v>
      </c>
      <c r="AA316" s="153" t="str">
        <f t="shared" si="148"/>
        <v/>
      </c>
      <c r="AD316" s="155" t="str">
        <f t="shared" si="140"/>
        <v/>
      </c>
      <c r="AI316" s="155">
        <f t="array" ref="AI316">MATCH(MIN(IF($AK$501:$AK$525&gt;=IF(G316&gt;1499,E316+7,E316+5), $AK$501:$AK$525)), $AK$501:$AK$525, 0)</f>
        <v>5</v>
      </c>
      <c r="AK316" s="233"/>
      <c r="AL316" s="233"/>
      <c r="AM316" s="155" t="str">
        <f t="shared" si="149"/>
        <v/>
      </c>
      <c r="AN316" s="155" t="str">
        <f t="shared" si="150"/>
        <v/>
      </c>
      <c r="AX316" s="155" t="str">
        <f t="shared" si="151"/>
        <v/>
      </c>
    </row>
    <row r="317" spans="1:50" s="155" customFormat="1" ht="30" hidden="1" customHeight="1">
      <c r="A317" s="141" t="str">
        <f t="shared" si="141"/>
        <v/>
      </c>
      <c r="B317" s="141" t="str">
        <f t="shared" si="142"/>
        <v/>
      </c>
      <c r="C317" s="157" t="str">
        <f>IF(D317="","",
    IF(ISERR(SEARCH("_",D317)),
        IFERROR(_xlfn.AGGREGATE(14,6,$C$12:C316,1),0)+1,
        IFERROR(
            VALUE(TRIM(MID(SUBSTITUTE(D317,"_",REPT(" ",LEN(D317))), (LEN(D317)-LEN(SUBSTITUTE(D317,"_",""))-1)*LEN(D317)+1, LEN(D317))))
            &amp; "." &amp;
            VALUE(TRIM(RIGHT(SUBSTITUTE(D317,"_",REPT(" ",LEN(D317))),LEN(D317)))),
            "")))</f>
        <v/>
      </c>
      <c r="D317" s="158"/>
      <c r="E317" s="159"/>
      <c r="F317" s="159"/>
      <c r="G317" s="159"/>
      <c r="H317" s="159"/>
      <c r="I317" s="158"/>
      <c r="J317" s="158"/>
      <c r="K317" s="159"/>
      <c r="L317" s="160"/>
      <c r="M317" s="159"/>
      <c r="N317" s="159"/>
      <c r="O317" s="161"/>
      <c r="P317" s="162" t="str">
        <f t="shared" si="143"/>
        <v/>
      </c>
      <c r="Q317" s="163" t="str">
        <f t="shared" si="144"/>
        <v/>
      </c>
      <c r="R317" s="164">
        <f t="shared" si="145"/>
        <v>0</v>
      </c>
      <c r="S317" s="165">
        <f t="shared" si="136"/>
        <v>0</v>
      </c>
      <c r="T317" s="165">
        <f t="shared" si="137"/>
        <v>0</v>
      </c>
      <c r="U317" s="166">
        <f t="shared" si="138"/>
        <v>0</v>
      </c>
      <c r="V317" s="153" t="str">
        <f t="shared" si="146"/>
        <v/>
      </c>
      <c r="W317" s="153" t="str">
        <f t="shared" si="147"/>
        <v/>
      </c>
      <c r="X317" s="244"/>
      <c r="Y317" s="154">
        <f t="shared" si="139"/>
        <v>0</v>
      </c>
      <c r="Z317" s="154" t="str">
        <f t="shared" si="135"/>
        <v>1000</v>
      </c>
      <c r="AA317" s="153" t="str">
        <f t="shared" si="148"/>
        <v/>
      </c>
      <c r="AD317" s="155" t="str">
        <f t="shared" si="140"/>
        <v/>
      </c>
      <c r="AI317" s="155">
        <f t="array" ref="AI317">MATCH(MIN(IF($AK$501:$AK$525&gt;=IF(G317&gt;1499,E317+7,E317+5), $AK$501:$AK$525)), $AK$501:$AK$525, 0)</f>
        <v>5</v>
      </c>
      <c r="AK317" s="233"/>
      <c r="AL317" s="233"/>
      <c r="AM317" s="155" t="str">
        <f t="shared" si="149"/>
        <v/>
      </c>
      <c r="AN317" s="155" t="str">
        <f t="shared" si="150"/>
        <v/>
      </c>
      <c r="AX317" s="155" t="str">
        <f t="shared" si="151"/>
        <v/>
      </c>
    </row>
    <row r="318" spans="1:50" s="155" customFormat="1" ht="30" hidden="1" customHeight="1">
      <c r="A318" s="141" t="str">
        <f t="shared" si="141"/>
        <v/>
      </c>
      <c r="B318" s="141" t="str">
        <f t="shared" si="142"/>
        <v/>
      </c>
      <c r="C318" s="157" t="str">
        <f>IF(D318="","",
    IF(ISERR(SEARCH("_",D318)),
        IFERROR(_xlfn.AGGREGATE(14,6,$C$12:C317,1),0)+1,
        IFERROR(
            VALUE(TRIM(MID(SUBSTITUTE(D318,"_",REPT(" ",LEN(D318))), (LEN(D318)-LEN(SUBSTITUTE(D318,"_",""))-1)*LEN(D318)+1, LEN(D318))))
            &amp; "." &amp;
            VALUE(TRIM(RIGHT(SUBSTITUTE(D318,"_",REPT(" ",LEN(D318))),LEN(D318)))),
            "")))</f>
        <v/>
      </c>
      <c r="D318" s="158"/>
      <c r="E318" s="159"/>
      <c r="F318" s="159"/>
      <c r="G318" s="159"/>
      <c r="H318" s="159"/>
      <c r="I318" s="158"/>
      <c r="J318" s="158"/>
      <c r="K318" s="159"/>
      <c r="L318" s="160"/>
      <c r="M318" s="159"/>
      <c r="N318" s="159"/>
      <c r="O318" s="161"/>
      <c r="P318" s="162" t="str">
        <f t="shared" si="143"/>
        <v/>
      </c>
      <c r="Q318" s="163" t="str">
        <f t="shared" si="144"/>
        <v/>
      </c>
      <c r="R318" s="164">
        <f t="shared" si="145"/>
        <v>0</v>
      </c>
      <c r="S318" s="165">
        <f t="shared" si="136"/>
        <v>0</v>
      </c>
      <c r="T318" s="165">
        <f t="shared" si="137"/>
        <v>0</v>
      </c>
      <c r="U318" s="166">
        <f t="shared" si="138"/>
        <v>0</v>
      </c>
      <c r="V318" s="153" t="str">
        <f t="shared" si="146"/>
        <v/>
      </c>
      <c r="W318" s="153" t="str">
        <f t="shared" si="147"/>
        <v/>
      </c>
      <c r="X318" s="244"/>
      <c r="Y318" s="154">
        <f t="shared" si="139"/>
        <v>0</v>
      </c>
      <c r="Z318" s="154" t="str">
        <f t="shared" si="135"/>
        <v>1000</v>
      </c>
      <c r="AA318" s="153" t="str">
        <f t="shared" si="148"/>
        <v/>
      </c>
      <c r="AD318" s="155" t="str">
        <f t="shared" si="140"/>
        <v/>
      </c>
      <c r="AI318" s="155">
        <f t="array" ref="AI318">MATCH(MIN(IF($AK$501:$AK$525&gt;=IF(G318&gt;1499,E318+7,E318+5), $AK$501:$AK$525)), $AK$501:$AK$525, 0)</f>
        <v>5</v>
      </c>
      <c r="AK318" s="233"/>
      <c r="AL318" s="233"/>
      <c r="AM318" s="155" t="str">
        <f t="shared" si="149"/>
        <v/>
      </c>
      <c r="AN318" s="155" t="str">
        <f t="shared" si="150"/>
        <v/>
      </c>
      <c r="AX318" s="155" t="str">
        <f t="shared" si="151"/>
        <v/>
      </c>
    </row>
    <row r="319" spans="1:50" s="155" customFormat="1" ht="30" hidden="1" customHeight="1">
      <c r="A319" s="141" t="str">
        <f t="shared" si="141"/>
        <v/>
      </c>
      <c r="B319" s="141" t="str">
        <f t="shared" si="142"/>
        <v/>
      </c>
      <c r="C319" s="157" t="str">
        <f>IF(D319="","",
    IF(ISERR(SEARCH("_",D319)),
        IFERROR(_xlfn.AGGREGATE(14,6,$C$12:C318,1),0)+1,
        IFERROR(
            VALUE(TRIM(MID(SUBSTITUTE(D319,"_",REPT(" ",LEN(D319))), (LEN(D319)-LEN(SUBSTITUTE(D319,"_",""))-1)*LEN(D319)+1, LEN(D319))))
            &amp; "." &amp;
            VALUE(TRIM(RIGHT(SUBSTITUTE(D319,"_",REPT(" ",LEN(D319))),LEN(D319)))),
            "")))</f>
        <v/>
      </c>
      <c r="D319" s="158"/>
      <c r="E319" s="159"/>
      <c r="F319" s="159"/>
      <c r="G319" s="159"/>
      <c r="H319" s="159"/>
      <c r="I319" s="158"/>
      <c r="J319" s="158"/>
      <c r="K319" s="159"/>
      <c r="L319" s="160"/>
      <c r="M319" s="159"/>
      <c r="N319" s="159"/>
      <c r="O319" s="161"/>
      <c r="P319" s="162" t="str">
        <f t="shared" si="143"/>
        <v/>
      </c>
      <c r="Q319" s="163" t="str">
        <f t="shared" si="144"/>
        <v/>
      </c>
      <c r="R319" s="164">
        <f t="shared" si="145"/>
        <v>0</v>
      </c>
      <c r="S319" s="165">
        <f t="shared" si="136"/>
        <v>0</v>
      </c>
      <c r="T319" s="165">
        <f t="shared" si="137"/>
        <v>0</v>
      </c>
      <c r="U319" s="166">
        <f t="shared" si="138"/>
        <v>0</v>
      </c>
      <c r="V319" s="153" t="str">
        <f t="shared" si="146"/>
        <v/>
      </c>
      <c r="W319" s="153" t="str">
        <f t="shared" si="147"/>
        <v/>
      </c>
      <c r="X319" s="244"/>
      <c r="Y319" s="154">
        <f t="shared" si="139"/>
        <v>0</v>
      </c>
      <c r="Z319" s="154" t="str">
        <f t="shared" si="135"/>
        <v>1000</v>
      </c>
      <c r="AA319" s="153" t="str">
        <f t="shared" si="148"/>
        <v/>
      </c>
      <c r="AD319" s="155" t="str">
        <f t="shared" si="140"/>
        <v/>
      </c>
      <c r="AI319" s="155">
        <f t="array" ref="AI319">MATCH(MIN(IF($AK$501:$AK$525&gt;=IF(G319&gt;1499,E319+7,E319+5), $AK$501:$AK$525)), $AK$501:$AK$525, 0)</f>
        <v>5</v>
      </c>
      <c r="AK319" s="233"/>
      <c r="AL319" s="233"/>
      <c r="AM319" s="155" t="str">
        <f t="shared" si="149"/>
        <v/>
      </c>
      <c r="AN319" s="155" t="str">
        <f t="shared" si="150"/>
        <v/>
      </c>
      <c r="AX319" s="155" t="str">
        <f t="shared" si="151"/>
        <v/>
      </c>
    </row>
    <row r="320" spans="1:50" s="155" customFormat="1" ht="30" hidden="1" customHeight="1">
      <c r="A320" s="141" t="str">
        <f t="shared" si="141"/>
        <v/>
      </c>
      <c r="B320" s="141" t="str">
        <f t="shared" si="142"/>
        <v/>
      </c>
      <c r="C320" s="157" t="str">
        <f>IF(D320="","",
    IF(ISERR(SEARCH("_",D320)),
        IFERROR(_xlfn.AGGREGATE(14,6,$C$12:C319,1),0)+1,
        IFERROR(
            VALUE(TRIM(MID(SUBSTITUTE(D320,"_",REPT(" ",LEN(D320))), (LEN(D320)-LEN(SUBSTITUTE(D320,"_",""))-1)*LEN(D320)+1, LEN(D320))))
            &amp; "." &amp;
            VALUE(TRIM(RIGHT(SUBSTITUTE(D320,"_",REPT(" ",LEN(D320))),LEN(D320)))),
            "")))</f>
        <v/>
      </c>
      <c r="D320" s="158"/>
      <c r="E320" s="159"/>
      <c r="F320" s="159"/>
      <c r="G320" s="159"/>
      <c r="H320" s="159"/>
      <c r="I320" s="158"/>
      <c r="J320" s="158"/>
      <c r="K320" s="159"/>
      <c r="L320" s="160"/>
      <c r="M320" s="159"/>
      <c r="N320" s="159"/>
      <c r="O320" s="161"/>
      <c r="P320" s="162" t="str">
        <f t="shared" si="143"/>
        <v/>
      </c>
      <c r="Q320" s="163" t="str">
        <f t="shared" si="144"/>
        <v/>
      </c>
      <c r="R320" s="164">
        <f t="shared" si="145"/>
        <v>0</v>
      </c>
      <c r="S320" s="165">
        <f t="shared" si="136"/>
        <v>0</v>
      </c>
      <c r="T320" s="165">
        <f t="shared" si="137"/>
        <v>0</v>
      </c>
      <c r="U320" s="166">
        <f t="shared" si="138"/>
        <v>0</v>
      </c>
      <c r="V320" s="153" t="str">
        <f t="shared" si="146"/>
        <v/>
      </c>
      <c r="W320" s="153" t="str">
        <f t="shared" si="147"/>
        <v/>
      </c>
      <c r="X320" s="244"/>
      <c r="Y320" s="154">
        <f t="shared" si="139"/>
        <v>0</v>
      </c>
      <c r="Z320" s="154" t="str">
        <f t="shared" si="135"/>
        <v>1000</v>
      </c>
      <c r="AA320" s="153" t="str">
        <f t="shared" si="148"/>
        <v/>
      </c>
      <c r="AD320" s="155" t="str">
        <f t="shared" si="140"/>
        <v/>
      </c>
      <c r="AI320" s="155">
        <f t="array" ref="AI320">MATCH(MIN(IF($AK$501:$AK$525&gt;=IF(G320&gt;1499,E320+7,E320+5), $AK$501:$AK$525)), $AK$501:$AK$525, 0)</f>
        <v>5</v>
      </c>
      <c r="AK320" s="233"/>
      <c r="AL320" s="233"/>
      <c r="AM320" s="155" t="str">
        <f t="shared" si="149"/>
        <v/>
      </c>
      <c r="AN320" s="155" t="str">
        <f t="shared" si="150"/>
        <v/>
      </c>
      <c r="AX320" s="155" t="str">
        <f t="shared" si="151"/>
        <v/>
      </c>
    </row>
    <row r="321" spans="1:50" s="155" customFormat="1" ht="30" hidden="1" customHeight="1">
      <c r="A321" s="141" t="str">
        <f t="shared" si="141"/>
        <v/>
      </c>
      <c r="B321" s="141" t="str">
        <f t="shared" si="142"/>
        <v/>
      </c>
      <c r="C321" s="157" t="str">
        <f>IF(D321="","",
    IF(ISERR(SEARCH("_",D321)),
        IFERROR(_xlfn.AGGREGATE(14,6,$C$12:C320,1),0)+1,
        IFERROR(
            VALUE(TRIM(MID(SUBSTITUTE(D321,"_",REPT(" ",LEN(D321))), (LEN(D321)-LEN(SUBSTITUTE(D321,"_",""))-1)*LEN(D321)+1, LEN(D321))))
            &amp; "." &amp;
            VALUE(TRIM(RIGHT(SUBSTITUTE(D321,"_",REPT(" ",LEN(D321))),LEN(D321)))),
            "")))</f>
        <v/>
      </c>
      <c r="D321" s="158"/>
      <c r="E321" s="159"/>
      <c r="F321" s="159"/>
      <c r="G321" s="159"/>
      <c r="H321" s="159"/>
      <c r="I321" s="158"/>
      <c r="J321" s="158"/>
      <c r="K321" s="159"/>
      <c r="L321" s="160"/>
      <c r="M321" s="159"/>
      <c r="N321" s="159"/>
      <c r="O321" s="161"/>
      <c r="P321" s="162" t="str">
        <f t="shared" si="143"/>
        <v/>
      </c>
      <c r="Q321" s="163" t="str">
        <f t="shared" si="144"/>
        <v/>
      </c>
      <c r="R321" s="164">
        <f t="shared" si="145"/>
        <v>0</v>
      </c>
      <c r="S321" s="165">
        <f t="shared" si="136"/>
        <v>0</v>
      </c>
      <c r="T321" s="165">
        <f t="shared" si="137"/>
        <v>0</v>
      </c>
      <c r="U321" s="166">
        <f t="shared" si="138"/>
        <v>0</v>
      </c>
      <c r="V321" s="153" t="str">
        <f t="shared" si="146"/>
        <v/>
      </c>
      <c r="W321" s="153" t="str">
        <f t="shared" si="147"/>
        <v/>
      </c>
      <c r="X321" s="244"/>
      <c r="Y321" s="154">
        <f t="shared" si="139"/>
        <v>0</v>
      </c>
      <c r="Z321" s="154" t="str">
        <f t="shared" si="135"/>
        <v>1000</v>
      </c>
      <c r="AA321" s="153" t="str">
        <f t="shared" si="148"/>
        <v/>
      </c>
      <c r="AD321" s="155" t="str">
        <f t="shared" si="140"/>
        <v/>
      </c>
      <c r="AI321" s="155">
        <f t="array" ref="AI321">MATCH(MIN(IF($AK$501:$AK$525&gt;=IF(G321&gt;1499,E321+7,E321+5), $AK$501:$AK$525)), $AK$501:$AK$525, 0)</f>
        <v>5</v>
      </c>
      <c r="AK321" s="233"/>
      <c r="AL321" s="233"/>
      <c r="AM321" s="155" t="str">
        <f t="shared" si="149"/>
        <v/>
      </c>
      <c r="AN321" s="155" t="str">
        <f t="shared" si="150"/>
        <v/>
      </c>
      <c r="AX321" s="155" t="str">
        <f t="shared" si="151"/>
        <v/>
      </c>
    </row>
    <row r="322" spans="1:50" s="155" customFormat="1" ht="30" hidden="1" customHeight="1">
      <c r="A322" s="141" t="str">
        <f t="shared" si="141"/>
        <v/>
      </c>
      <c r="B322" s="141" t="str">
        <f t="shared" si="142"/>
        <v/>
      </c>
      <c r="C322" s="157" t="str">
        <f>IF(D322="","",
    IF(ISERR(SEARCH("_",D322)),
        IFERROR(_xlfn.AGGREGATE(14,6,$C$12:C321,1),0)+1,
        IFERROR(
            VALUE(TRIM(MID(SUBSTITUTE(D322,"_",REPT(" ",LEN(D322))), (LEN(D322)-LEN(SUBSTITUTE(D322,"_",""))-1)*LEN(D322)+1, LEN(D322))))
            &amp; "." &amp;
            VALUE(TRIM(RIGHT(SUBSTITUTE(D322,"_",REPT(" ",LEN(D322))),LEN(D322)))),
            "")))</f>
        <v/>
      </c>
      <c r="D322" s="158"/>
      <c r="E322" s="159"/>
      <c r="F322" s="159"/>
      <c r="G322" s="159"/>
      <c r="H322" s="159"/>
      <c r="I322" s="158"/>
      <c r="J322" s="158"/>
      <c r="K322" s="159"/>
      <c r="L322" s="160"/>
      <c r="M322" s="159"/>
      <c r="N322" s="159"/>
      <c r="O322" s="161"/>
      <c r="P322" s="162" t="str">
        <f t="shared" si="143"/>
        <v/>
      </c>
      <c r="Q322" s="163" t="str">
        <f t="shared" si="144"/>
        <v/>
      </c>
      <c r="R322" s="164">
        <f t="shared" si="145"/>
        <v>0</v>
      </c>
      <c r="S322" s="165">
        <f t="shared" si="136"/>
        <v>0</v>
      </c>
      <c r="T322" s="165">
        <f t="shared" si="137"/>
        <v>0</v>
      </c>
      <c r="U322" s="166">
        <f t="shared" si="138"/>
        <v>0</v>
      </c>
      <c r="V322" s="153" t="str">
        <f t="shared" si="146"/>
        <v/>
      </c>
      <c r="W322" s="153" t="str">
        <f t="shared" si="147"/>
        <v/>
      </c>
      <c r="X322" s="244"/>
      <c r="Y322" s="154">
        <f t="shared" si="139"/>
        <v>0</v>
      </c>
      <c r="Z322" s="154" t="str">
        <f t="shared" si="135"/>
        <v>1000</v>
      </c>
      <c r="AA322" s="153" t="str">
        <f t="shared" si="148"/>
        <v/>
      </c>
      <c r="AD322" s="155" t="str">
        <f t="shared" si="140"/>
        <v/>
      </c>
      <c r="AI322" s="155">
        <f t="array" ref="AI322">MATCH(MIN(IF($AK$501:$AK$525&gt;=IF(G322&gt;1499,E322+7,E322+5), $AK$501:$AK$525)), $AK$501:$AK$525, 0)</f>
        <v>5</v>
      </c>
      <c r="AK322" s="233"/>
      <c r="AL322" s="233"/>
      <c r="AM322" s="155" t="str">
        <f t="shared" si="149"/>
        <v/>
      </c>
      <c r="AN322" s="155" t="str">
        <f t="shared" si="150"/>
        <v/>
      </c>
      <c r="AX322" s="155" t="str">
        <f t="shared" si="151"/>
        <v/>
      </c>
    </row>
    <row r="323" spans="1:50" s="155" customFormat="1" ht="30" hidden="1" customHeight="1">
      <c r="A323" s="141" t="str">
        <f t="shared" si="141"/>
        <v/>
      </c>
      <c r="B323" s="141" t="str">
        <f t="shared" si="142"/>
        <v/>
      </c>
      <c r="C323" s="157" t="str">
        <f>IF(D323="","",
    IF(ISERR(SEARCH("_",D323)),
        IFERROR(_xlfn.AGGREGATE(14,6,$C$12:C322,1),0)+1,
        IFERROR(
            VALUE(TRIM(MID(SUBSTITUTE(D323,"_",REPT(" ",LEN(D323))), (LEN(D323)-LEN(SUBSTITUTE(D323,"_",""))-1)*LEN(D323)+1, LEN(D323))))
            &amp; "." &amp;
            VALUE(TRIM(RIGHT(SUBSTITUTE(D323,"_",REPT(" ",LEN(D323))),LEN(D323)))),
            "")))</f>
        <v/>
      </c>
      <c r="D323" s="158"/>
      <c r="E323" s="159"/>
      <c r="F323" s="159"/>
      <c r="G323" s="159"/>
      <c r="H323" s="159"/>
      <c r="I323" s="158"/>
      <c r="J323" s="158"/>
      <c r="K323" s="159"/>
      <c r="L323" s="160"/>
      <c r="M323" s="159"/>
      <c r="N323" s="159"/>
      <c r="O323" s="161"/>
      <c r="P323" s="162" t="str">
        <f t="shared" si="143"/>
        <v/>
      </c>
      <c r="Q323" s="163" t="str">
        <f t="shared" si="144"/>
        <v/>
      </c>
      <c r="R323" s="164">
        <f t="shared" si="145"/>
        <v>0</v>
      </c>
      <c r="S323" s="165">
        <f t="shared" si="136"/>
        <v>0</v>
      </c>
      <c r="T323" s="165">
        <f t="shared" si="137"/>
        <v>0</v>
      </c>
      <c r="U323" s="166">
        <f t="shared" si="138"/>
        <v>0</v>
      </c>
      <c r="V323" s="153" t="str">
        <f t="shared" si="146"/>
        <v/>
      </c>
      <c r="W323" s="153" t="str">
        <f t="shared" si="147"/>
        <v/>
      </c>
      <c r="X323" s="244"/>
      <c r="Y323" s="154">
        <f t="shared" si="139"/>
        <v>0</v>
      </c>
      <c r="Z323" s="154" t="str">
        <f t="shared" si="135"/>
        <v>1000</v>
      </c>
      <c r="AA323" s="153" t="str">
        <f t="shared" si="148"/>
        <v/>
      </c>
      <c r="AD323" s="155" t="str">
        <f t="shared" si="140"/>
        <v/>
      </c>
      <c r="AI323" s="155">
        <f t="array" ref="AI323">MATCH(MIN(IF($AK$501:$AK$525&gt;=IF(G323&gt;1499,E323+7,E323+5), $AK$501:$AK$525)), $AK$501:$AK$525, 0)</f>
        <v>5</v>
      </c>
      <c r="AK323" s="233"/>
      <c r="AL323" s="233"/>
      <c r="AM323" s="155" t="str">
        <f t="shared" si="149"/>
        <v/>
      </c>
      <c r="AN323" s="155" t="str">
        <f t="shared" si="150"/>
        <v/>
      </c>
      <c r="AX323" s="155" t="str">
        <f t="shared" si="151"/>
        <v/>
      </c>
    </row>
    <row r="324" spans="1:50" s="155" customFormat="1" ht="30" hidden="1" customHeight="1">
      <c r="A324" s="141" t="str">
        <f t="shared" si="141"/>
        <v/>
      </c>
      <c r="B324" s="141" t="str">
        <f t="shared" si="142"/>
        <v/>
      </c>
      <c r="C324" s="157" t="str">
        <f>IF(D324="","",
    IF(ISERR(SEARCH("_",D324)),
        IFERROR(_xlfn.AGGREGATE(14,6,$C$12:C323,1),0)+1,
        IFERROR(
            VALUE(TRIM(MID(SUBSTITUTE(D324,"_",REPT(" ",LEN(D324))), (LEN(D324)-LEN(SUBSTITUTE(D324,"_",""))-1)*LEN(D324)+1, LEN(D324))))
            &amp; "." &amp;
            VALUE(TRIM(RIGHT(SUBSTITUTE(D324,"_",REPT(" ",LEN(D324))),LEN(D324)))),
            "")))</f>
        <v/>
      </c>
      <c r="D324" s="158"/>
      <c r="E324" s="159"/>
      <c r="F324" s="159"/>
      <c r="G324" s="159"/>
      <c r="H324" s="159"/>
      <c r="I324" s="158"/>
      <c r="J324" s="158"/>
      <c r="K324" s="159"/>
      <c r="L324" s="160"/>
      <c r="M324" s="159"/>
      <c r="N324" s="159"/>
      <c r="O324" s="161"/>
      <c r="P324" s="162" t="str">
        <f t="shared" si="143"/>
        <v/>
      </c>
      <c r="Q324" s="163" t="str">
        <f t="shared" si="144"/>
        <v/>
      </c>
      <c r="R324" s="164">
        <f t="shared" si="145"/>
        <v>0</v>
      </c>
      <c r="S324" s="165">
        <f t="shared" si="136"/>
        <v>0</v>
      </c>
      <c r="T324" s="165">
        <f t="shared" si="137"/>
        <v>0</v>
      </c>
      <c r="U324" s="166">
        <f t="shared" si="138"/>
        <v>0</v>
      </c>
      <c r="V324" s="153" t="str">
        <f t="shared" si="146"/>
        <v/>
      </c>
      <c r="W324" s="153" t="str">
        <f t="shared" si="147"/>
        <v/>
      </c>
      <c r="X324" s="244"/>
      <c r="Y324" s="154">
        <f t="shared" si="139"/>
        <v>0</v>
      </c>
      <c r="Z324" s="154" t="str">
        <f t="shared" si="135"/>
        <v>1000</v>
      </c>
      <c r="AA324" s="153" t="str">
        <f t="shared" si="148"/>
        <v/>
      </c>
      <c r="AD324" s="155" t="str">
        <f t="shared" si="140"/>
        <v/>
      </c>
      <c r="AI324" s="155">
        <f t="array" ref="AI324">MATCH(MIN(IF($AK$501:$AK$525&gt;=IF(G324&gt;1499,E324+7,E324+5), $AK$501:$AK$525)), $AK$501:$AK$525, 0)</f>
        <v>5</v>
      </c>
      <c r="AK324" s="233"/>
      <c r="AL324" s="233"/>
      <c r="AM324" s="155" t="str">
        <f t="shared" si="149"/>
        <v/>
      </c>
      <c r="AN324" s="155" t="str">
        <f t="shared" si="150"/>
        <v/>
      </c>
      <c r="AX324" s="155" t="str">
        <f t="shared" si="151"/>
        <v/>
      </c>
    </row>
    <row r="325" spans="1:50" s="155" customFormat="1" ht="30" hidden="1" customHeight="1">
      <c r="A325" s="141" t="str">
        <f t="shared" si="141"/>
        <v/>
      </c>
      <c r="B325" s="141" t="str">
        <f t="shared" si="142"/>
        <v/>
      </c>
      <c r="C325" s="157" t="str">
        <f>IF(D325="","",
    IF(ISERR(SEARCH("_",D325)),
        IFERROR(_xlfn.AGGREGATE(14,6,$C$12:C324,1),0)+1,
        IFERROR(
            VALUE(TRIM(MID(SUBSTITUTE(D325,"_",REPT(" ",LEN(D325))), (LEN(D325)-LEN(SUBSTITUTE(D325,"_",""))-1)*LEN(D325)+1, LEN(D325))))
            &amp; "." &amp;
            VALUE(TRIM(RIGHT(SUBSTITUTE(D325,"_",REPT(" ",LEN(D325))),LEN(D325)))),
            "")))</f>
        <v/>
      </c>
      <c r="D325" s="158"/>
      <c r="E325" s="159"/>
      <c r="F325" s="159"/>
      <c r="G325" s="159"/>
      <c r="H325" s="159"/>
      <c r="I325" s="158"/>
      <c r="J325" s="158"/>
      <c r="K325" s="159"/>
      <c r="L325" s="160"/>
      <c r="M325" s="159"/>
      <c r="N325" s="159"/>
      <c r="O325" s="161"/>
      <c r="P325" s="162" t="str">
        <f t="shared" si="143"/>
        <v/>
      </c>
      <c r="Q325" s="163" t="str">
        <f t="shared" si="144"/>
        <v/>
      </c>
      <c r="R325" s="164">
        <f t="shared" si="145"/>
        <v>0</v>
      </c>
      <c r="S325" s="165">
        <f t="shared" si="136"/>
        <v>0</v>
      </c>
      <c r="T325" s="165">
        <f t="shared" si="137"/>
        <v>0</v>
      </c>
      <c r="U325" s="166">
        <f t="shared" si="138"/>
        <v>0</v>
      </c>
      <c r="V325" s="153" t="str">
        <f t="shared" si="146"/>
        <v/>
      </c>
      <c r="W325" s="153" t="str">
        <f t="shared" si="147"/>
        <v/>
      </c>
      <c r="X325" s="244"/>
      <c r="Y325" s="154">
        <f t="shared" si="139"/>
        <v>0</v>
      </c>
      <c r="Z325" s="154" t="str">
        <f t="shared" si="135"/>
        <v>1000</v>
      </c>
      <c r="AA325" s="153" t="str">
        <f t="shared" si="148"/>
        <v/>
      </c>
      <c r="AD325" s="155" t="str">
        <f t="shared" si="140"/>
        <v/>
      </c>
      <c r="AI325" s="155">
        <f t="array" ref="AI325">MATCH(MIN(IF($AK$501:$AK$525&gt;=IF(G325&gt;1499,E325+7,E325+5), $AK$501:$AK$525)), $AK$501:$AK$525, 0)</f>
        <v>5</v>
      </c>
      <c r="AK325" s="233"/>
      <c r="AL325" s="233"/>
      <c r="AM325" s="155" t="str">
        <f t="shared" si="149"/>
        <v/>
      </c>
      <c r="AN325" s="155" t="str">
        <f t="shared" si="150"/>
        <v/>
      </c>
      <c r="AX325" s="155" t="str">
        <f t="shared" si="151"/>
        <v/>
      </c>
    </row>
    <row r="326" spans="1:50" s="155" customFormat="1" ht="30" hidden="1" customHeight="1">
      <c r="A326" s="141" t="str">
        <f t="shared" si="141"/>
        <v/>
      </c>
      <c r="B326" s="141" t="str">
        <f t="shared" si="142"/>
        <v/>
      </c>
      <c r="C326" s="157" t="str">
        <f>IF(D326="","",
    IF(ISERR(SEARCH("_",D326)),
        IFERROR(_xlfn.AGGREGATE(14,6,$C$12:C325,1),0)+1,
        IFERROR(
            VALUE(TRIM(MID(SUBSTITUTE(D326,"_",REPT(" ",LEN(D326))), (LEN(D326)-LEN(SUBSTITUTE(D326,"_",""))-1)*LEN(D326)+1, LEN(D326))))
            &amp; "." &amp;
            VALUE(TRIM(RIGHT(SUBSTITUTE(D326,"_",REPT(" ",LEN(D326))),LEN(D326)))),
            "")))</f>
        <v/>
      </c>
      <c r="D326" s="158"/>
      <c r="E326" s="159"/>
      <c r="F326" s="159"/>
      <c r="G326" s="159"/>
      <c r="H326" s="159"/>
      <c r="I326" s="158"/>
      <c r="J326" s="158"/>
      <c r="K326" s="159"/>
      <c r="L326" s="160"/>
      <c r="M326" s="159"/>
      <c r="N326" s="159"/>
      <c r="O326" s="161"/>
      <c r="P326" s="162" t="str">
        <f t="shared" si="143"/>
        <v/>
      </c>
      <c r="Q326" s="163" t="str">
        <f t="shared" si="144"/>
        <v/>
      </c>
      <c r="R326" s="164">
        <f t="shared" si="145"/>
        <v>0</v>
      </c>
      <c r="S326" s="165">
        <f t="shared" si="136"/>
        <v>0</v>
      </c>
      <c r="T326" s="165">
        <f t="shared" si="137"/>
        <v>0</v>
      </c>
      <c r="U326" s="166">
        <f t="shared" si="138"/>
        <v>0</v>
      </c>
      <c r="V326" s="153" t="str">
        <f t="shared" si="146"/>
        <v/>
      </c>
      <c r="W326" s="153" t="str">
        <f t="shared" si="147"/>
        <v/>
      </c>
      <c r="X326" s="244"/>
      <c r="Y326" s="154">
        <f t="shared" si="139"/>
        <v>0</v>
      </c>
      <c r="Z326" s="154" t="str">
        <f t="shared" si="135"/>
        <v>1000</v>
      </c>
      <c r="AA326" s="153" t="str">
        <f t="shared" si="148"/>
        <v/>
      </c>
      <c r="AD326" s="155" t="str">
        <f t="shared" si="140"/>
        <v/>
      </c>
      <c r="AI326" s="155">
        <f t="array" ref="AI326">MATCH(MIN(IF($AK$501:$AK$525&gt;=IF(G326&gt;1499,E326+7,E326+5), $AK$501:$AK$525)), $AK$501:$AK$525, 0)</f>
        <v>5</v>
      </c>
      <c r="AK326" s="233"/>
      <c r="AL326" s="233"/>
      <c r="AM326" s="155" t="str">
        <f t="shared" si="149"/>
        <v/>
      </c>
      <c r="AN326" s="155" t="str">
        <f t="shared" si="150"/>
        <v/>
      </c>
      <c r="AX326" s="155" t="str">
        <f t="shared" si="151"/>
        <v/>
      </c>
    </row>
    <row r="327" spans="1:50" s="155" customFormat="1" ht="30" hidden="1" customHeight="1">
      <c r="A327" s="141" t="str">
        <f t="shared" si="141"/>
        <v/>
      </c>
      <c r="B327" s="141" t="str">
        <f t="shared" si="142"/>
        <v/>
      </c>
      <c r="C327" s="157" t="str">
        <f>IF(D327="","",
    IF(ISERR(SEARCH("_",D327)),
        IFERROR(_xlfn.AGGREGATE(14,6,$C$12:C326,1),0)+1,
        IFERROR(
            VALUE(TRIM(MID(SUBSTITUTE(D327,"_",REPT(" ",LEN(D327))), (LEN(D327)-LEN(SUBSTITUTE(D327,"_",""))-1)*LEN(D327)+1, LEN(D327))))
            &amp; "." &amp;
            VALUE(TRIM(RIGHT(SUBSTITUTE(D327,"_",REPT(" ",LEN(D327))),LEN(D327)))),
            "")))</f>
        <v/>
      </c>
      <c r="D327" s="158"/>
      <c r="E327" s="159"/>
      <c r="F327" s="159"/>
      <c r="G327" s="159"/>
      <c r="H327" s="159"/>
      <c r="I327" s="158"/>
      <c r="J327" s="158"/>
      <c r="K327" s="159"/>
      <c r="L327" s="160"/>
      <c r="M327" s="159"/>
      <c r="N327" s="159"/>
      <c r="O327" s="161"/>
      <c r="P327" s="162" t="str">
        <f t="shared" si="143"/>
        <v/>
      </c>
      <c r="Q327" s="163" t="str">
        <f t="shared" si="144"/>
        <v/>
      </c>
      <c r="R327" s="164">
        <f t="shared" si="145"/>
        <v>0</v>
      </c>
      <c r="S327" s="165">
        <f t="shared" si="136"/>
        <v>0</v>
      </c>
      <c r="T327" s="165">
        <f t="shared" si="137"/>
        <v>0</v>
      </c>
      <c r="U327" s="166">
        <f t="shared" si="138"/>
        <v>0</v>
      </c>
      <c r="V327" s="153" t="str">
        <f t="shared" si="146"/>
        <v/>
      </c>
      <c r="W327" s="153" t="str">
        <f t="shared" si="147"/>
        <v/>
      </c>
      <c r="X327" s="244"/>
      <c r="Y327" s="154">
        <f t="shared" si="139"/>
        <v>0</v>
      </c>
      <c r="Z327" s="154" t="str">
        <f t="shared" si="135"/>
        <v>1000</v>
      </c>
      <c r="AA327" s="153" t="str">
        <f t="shared" si="148"/>
        <v/>
      </c>
      <c r="AD327" s="155" t="str">
        <f t="shared" si="140"/>
        <v/>
      </c>
      <c r="AI327" s="155">
        <f t="array" ref="AI327">MATCH(MIN(IF($AK$501:$AK$525&gt;=IF(G327&gt;1499,E327+7,E327+5), $AK$501:$AK$525)), $AK$501:$AK$525, 0)</f>
        <v>5</v>
      </c>
      <c r="AK327" s="233"/>
      <c r="AL327" s="233"/>
      <c r="AM327" s="155" t="str">
        <f t="shared" si="149"/>
        <v/>
      </c>
      <c r="AN327" s="155" t="str">
        <f t="shared" si="150"/>
        <v/>
      </c>
      <c r="AX327" s="155" t="str">
        <f t="shared" si="151"/>
        <v/>
      </c>
    </row>
    <row r="328" spans="1:50" s="155" customFormat="1" ht="30" hidden="1" customHeight="1">
      <c r="A328" s="141" t="str">
        <f t="shared" si="141"/>
        <v/>
      </c>
      <c r="B328" s="141" t="str">
        <f t="shared" si="142"/>
        <v/>
      </c>
      <c r="C328" s="157" t="str">
        <f>IF(D328="","",
    IF(ISERR(SEARCH("_",D328)),
        IFERROR(_xlfn.AGGREGATE(14,6,$C$12:C327,1),0)+1,
        IFERROR(
            VALUE(TRIM(MID(SUBSTITUTE(D328,"_",REPT(" ",LEN(D328))), (LEN(D328)-LEN(SUBSTITUTE(D328,"_",""))-1)*LEN(D328)+1, LEN(D328))))
            &amp; "." &amp;
            VALUE(TRIM(RIGHT(SUBSTITUTE(D328,"_",REPT(" ",LEN(D328))),LEN(D328)))),
            "")))</f>
        <v/>
      </c>
      <c r="D328" s="158"/>
      <c r="E328" s="159"/>
      <c r="F328" s="159"/>
      <c r="G328" s="159"/>
      <c r="H328" s="159"/>
      <c r="I328" s="158"/>
      <c r="J328" s="158"/>
      <c r="K328" s="159"/>
      <c r="L328" s="160"/>
      <c r="M328" s="159"/>
      <c r="N328" s="159"/>
      <c r="O328" s="161"/>
      <c r="P328" s="162" t="str">
        <f t="shared" si="143"/>
        <v/>
      </c>
      <c r="Q328" s="163" t="str">
        <f t="shared" si="144"/>
        <v/>
      </c>
      <c r="R328" s="164">
        <f t="shared" si="145"/>
        <v>0</v>
      </c>
      <c r="S328" s="165">
        <f t="shared" si="136"/>
        <v>0</v>
      </c>
      <c r="T328" s="165">
        <f t="shared" si="137"/>
        <v>0</v>
      </c>
      <c r="U328" s="166">
        <f t="shared" si="138"/>
        <v>0</v>
      </c>
      <c r="V328" s="153" t="str">
        <f t="shared" si="146"/>
        <v/>
      </c>
      <c r="W328" s="153" t="str">
        <f t="shared" si="147"/>
        <v/>
      </c>
      <c r="X328" s="244"/>
      <c r="Y328" s="154">
        <f t="shared" si="139"/>
        <v>0</v>
      </c>
      <c r="Z328" s="154" t="str">
        <f t="shared" si="135"/>
        <v>1000</v>
      </c>
      <c r="AA328" s="153" t="str">
        <f t="shared" si="148"/>
        <v/>
      </c>
      <c r="AD328" s="155" t="str">
        <f t="shared" si="140"/>
        <v/>
      </c>
      <c r="AI328" s="155">
        <f t="array" ref="AI328">MATCH(MIN(IF($AK$501:$AK$525&gt;=IF(G328&gt;1499,E328+7,E328+5), $AK$501:$AK$525)), $AK$501:$AK$525, 0)</f>
        <v>5</v>
      </c>
      <c r="AK328" s="233"/>
      <c r="AL328" s="233"/>
      <c r="AM328" s="155" t="str">
        <f t="shared" si="149"/>
        <v/>
      </c>
      <c r="AN328" s="155" t="str">
        <f t="shared" si="150"/>
        <v/>
      </c>
      <c r="AX328" s="155" t="str">
        <f t="shared" si="151"/>
        <v/>
      </c>
    </row>
    <row r="329" spans="1:50" s="155" customFormat="1" ht="30" hidden="1" customHeight="1">
      <c r="A329" s="141" t="str">
        <f t="shared" si="141"/>
        <v/>
      </c>
      <c r="B329" s="141" t="str">
        <f t="shared" si="142"/>
        <v/>
      </c>
      <c r="C329" s="157" t="str">
        <f>IF(D329="","",
    IF(ISERR(SEARCH("_",D329)),
        IFERROR(_xlfn.AGGREGATE(14,6,$C$12:C328,1),0)+1,
        IFERROR(
            VALUE(TRIM(MID(SUBSTITUTE(D329,"_",REPT(" ",LEN(D329))), (LEN(D329)-LEN(SUBSTITUTE(D329,"_",""))-1)*LEN(D329)+1, LEN(D329))))
            &amp; "." &amp;
            VALUE(TRIM(RIGHT(SUBSTITUTE(D329,"_",REPT(" ",LEN(D329))),LEN(D329)))),
            "")))</f>
        <v/>
      </c>
      <c r="D329" s="158"/>
      <c r="E329" s="159"/>
      <c r="F329" s="159"/>
      <c r="G329" s="159"/>
      <c r="H329" s="159"/>
      <c r="I329" s="158"/>
      <c r="J329" s="158"/>
      <c r="K329" s="159"/>
      <c r="L329" s="160"/>
      <c r="M329" s="159"/>
      <c r="N329" s="159"/>
      <c r="O329" s="161"/>
      <c r="P329" s="162" t="str">
        <f t="shared" si="143"/>
        <v/>
      </c>
      <c r="Q329" s="163" t="str">
        <f t="shared" si="144"/>
        <v/>
      </c>
      <c r="R329" s="164">
        <f t="shared" si="145"/>
        <v>0</v>
      </c>
      <c r="S329" s="165">
        <f t="shared" si="136"/>
        <v>0</v>
      </c>
      <c r="T329" s="165">
        <f t="shared" si="137"/>
        <v>0</v>
      </c>
      <c r="U329" s="166">
        <f t="shared" si="138"/>
        <v>0</v>
      </c>
      <c r="V329" s="153" t="str">
        <f t="shared" si="146"/>
        <v/>
      </c>
      <c r="W329" s="153" t="str">
        <f t="shared" si="147"/>
        <v/>
      </c>
      <c r="X329" s="244"/>
      <c r="Y329" s="154">
        <f t="shared" si="139"/>
        <v>0</v>
      </c>
      <c r="Z329" s="154" t="str">
        <f t="shared" si="135"/>
        <v>1000</v>
      </c>
      <c r="AA329" s="153" t="str">
        <f t="shared" si="148"/>
        <v/>
      </c>
      <c r="AD329" s="155" t="str">
        <f t="shared" si="140"/>
        <v/>
      </c>
      <c r="AI329" s="155">
        <f t="array" ref="AI329">MATCH(MIN(IF($AK$501:$AK$525&gt;=IF(G329&gt;1499,E329+7,E329+5), $AK$501:$AK$525)), $AK$501:$AK$525, 0)</f>
        <v>5</v>
      </c>
      <c r="AK329" s="233"/>
      <c r="AL329" s="233"/>
      <c r="AM329" s="155" t="str">
        <f t="shared" si="149"/>
        <v/>
      </c>
      <c r="AN329" s="155" t="str">
        <f t="shared" si="150"/>
        <v/>
      </c>
      <c r="AX329" s="155" t="str">
        <f t="shared" si="151"/>
        <v/>
      </c>
    </row>
    <row r="330" spans="1:50" s="155" customFormat="1" ht="30" hidden="1" customHeight="1">
      <c r="A330" s="141" t="str">
        <f t="shared" si="141"/>
        <v/>
      </c>
      <c r="B330" s="141" t="str">
        <f t="shared" si="142"/>
        <v/>
      </c>
      <c r="C330" s="157" t="str">
        <f>IF(D330="","",
    IF(ISERR(SEARCH("_",D330)),
        IFERROR(_xlfn.AGGREGATE(14,6,$C$12:C329,1),0)+1,
        IFERROR(
            VALUE(TRIM(MID(SUBSTITUTE(D330,"_",REPT(" ",LEN(D330))), (LEN(D330)-LEN(SUBSTITUTE(D330,"_",""))-1)*LEN(D330)+1, LEN(D330))))
            &amp; "." &amp;
            VALUE(TRIM(RIGHT(SUBSTITUTE(D330,"_",REPT(" ",LEN(D330))),LEN(D330)))),
            "")))</f>
        <v/>
      </c>
      <c r="D330" s="158"/>
      <c r="E330" s="159"/>
      <c r="F330" s="159"/>
      <c r="G330" s="159"/>
      <c r="H330" s="159"/>
      <c r="I330" s="158"/>
      <c r="J330" s="158"/>
      <c r="K330" s="159"/>
      <c r="L330" s="160"/>
      <c r="M330" s="159"/>
      <c r="N330" s="159"/>
      <c r="O330" s="161"/>
      <c r="P330" s="162" t="str">
        <f t="shared" si="143"/>
        <v/>
      </c>
      <c r="Q330" s="163" t="str">
        <f t="shared" si="144"/>
        <v/>
      </c>
      <c r="R330" s="164">
        <f t="shared" si="145"/>
        <v>0</v>
      </c>
      <c r="S330" s="165">
        <f t="shared" si="136"/>
        <v>0</v>
      </c>
      <c r="T330" s="165">
        <f t="shared" si="137"/>
        <v>0</v>
      </c>
      <c r="U330" s="166">
        <f t="shared" si="138"/>
        <v>0</v>
      </c>
      <c r="V330" s="153" t="str">
        <f t="shared" si="146"/>
        <v/>
      </c>
      <c r="W330" s="153" t="str">
        <f t="shared" si="147"/>
        <v/>
      </c>
      <c r="X330" s="244"/>
      <c r="Y330" s="154">
        <f t="shared" si="139"/>
        <v>0</v>
      </c>
      <c r="Z330" s="154" t="str">
        <f t="shared" si="135"/>
        <v>1000</v>
      </c>
      <c r="AA330" s="153" t="str">
        <f t="shared" si="148"/>
        <v/>
      </c>
      <c r="AD330" s="155" t="str">
        <f t="shared" si="140"/>
        <v/>
      </c>
      <c r="AI330" s="155">
        <f t="array" ref="AI330">MATCH(MIN(IF($AK$501:$AK$525&gt;=IF(G330&gt;1499,E330+7,E330+5), $AK$501:$AK$525)), $AK$501:$AK$525, 0)</f>
        <v>5</v>
      </c>
      <c r="AK330" s="233"/>
      <c r="AL330" s="233"/>
      <c r="AM330" s="155" t="str">
        <f t="shared" si="149"/>
        <v/>
      </c>
      <c r="AN330" s="155" t="str">
        <f t="shared" si="150"/>
        <v/>
      </c>
      <c r="AX330" s="155" t="str">
        <f t="shared" si="151"/>
        <v/>
      </c>
    </row>
    <row r="331" spans="1:50" s="155" customFormat="1" ht="30" hidden="1" customHeight="1">
      <c r="A331" s="141" t="str">
        <f t="shared" si="141"/>
        <v/>
      </c>
      <c r="B331" s="141" t="str">
        <f t="shared" si="142"/>
        <v/>
      </c>
      <c r="C331" s="157" t="str">
        <f>IF(D331="","",
    IF(ISERR(SEARCH("_",D331)),
        IFERROR(_xlfn.AGGREGATE(14,6,$C$12:C330,1),0)+1,
        IFERROR(
            VALUE(TRIM(MID(SUBSTITUTE(D331,"_",REPT(" ",LEN(D331))), (LEN(D331)-LEN(SUBSTITUTE(D331,"_",""))-1)*LEN(D331)+1, LEN(D331))))
            &amp; "." &amp;
            VALUE(TRIM(RIGHT(SUBSTITUTE(D331,"_",REPT(" ",LEN(D331))),LEN(D331)))),
            "")))</f>
        <v/>
      </c>
      <c r="D331" s="158"/>
      <c r="E331" s="159"/>
      <c r="F331" s="159"/>
      <c r="G331" s="159"/>
      <c r="H331" s="159"/>
      <c r="I331" s="158"/>
      <c r="J331" s="158"/>
      <c r="K331" s="159"/>
      <c r="L331" s="160"/>
      <c r="M331" s="159"/>
      <c r="N331" s="159"/>
      <c r="O331" s="161"/>
      <c r="P331" s="162" t="str">
        <f t="shared" si="143"/>
        <v/>
      </c>
      <c r="Q331" s="163" t="str">
        <f t="shared" si="144"/>
        <v/>
      </c>
      <c r="R331" s="164">
        <f t="shared" si="145"/>
        <v>0</v>
      </c>
      <c r="S331" s="165">
        <f t="shared" si="136"/>
        <v>0</v>
      </c>
      <c r="T331" s="165">
        <f t="shared" si="137"/>
        <v>0</v>
      </c>
      <c r="U331" s="166">
        <f t="shared" si="138"/>
        <v>0</v>
      </c>
      <c r="V331" s="153" t="str">
        <f t="shared" si="146"/>
        <v/>
      </c>
      <c r="W331" s="153" t="str">
        <f t="shared" si="147"/>
        <v/>
      </c>
      <c r="X331" s="244"/>
      <c r="Y331" s="154">
        <f t="shared" si="139"/>
        <v>0</v>
      </c>
      <c r="Z331" s="154" t="str">
        <f t="shared" si="135"/>
        <v>1000</v>
      </c>
      <c r="AA331" s="153" t="str">
        <f t="shared" si="148"/>
        <v/>
      </c>
      <c r="AD331" s="155" t="str">
        <f t="shared" si="140"/>
        <v/>
      </c>
      <c r="AI331" s="155">
        <f t="array" ref="AI331">MATCH(MIN(IF($AK$501:$AK$525&gt;=IF(G331&gt;1499,E331+7,E331+5), $AK$501:$AK$525)), $AK$501:$AK$525, 0)</f>
        <v>5</v>
      </c>
      <c r="AK331" s="233"/>
      <c r="AL331" s="233"/>
      <c r="AM331" s="155" t="str">
        <f t="shared" si="149"/>
        <v/>
      </c>
      <c r="AN331" s="155" t="str">
        <f t="shared" si="150"/>
        <v/>
      </c>
      <c r="AX331" s="155" t="str">
        <f t="shared" si="151"/>
        <v/>
      </c>
    </row>
    <row r="332" spans="1:50" s="155" customFormat="1" ht="30" hidden="1" customHeight="1">
      <c r="A332" s="141" t="str">
        <f t="shared" si="141"/>
        <v/>
      </c>
      <c r="B332" s="141" t="str">
        <f t="shared" si="142"/>
        <v/>
      </c>
      <c r="C332" s="157" t="str">
        <f>IF(D332="","",
    IF(ISERR(SEARCH("_",D332)),
        IFERROR(_xlfn.AGGREGATE(14,6,$C$12:C331,1),0)+1,
        IFERROR(
            VALUE(TRIM(MID(SUBSTITUTE(D332,"_",REPT(" ",LEN(D332))), (LEN(D332)-LEN(SUBSTITUTE(D332,"_",""))-1)*LEN(D332)+1, LEN(D332))))
            &amp; "." &amp;
            VALUE(TRIM(RIGHT(SUBSTITUTE(D332,"_",REPT(" ",LEN(D332))),LEN(D332)))),
            "")))</f>
        <v/>
      </c>
      <c r="D332" s="158"/>
      <c r="E332" s="159"/>
      <c r="F332" s="159"/>
      <c r="G332" s="159"/>
      <c r="H332" s="159"/>
      <c r="I332" s="158"/>
      <c r="J332" s="158"/>
      <c r="K332" s="159"/>
      <c r="L332" s="160"/>
      <c r="M332" s="159"/>
      <c r="N332" s="159"/>
      <c r="O332" s="161"/>
      <c r="P332" s="162" t="str">
        <f t="shared" si="143"/>
        <v/>
      </c>
      <c r="Q332" s="163" t="str">
        <f t="shared" si="144"/>
        <v/>
      </c>
      <c r="R332" s="164">
        <f t="shared" si="145"/>
        <v>0</v>
      </c>
      <c r="S332" s="165">
        <f t="shared" si="136"/>
        <v>0</v>
      </c>
      <c r="T332" s="165">
        <f t="shared" si="137"/>
        <v>0</v>
      </c>
      <c r="U332" s="166">
        <f t="shared" si="138"/>
        <v>0</v>
      </c>
      <c r="V332" s="153" t="str">
        <f t="shared" si="146"/>
        <v/>
      </c>
      <c r="W332" s="153" t="str">
        <f t="shared" si="147"/>
        <v/>
      </c>
      <c r="X332" s="244"/>
      <c r="Y332" s="154">
        <f t="shared" si="139"/>
        <v>0</v>
      </c>
      <c r="Z332" s="154" t="str">
        <f t="shared" si="135"/>
        <v>1000</v>
      </c>
      <c r="AA332" s="153" t="str">
        <f t="shared" si="148"/>
        <v/>
      </c>
      <c r="AD332" s="155" t="str">
        <f t="shared" si="140"/>
        <v/>
      </c>
      <c r="AI332" s="155">
        <f t="array" ref="AI332">MATCH(MIN(IF($AK$501:$AK$525&gt;=IF(G332&gt;1499,E332+7,E332+5), $AK$501:$AK$525)), $AK$501:$AK$525, 0)</f>
        <v>5</v>
      </c>
      <c r="AK332" s="233"/>
      <c r="AL332" s="233"/>
      <c r="AM332" s="155" t="str">
        <f t="shared" si="149"/>
        <v/>
      </c>
      <c r="AN332" s="155" t="str">
        <f t="shared" si="150"/>
        <v/>
      </c>
      <c r="AX332" s="155" t="str">
        <f t="shared" si="151"/>
        <v/>
      </c>
    </row>
    <row r="333" spans="1:50" s="155" customFormat="1" ht="30" hidden="1" customHeight="1">
      <c r="A333" s="141" t="str">
        <f t="shared" si="141"/>
        <v/>
      </c>
      <c r="B333" s="141" t="str">
        <f t="shared" si="142"/>
        <v/>
      </c>
      <c r="C333" s="157" t="str">
        <f>IF(D333="","",
    IF(ISERR(SEARCH("_",D333)),
        IFERROR(_xlfn.AGGREGATE(14,6,$C$12:C332,1),0)+1,
        IFERROR(
            VALUE(TRIM(MID(SUBSTITUTE(D333,"_",REPT(" ",LEN(D333))), (LEN(D333)-LEN(SUBSTITUTE(D333,"_",""))-1)*LEN(D333)+1, LEN(D333))))
            &amp; "." &amp;
            VALUE(TRIM(RIGHT(SUBSTITUTE(D333,"_",REPT(" ",LEN(D333))),LEN(D333)))),
            "")))</f>
        <v/>
      </c>
      <c r="D333" s="158"/>
      <c r="E333" s="159"/>
      <c r="F333" s="159"/>
      <c r="G333" s="159"/>
      <c r="H333" s="159"/>
      <c r="I333" s="158"/>
      <c r="J333" s="158"/>
      <c r="K333" s="159"/>
      <c r="L333" s="160"/>
      <c r="M333" s="159"/>
      <c r="N333" s="159"/>
      <c r="O333" s="161"/>
      <c r="P333" s="162" t="str">
        <f t="shared" si="143"/>
        <v/>
      </c>
      <c r="Q333" s="163" t="str">
        <f t="shared" si="144"/>
        <v/>
      </c>
      <c r="R333" s="164">
        <f t="shared" si="145"/>
        <v>0</v>
      </c>
      <c r="S333" s="165">
        <f t="shared" si="136"/>
        <v>0</v>
      </c>
      <c r="T333" s="165">
        <f t="shared" si="137"/>
        <v>0</v>
      </c>
      <c r="U333" s="166">
        <f t="shared" si="138"/>
        <v>0</v>
      </c>
      <c r="V333" s="153" t="str">
        <f t="shared" si="146"/>
        <v/>
      </c>
      <c r="W333" s="153" t="str">
        <f t="shared" si="147"/>
        <v/>
      </c>
      <c r="X333" s="244"/>
      <c r="Y333" s="154">
        <f t="shared" si="139"/>
        <v>0</v>
      </c>
      <c r="Z333" s="154" t="str">
        <f t="shared" ref="Z333:Z396" si="152">IFERROR(FIND(".",$C334),"1000")</f>
        <v>1000</v>
      </c>
      <c r="AA333" s="153" t="str">
        <f t="shared" si="148"/>
        <v/>
      </c>
      <c r="AD333" s="155" t="str">
        <f t="shared" si="140"/>
        <v/>
      </c>
      <c r="AI333" s="155">
        <f t="array" ref="AI333">MATCH(MIN(IF($AK$501:$AK$525&gt;=IF(G333&gt;1499,E333+7,E333+5), $AK$501:$AK$525)), $AK$501:$AK$525, 0)</f>
        <v>5</v>
      </c>
      <c r="AK333" s="233"/>
      <c r="AL333" s="233"/>
      <c r="AM333" s="155" t="str">
        <f t="shared" si="149"/>
        <v/>
      </c>
      <c r="AN333" s="155" t="str">
        <f t="shared" si="150"/>
        <v/>
      </c>
      <c r="AX333" s="155" t="str">
        <f t="shared" si="151"/>
        <v/>
      </c>
    </row>
    <row r="334" spans="1:50" s="155" customFormat="1" ht="30" hidden="1" customHeight="1">
      <c r="A334" s="141" t="str">
        <f t="shared" si="141"/>
        <v/>
      </c>
      <c r="B334" s="141" t="str">
        <f t="shared" si="142"/>
        <v/>
      </c>
      <c r="C334" s="157" t="str">
        <f>IF(D334="","",
    IF(ISERR(SEARCH("_",D334)),
        IFERROR(_xlfn.AGGREGATE(14,6,$C$12:C333,1),0)+1,
        IFERROR(
            VALUE(TRIM(MID(SUBSTITUTE(D334,"_",REPT(" ",LEN(D334))), (LEN(D334)-LEN(SUBSTITUTE(D334,"_",""))-1)*LEN(D334)+1, LEN(D334))))
            &amp; "." &amp;
            VALUE(TRIM(RIGHT(SUBSTITUTE(D334,"_",REPT(" ",LEN(D334))),LEN(D334)))),
            "")))</f>
        <v/>
      </c>
      <c r="D334" s="158"/>
      <c r="E334" s="159"/>
      <c r="F334" s="159"/>
      <c r="G334" s="159"/>
      <c r="H334" s="159"/>
      <c r="I334" s="158"/>
      <c r="J334" s="158"/>
      <c r="K334" s="159"/>
      <c r="L334" s="160"/>
      <c r="M334" s="159"/>
      <c r="N334" s="159"/>
      <c r="O334" s="161"/>
      <c r="P334" s="162" t="str">
        <f t="shared" si="143"/>
        <v/>
      </c>
      <c r="Q334" s="163" t="str">
        <f t="shared" si="144"/>
        <v/>
      </c>
      <c r="R334" s="164">
        <f t="shared" si="145"/>
        <v>0</v>
      </c>
      <c r="S334" s="165">
        <f t="shared" ref="S334:S397" si="153">IF(ISERR(SEARCH("2d",K334)),IF(ISERR(SEARCH("1d",K334)),0,1),2)*($G334+40)*$H334/10^3+IF(ISERR(SEARCH("2r",K334)),IF(ISERR(SEARCH("1r",K334)),0,1),2)*($F334+40)*$H334/10^3</f>
        <v>0</v>
      </c>
      <c r="T334" s="165">
        <f t="shared" ref="T334:T397" si="154">IF(ISERR(SEARCH("2m",M334)),IF(ISERR(SEARCH("1m",M334)),0,1),2)*$G334*$F334*$H334/10^6+IF(ISERR(SEARCH("2d",M334)),IF(ISERR(SEARCH("1d",M334)),0,1),2)*$G334*$E334*$H334/10^6+IF(ISERR(SEARCH("2r",M334)),IF(ISERR(SEARCH("1r",M334)),0,1),2)*$F334*$E334*$H334/10^6</f>
        <v>0</v>
      </c>
      <c r="U334" s="166">
        <f t="shared" ref="U334:U397" si="155">IF(ISERR(SEARCH("2m",N334)),IF(ISERR(SEARCH("1m",N334)),0,1),2)*$G334*$F334*$H334/10^6+IF(ISERR(SEARCH("2d",N334)),IF(ISERR(SEARCH("1d",N334)),0,1),2)*$G334*$E334*$H334/10^6+IF(ISERR(SEARCH("2r",N334)),IF(ISERR(SEARCH("1r",N334)),0,1),2)*$F334*$E334*$H334/10^6</f>
        <v>0</v>
      </c>
      <c r="V334" s="153" t="str">
        <f t="shared" si="146"/>
        <v/>
      </c>
      <c r="W334" s="153" t="str">
        <f t="shared" si="147"/>
        <v/>
      </c>
      <c r="X334" s="244"/>
      <c r="Y334" s="154">
        <f t="shared" ref="Y334:Y397" si="156">IFERROR((E334*F334*G334*H334*10^-9)*750,"")</f>
        <v>0</v>
      </c>
      <c r="Z334" s="154" t="str">
        <f t="shared" si="152"/>
        <v>1000</v>
      </c>
      <c r="AA334" s="153" t="str">
        <f t="shared" si="148"/>
        <v/>
      </c>
      <c r="AD334" s="155" t="str">
        <f t="shared" ref="AD334:AD397" si="157">IF(OR(I334="_",LEFT(I334,4)="KTHT"),"",IF(C334="","",1))</f>
        <v/>
      </c>
      <c r="AI334" s="155">
        <f t="array" ref="AI334">MATCH(MIN(IF($AK$501:$AK$525&gt;=IF(G334&gt;1499,E334+7,E334+5), $AK$501:$AK$525)), $AK$501:$AK$525, 0)</f>
        <v>5</v>
      </c>
      <c r="AK334" s="233"/>
      <c r="AL334" s="233"/>
      <c r="AM334" s="155" t="str">
        <f t="shared" si="149"/>
        <v/>
      </c>
      <c r="AN334" s="155" t="str">
        <f t="shared" si="150"/>
        <v/>
      </c>
      <c r="AX334" s="155" t="str">
        <f t="shared" si="151"/>
        <v/>
      </c>
    </row>
    <row r="335" spans="1:50" s="155" customFormat="1" ht="30" hidden="1" customHeight="1">
      <c r="A335" s="141" t="str">
        <f t="shared" si="141"/>
        <v/>
      </c>
      <c r="B335" s="141" t="str">
        <f t="shared" si="142"/>
        <v/>
      </c>
      <c r="C335" s="157" t="str">
        <f>IF(D335="","",
    IF(ISERR(SEARCH("_",D335)),
        IFERROR(_xlfn.AGGREGATE(14,6,$C$12:C334,1),0)+1,
        IFERROR(
            VALUE(TRIM(MID(SUBSTITUTE(D335,"_",REPT(" ",LEN(D335))), (LEN(D335)-LEN(SUBSTITUTE(D335,"_",""))-1)*LEN(D335)+1, LEN(D335))))
            &amp; "." &amp;
            VALUE(TRIM(RIGHT(SUBSTITUTE(D335,"_",REPT(" ",LEN(D335))),LEN(D335)))),
            "")))</f>
        <v/>
      </c>
      <c r="D335" s="158"/>
      <c r="E335" s="159"/>
      <c r="F335" s="159"/>
      <c r="G335" s="159"/>
      <c r="H335" s="159"/>
      <c r="I335" s="158"/>
      <c r="J335" s="158"/>
      <c r="K335" s="159"/>
      <c r="L335" s="160"/>
      <c r="M335" s="159"/>
      <c r="N335" s="159"/>
      <c r="O335" s="161"/>
      <c r="P335" s="162" t="str">
        <f t="shared" si="143"/>
        <v/>
      </c>
      <c r="Q335" s="163" t="str">
        <f t="shared" si="144"/>
        <v/>
      </c>
      <c r="R335" s="164">
        <f t="shared" si="145"/>
        <v>0</v>
      </c>
      <c r="S335" s="165">
        <f t="shared" si="153"/>
        <v>0</v>
      </c>
      <c r="T335" s="165">
        <f t="shared" si="154"/>
        <v>0</v>
      </c>
      <c r="U335" s="166">
        <f t="shared" si="155"/>
        <v>0</v>
      </c>
      <c r="V335" s="153" t="str">
        <f t="shared" si="146"/>
        <v/>
      </c>
      <c r="W335" s="153" t="str">
        <f t="shared" si="147"/>
        <v/>
      </c>
      <c r="X335" s="244"/>
      <c r="Y335" s="154">
        <f t="shared" si="156"/>
        <v>0</v>
      </c>
      <c r="Z335" s="154" t="str">
        <f t="shared" si="152"/>
        <v>1000</v>
      </c>
      <c r="AA335" s="153" t="str">
        <f t="shared" si="148"/>
        <v/>
      </c>
      <c r="AD335" s="155" t="str">
        <f t="shared" si="157"/>
        <v/>
      </c>
      <c r="AI335" s="155">
        <f t="array" ref="AI335">MATCH(MIN(IF($AK$501:$AK$525&gt;=IF(G335&gt;1499,E335+7,E335+5), $AK$501:$AK$525)), $AK$501:$AK$525, 0)</f>
        <v>5</v>
      </c>
      <c r="AK335" s="233"/>
      <c r="AL335" s="233"/>
      <c r="AM335" s="155" t="str">
        <f t="shared" si="149"/>
        <v/>
      </c>
      <c r="AN335" s="155" t="str">
        <f t="shared" si="150"/>
        <v/>
      </c>
      <c r="AX335" s="155" t="str">
        <f t="shared" si="151"/>
        <v/>
      </c>
    </row>
    <row r="336" spans="1:50" s="155" customFormat="1" ht="30" hidden="1" customHeight="1">
      <c r="A336" s="141" t="str">
        <f t="shared" ref="A336:A399" si="158">IF(W336="IN",$E$6,"")</f>
        <v/>
      </c>
      <c r="B336" s="141" t="str">
        <f t="shared" ref="B336:B399" si="159">IF(W336="IN","Muc "&amp;$E$7,"")</f>
        <v/>
      </c>
      <c r="C336" s="157" t="str">
        <f>IF(D336="","",
    IF(ISERR(SEARCH("_",D336)),
        IFERROR(_xlfn.AGGREGATE(14,6,$C$12:C335,1),0)+1,
        IFERROR(
            VALUE(TRIM(MID(SUBSTITUTE(D336,"_",REPT(" ",LEN(D336))), (LEN(D336)-LEN(SUBSTITUTE(D336,"_",""))-1)*LEN(D336)+1, LEN(D336))))
            &amp; "." &amp;
            VALUE(TRIM(RIGHT(SUBSTITUTE(D336,"_",REPT(" ",LEN(D336))),LEN(D336)))),
            "")))</f>
        <v/>
      </c>
      <c r="D336" s="158"/>
      <c r="E336" s="159"/>
      <c r="F336" s="159"/>
      <c r="G336" s="159"/>
      <c r="H336" s="159"/>
      <c r="I336" s="158"/>
      <c r="J336" s="158"/>
      <c r="K336" s="159"/>
      <c r="L336" s="160"/>
      <c r="M336" s="159"/>
      <c r="N336" s="159"/>
      <c r="O336" s="161"/>
      <c r="P336" s="162" t="str">
        <f t="shared" ref="P336:P399" si="160">IF(AND(LEFT(I336,2)="gỗ",M336&lt;&gt;""),IF(LEFT(RIGHT(IF(E336="","",INDEX($AL$501:$AL$525,VALUE(AI336),1)),3),2)="/4",AM336,AN336)&amp;" "&amp;IF(E336="","",INDEX($AL$501:$AL$525,VALUE(AI336),1)),IF(AND(LEFT(I336,2)="gỗ",M336=""),"loại BC"&amp;" "&amp;IF(E336="","",INDEX($AL$501:$AL$525,VALUE(AI336),1)),""))</f>
        <v/>
      </c>
      <c r="Q336" s="163" t="str">
        <f t="shared" ref="Q336:Q399" si="161">IF(I336="","",IF(LEFT(I336,2)="gỗ","m3","Tấm"))</f>
        <v/>
      </c>
      <c r="R336" s="164">
        <f t="shared" ref="R336:R399" si="162">IF(OR(Q336="Con",Q336="Cụm",Q336="Hệ",Q336="Thanh"),H336,IF(Q336="Tấm",(F336*G336*H336)/(1220*2440),IF(Q336="Md",G336*H336/1000,IF(Q336="M2",F336*G336*H336/10^6,IF(Q336="M3",E336*F336*G336*H336/10^9,0)))))</f>
        <v>0</v>
      </c>
      <c r="S336" s="165">
        <f t="shared" si="153"/>
        <v>0</v>
      </c>
      <c r="T336" s="165">
        <f t="shared" si="154"/>
        <v>0</v>
      </c>
      <c r="U336" s="166">
        <f t="shared" si="155"/>
        <v>0</v>
      </c>
      <c r="V336" s="153" t="str">
        <f t="shared" ref="V336:V399" si="163">IF(W336="IN",$Y$3,"")</f>
        <v/>
      </c>
      <c r="W336" s="153" t="str">
        <f t="shared" ref="W336:W399" si="164">IF(OR(C336&lt;&gt;"",D336&lt;&gt;""),"IN","")</f>
        <v/>
      </c>
      <c r="X336" s="244"/>
      <c r="Y336" s="154">
        <f t="shared" si="156"/>
        <v>0</v>
      </c>
      <c r="Z336" s="154" t="str">
        <f t="shared" si="152"/>
        <v>1000</v>
      </c>
      <c r="AA336" s="153" t="str">
        <f t="shared" ref="AA336:AA399" si="165">IFERROR(MATCH(J336,$J$13:$J$482,0)&amp;",","")</f>
        <v/>
      </c>
      <c r="AD336" s="155" t="str">
        <f t="shared" si="157"/>
        <v/>
      </c>
      <c r="AI336" s="155">
        <f t="array" ref="AI336">MATCH(MIN(IF($AK$501:$AK$525&gt;=IF(G336&gt;1499,E336+7,E336+5), $AK$501:$AK$525)), $AK$501:$AK$525, 0)</f>
        <v>5</v>
      </c>
      <c r="AK336" s="233"/>
      <c r="AL336" s="233"/>
      <c r="AM336" s="155" t="str">
        <f t="shared" ref="AM336:AM399" si="166">IF(M336="","",IF(F336&gt;99,"FAS",IF(LEFT(I336,2)="Gỗ",IF(LEFT(M336,4)="2M2D","loại 1common",IF(AND(G336&gt;1699,LEFT(M336,4)&lt;&gt;"2M2D"),"loại 1common","loại 2common")),"")))</f>
        <v/>
      </c>
      <c r="AN336" s="155" t="str">
        <f t="shared" ref="AN336:AN399" si="167">IF(AM336="","",IF(AM336="loại 1common","loại A",IF(AM336="loại 2common","loại AB","loại FAS")))</f>
        <v/>
      </c>
      <c r="AX336" s="155" t="str">
        <f t="shared" ref="AX336:AX399" si="168">W336</f>
        <v/>
      </c>
    </row>
    <row r="337" spans="1:50" s="155" customFormat="1" ht="30" hidden="1" customHeight="1">
      <c r="A337" s="141" t="str">
        <f t="shared" si="158"/>
        <v/>
      </c>
      <c r="B337" s="141" t="str">
        <f t="shared" si="159"/>
        <v/>
      </c>
      <c r="C337" s="157" t="str">
        <f>IF(D337="","",
    IF(ISERR(SEARCH("_",D337)),
        IFERROR(_xlfn.AGGREGATE(14,6,$C$12:C336,1),0)+1,
        IFERROR(
            VALUE(TRIM(MID(SUBSTITUTE(D337,"_",REPT(" ",LEN(D337))), (LEN(D337)-LEN(SUBSTITUTE(D337,"_",""))-1)*LEN(D337)+1, LEN(D337))))
            &amp; "." &amp;
            VALUE(TRIM(RIGHT(SUBSTITUTE(D337,"_",REPT(" ",LEN(D337))),LEN(D337)))),
            "")))</f>
        <v/>
      </c>
      <c r="D337" s="158"/>
      <c r="E337" s="159"/>
      <c r="F337" s="159"/>
      <c r="G337" s="159"/>
      <c r="H337" s="159"/>
      <c r="I337" s="158"/>
      <c r="J337" s="158"/>
      <c r="K337" s="159"/>
      <c r="L337" s="160"/>
      <c r="M337" s="159"/>
      <c r="N337" s="159"/>
      <c r="O337" s="161"/>
      <c r="P337" s="162" t="str">
        <f t="shared" si="160"/>
        <v/>
      </c>
      <c r="Q337" s="163" t="str">
        <f t="shared" si="161"/>
        <v/>
      </c>
      <c r="R337" s="164">
        <f t="shared" si="162"/>
        <v>0</v>
      </c>
      <c r="S337" s="165">
        <f t="shared" si="153"/>
        <v>0</v>
      </c>
      <c r="T337" s="165">
        <f t="shared" si="154"/>
        <v>0</v>
      </c>
      <c r="U337" s="166">
        <f t="shared" si="155"/>
        <v>0</v>
      </c>
      <c r="V337" s="153" t="str">
        <f t="shared" si="163"/>
        <v/>
      </c>
      <c r="W337" s="153" t="str">
        <f t="shared" si="164"/>
        <v/>
      </c>
      <c r="X337" s="244"/>
      <c r="Y337" s="154">
        <f t="shared" si="156"/>
        <v>0</v>
      </c>
      <c r="Z337" s="154" t="str">
        <f t="shared" si="152"/>
        <v>1000</v>
      </c>
      <c r="AA337" s="153" t="str">
        <f t="shared" si="165"/>
        <v/>
      </c>
      <c r="AD337" s="155" t="str">
        <f t="shared" si="157"/>
        <v/>
      </c>
      <c r="AI337" s="155">
        <f t="array" ref="AI337">MATCH(MIN(IF($AK$501:$AK$525&gt;=IF(G337&gt;1499,E337+7,E337+5), $AK$501:$AK$525)), $AK$501:$AK$525, 0)</f>
        <v>5</v>
      </c>
      <c r="AK337" s="233"/>
      <c r="AL337" s="233"/>
      <c r="AM337" s="155" t="str">
        <f t="shared" si="166"/>
        <v/>
      </c>
      <c r="AN337" s="155" t="str">
        <f t="shared" si="167"/>
        <v/>
      </c>
      <c r="AX337" s="155" t="str">
        <f t="shared" si="168"/>
        <v/>
      </c>
    </row>
    <row r="338" spans="1:50" s="155" customFormat="1" ht="30" hidden="1" customHeight="1">
      <c r="A338" s="141" t="str">
        <f t="shared" si="158"/>
        <v/>
      </c>
      <c r="B338" s="141" t="str">
        <f t="shared" si="159"/>
        <v/>
      </c>
      <c r="C338" s="157" t="str">
        <f>IF(D338="","",
    IF(ISERR(SEARCH("_",D338)),
        IFERROR(_xlfn.AGGREGATE(14,6,$C$12:C337,1),0)+1,
        IFERROR(
            VALUE(TRIM(MID(SUBSTITUTE(D338,"_",REPT(" ",LEN(D338))), (LEN(D338)-LEN(SUBSTITUTE(D338,"_",""))-1)*LEN(D338)+1, LEN(D338))))
            &amp; "." &amp;
            VALUE(TRIM(RIGHT(SUBSTITUTE(D338,"_",REPT(" ",LEN(D338))),LEN(D338)))),
            "")))</f>
        <v/>
      </c>
      <c r="D338" s="158"/>
      <c r="E338" s="159"/>
      <c r="F338" s="159"/>
      <c r="G338" s="159"/>
      <c r="H338" s="159"/>
      <c r="I338" s="158"/>
      <c r="J338" s="158"/>
      <c r="K338" s="159"/>
      <c r="L338" s="160"/>
      <c r="M338" s="159"/>
      <c r="N338" s="159"/>
      <c r="O338" s="161"/>
      <c r="P338" s="162" t="str">
        <f t="shared" si="160"/>
        <v/>
      </c>
      <c r="Q338" s="163" t="str">
        <f t="shared" si="161"/>
        <v/>
      </c>
      <c r="R338" s="164">
        <f t="shared" si="162"/>
        <v>0</v>
      </c>
      <c r="S338" s="165">
        <f t="shared" si="153"/>
        <v>0</v>
      </c>
      <c r="T338" s="165">
        <f t="shared" si="154"/>
        <v>0</v>
      </c>
      <c r="U338" s="166">
        <f t="shared" si="155"/>
        <v>0</v>
      </c>
      <c r="V338" s="153" t="str">
        <f t="shared" si="163"/>
        <v/>
      </c>
      <c r="W338" s="153" t="str">
        <f t="shared" si="164"/>
        <v/>
      </c>
      <c r="X338" s="244"/>
      <c r="Y338" s="154">
        <f t="shared" si="156"/>
        <v>0</v>
      </c>
      <c r="Z338" s="154" t="str">
        <f t="shared" si="152"/>
        <v>1000</v>
      </c>
      <c r="AA338" s="153" t="str">
        <f t="shared" si="165"/>
        <v/>
      </c>
      <c r="AD338" s="155" t="str">
        <f t="shared" si="157"/>
        <v/>
      </c>
      <c r="AI338" s="155">
        <f t="array" ref="AI338">MATCH(MIN(IF($AK$501:$AK$525&gt;=IF(G338&gt;1499,E338+7,E338+5), $AK$501:$AK$525)), $AK$501:$AK$525, 0)</f>
        <v>5</v>
      </c>
      <c r="AK338" s="233"/>
      <c r="AL338" s="233"/>
      <c r="AM338" s="155" t="str">
        <f t="shared" si="166"/>
        <v/>
      </c>
      <c r="AN338" s="155" t="str">
        <f t="shared" si="167"/>
        <v/>
      </c>
      <c r="AX338" s="155" t="str">
        <f t="shared" si="168"/>
        <v/>
      </c>
    </row>
    <row r="339" spans="1:50" s="155" customFormat="1" ht="30" hidden="1" customHeight="1">
      <c r="A339" s="141" t="str">
        <f t="shared" si="158"/>
        <v/>
      </c>
      <c r="B339" s="141" t="str">
        <f t="shared" si="159"/>
        <v/>
      </c>
      <c r="C339" s="157" t="str">
        <f>IF(D339="","",
    IF(ISERR(SEARCH("_",D339)),
        IFERROR(_xlfn.AGGREGATE(14,6,$C$12:C338,1),0)+1,
        IFERROR(
            VALUE(TRIM(MID(SUBSTITUTE(D339,"_",REPT(" ",LEN(D339))), (LEN(D339)-LEN(SUBSTITUTE(D339,"_",""))-1)*LEN(D339)+1, LEN(D339))))
            &amp; "." &amp;
            VALUE(TRIM(RIGHT(SUBSTITUTE(D339,"_",REPT(" ",LEN(D339))),LEN(D339)))),
            "")))</f>
        <v/>
      </c>
      <c r="D339" s="158"/>
      <c r="E339" s="159"/>
      <c r="F339" s="159"/>
      <c r="G339" s="159"/>
      <c r="H339" s="159"/>
      <c r="I339" s="158"/>
      <c r="J339" s="158"/>
      <c r="K339" s="159"/>
      <c r="L339" s="160"/>
      <c r="M339" s="159"/>
      <c r="N339" s="159"/>
      <c r="O339" s="161"/>
      <c r="P339" s="162" t="str">
        <f t="shared" si="160"/>
        <v/>
      </c>
      <c r="Q339" s="163" t="str">
        <f t="shared" si="161"/>
        <v/>
      </c>
      <c r="R339" s="164">
        <f t="shared" si="162"/>
        <v>0</v>
      </c>
      <c r="S339" s="165">
        <f t="shared" si="153"/>
        <v>0</v>
      </c>
      <c r="T339" s="165">
        <f t="shared" si="154"/>
        <v>0</v>
      </c>
      <c r="U339" s="166">
        <f t="shared" si="155"/>
        <v>0</v>
      </c>
      <c r="V339" s="153" t="str">
        <f t="shared" si="163"/>
        <v/>
      </c>
      <c r="W339" s="153" t="str">
        <f t="shared" si="164"/>
        <v/>
      </c>
      <c r="X339" s="244"/>
      <c r="Y339" s="154">
        <f t="shared" si="156"/>
        <v>0</v>
      </c>
      <c r="Z339" s="154" t="str">
        <f t="shared" si="152"/>
        <v>1000</v>
      </c>
      <c r="AA339" s="153" t="str">
        <f t="shared" si="165"/>
        <v/>
      </c>
      <c r="AD339" s="155" t="str">
        <f t="shared" si="157"/>
        <v/>
      </c>
      <c r="AI339" s="155">
        <f t="array" ref="AI339">MATCH(MIN(IF($AK$501:$AK$525&gt;=IF(G339&gt;1499,E339+7,E339+5), $AK$501:$AK$525)), $AK$501:$AK$525, 0)</f>
        <v>5</v>
      </c>
      <c r="AK339" s="233"/>
      <c r="AL339" s="233"/>
      <c r="AM339" s="155" t="str">
        <f t="shared" si="166"/>
        <v/>
      </c>
      <c r="AN339" s="155" t="str">
        <f t="shared" si="167"/>
        <v/>
      </c>
      <c r="AX339" s="155" t="str">
        <f t="shared" si="168"/>
        <v/>
      </c>
    </row>
    <row r="340" spans="1:50" s="155" customFormat="1" ht="30" hidden="1" customHeight="1">
      <c r="A340" s="141" t="str">
        <f t="shared" si="158"/>
        <v/>
      </c>
      <c r="B340" s="141" t="str">
        <f t="shared" si="159"/>
        <v/>
      </c>
      <c r="C340" s="157" t="str">
        <f>IF(D340="","",
    IF(ISERR(SEARCH("_",D340)),
        IFERROR(_xlfn.AGGREGATE(14,6,$C$12:C339,1),0)+1,
        IFERROR(
            VALUE(TRIM(MID(SUBSTITUTE(D340,"_",REPT(" ",LEN(D340))), (LEN(D340)-LEN(SUBSTITUTE(D340,"_",""))-1)*LEN(D340)+1, LEN(D340))))
            &amp; "." &amp;
            VALUE(TRIM(RIGHT(SUBSTITUTE(D340,"_",REPT(" ",LEN(D340))),LEN(D340)))),
            "")))</f>
        <v/>
      </c>
      <c r="D340" s="158"/>
      <c r="E340" s="159"/>
      <c r="F340" s="159"/>
      <c r="G340" s="159"/>
      <c r="H340" s="159"/>
      <c r="I340" s="158"/>
      <c r="J340" s="158"/>
      <c r="K340" s="159"/>
      <c r="L340" s="160"/>
      <c r="M340" s="159"/>
      <c r="N340" s="159"/>
      <c r="O340" s="161"/>
      <c r="P340" s="162" t="str">
        <f t="shared" si="160"/>
        <v/>
      </c>
      <c r="Q340" s="163" t="str">
        <f t="shared" si="161"/>
        <v/>
      </c>
      <c r="R340" s="164">
        <f t="shared" si="162"/>
        <v>0</v>
      </c>
      <c r="S340" s="165">
        <f t="shared" si="153"/>
        <v>0</v>
      </c>
      <c r="T340" s="165">
        <f t="shared" si="154"/>
        <v>0</v>
      </c>
      <c r="U340" s="166">
        <f t="shared" si="155"/>
        <v>0</v>
      </c>
      <c r="V340" s="153" t="str">
        <f t="shared" si="163"/>
        <v/>
      </c>
      <c r="W340" s="153" t="str">
        <f t="shared" si="164"/>
        <v/>
      </c>
      <c r="X340" s="244"/>
      <c r="Y340" s="154">
        <f t="shared" si="156"/>
        <v>0</v>
      </c>
      <c r="Z340" s="154" t="str">
        <f t="shared" si="152"/>
        <v>1000</v>
      </c>
      <c r="AA340" s="153" t="str">
        <f t="shared" si="165"/>
        <v/>
      </c>
      <c r="AD340" s="155" t="str">
        <f t="shared" si="157"/>
        <v/>
      </c>
      <c r="AI340" s="155">
        <f t="array" ref="AI340">MATCH(MIN(IF($AK$501:$AK$525&gt;=IF(G340&gt;1499,E340+7,E340+5), $AK$501:$AK$525)), $AK$501:$AK$525, 0)</f>
        <v>5</v>
      </c>
      <c r="AK340" s="233"/>
      <c r="AL340" s="233"/>
      <c r="AM340" s="155" t="str">
        <f t="shared" si="166"/>
        <v/>
      </c>
      <c r="AN340" s="155" t="str">
        <f t="shared" si="167"/>
        <v/>
      </c>
      <c r="AX340" s="155" t="str">
        <f t="shared" si="168"/>
        <v/>
      </c>
    </row>
    <row r="341" spans="1:50" s="155" customFormat="1" ht="30" hidden="1" customHeight="1">
      <c r="A341" s="141" t="str">
        <f t="shared" si="158"/>
        <v/>
      </c>
      <c r="B341" s="141" t="str">
        <f t="shared" si="159"/>
        <v/>
      </c>
      <c r="C341" s="157" t="str">
        <f>IF(D341="","",
    IF(ISERR(SEARCH("_",D341)),
        IFERROR(_xlfn.AGGREGATE(14,6,$C$12:C340,1),0)+1,
        IFERROR(
            VALUE(TRIM(MID(SUBSTITUTE(D341,"_",REPT(" ",LEN(D341))), (LEN(D341)-LEN(SUBSTITUTE(D341,"_",""))-1)*LEN(D341)+1, LEN(D341))))
            &amp; "." &amp;
            VALUE(TRIM(RIGHT(SUBSTITUTE(D341,"_",REPT(" ",LEN(D341))),LEN(D341)))),
            "")))</f>
        <v/>
      </c>
      <c r="D341" s="158"/>
      <c r="E341" s="159"/>
      <c r="F341" s="159"/>
      <c r="G341" s="159"/>
      <c r="H341" s="159"/>
      <c r="I341" s="158"/>
      <c r="J341" s="158"/>
      <c r="K341" s="159"/>
      <c r="L341" s="160"/>
      <c r="M341" s="159"/>
      <c r="N341" s="159"/>
      <c r="O341" s="161"/>
      <c r="P341" s="162" t="str">
        <f t="shared" si="160"/>
        <v/>
      </c>
      <c r="Q341" s="163" t="str">
        <f t="shared" si="161"/>
        <v/>
      </c>
      <c r="R341" s="164">
        <f t="shared" si="162"/>
        <v>0</v>
      </c>
      <c r="S341" s="165">
        <f t="shared" si="153"/>
        <v>0</v>
      </c>
      <c r="T341" s="165">
        <f t="shared" si="154"/>
        <v>0</v>
      </c>
      <c r="U341" s="166">
        <f t="shared" si="155"/>
        <v>0</v>
      </c>
      <c r="V341" s="153" t="str">
        <f t="shared" si="163"/>
        <v/>
      </c>
      <c r="W341" s="153" t="str">
        <f t="shared" si="164"/>
        <v/>
      </c>
      <c r="X341" s="244"/>
      <c r="Y341" s="154">
        <f t="shared" si="156"/>
        <v>0</v>
      </c>
      <c r="Z341" s="154" t="str">
        <f t="shared" si="152"/>
        <v>1000</v>
      </c>
      <c r="AA341" s="153" t="str">
        <f t="shared" si="165"/>
        <v/>
      </c>
      <c r="AD341" s="155" t="str">
        <f t="shared" si="157"/>
        <v/>
      </c>
      <c r="AI341" s="155">
        <f t="array" ref="AI341">MATCH(MIN(IF($AK$501:$AK$525&gt;=IF(G341&gt;1499,E341+7,E341+5), $AK$501:$AK$525)), $AK$501:$AK$525, 0)</f>
        <v>5</v>
      </c>
      <c r="AK341" s="233"/>
      <c r="AL341" s="233"/>
      <c r="AM341" s="155" t="str">
        <f t="shared" si="166"/>
        <v/>
      </c>
      <c r="AN341" s="155" t="str">
        <f t="shared" si="167"/>
        <v/>
      </c>
      <c r="AX341" s="155" t="str">
        <f t="shared" si="168"/>
        <v/>
      </c>
    </row>
    <row r="342" spans="1:50" s="155" customFormat="1" ht="30" hidden="1" customHeight="1">
      <c r="A342" s="141" t="str">
        <f t="shared" si="158"/>
        <v/>
      </c>
      <c r="B342" s="141" t="str">
        <f t="shared" si="159"/>
        <v/>
      </c>
      <c r="C342" s="157" t="str">
        <f>IF(D342="","",
    IF(ISERR(SEARCH("_",D342)),
        IFERROR(_xlfn.AGGREGATE(14,6,$C$12:C341,1),0)+1,
        IFERROR(
            VALUE(TRIM(MID(SUBSTITUTE(D342,"_",REPT(" ",LEN(D342))), (LEN(D342)-LEN(SUBSTITUTE(D342,"_",""))-1)*LEN(D342)+1, LEN(D342))))
            &amp; "." &amp;
            VALUE(TRIM(RIGHT(SUBSTITUTE(D342,"_",REPT(" ",LEN(D342))),LEN(D342)))),
            "")))</f>
        <v/>
      </c>
      <c r="D342" s="158"/>
      <c r="E342" s="159"/>
      <c r="F342" s="159"/>
      <c r="G342" s="159"/>
      <c r="H342" s="159"/>
      <c r="I342" s="158"/>
      <c r="J342" s="158"/>
      <c r="K342" s="159"/>
      <c r="L342" s="160"/>
      <c r="M342" s="159"/>
      <c r="N342" s="159"/>
      <c r="O342" s="161"/>
      <c r="P342" s="162" t="str">
        <f t="shared" si="160"/>
        <v/>
      </c>
      <c r="Q342" s="163" t="str">
        <f t="shared" si="161"/>
        <v/>
      </c>
      <c r="R342" s="164">
        <f t="shared" si="162"/>
        <v>0</v>
      </c>
      <c r="S342" s="165">
        <f t="shared" si="153"/>
        <v>0</v>
      </c>
      <c r="T342" s="165">
        <f t="shared" si="154"/>
        <v>0</v>
      </c>
      <c r="U342" s="166">
        <f t="shared" si="155"/>
        <v>0</v>
      </c>
      <c r="V342" s="153" t="str">
        <f t="shared" si="163"/>
        <v/>
      </c>
      <c r="W342" s="153" t="str">
        <f t="shared" si="164"/>
        <v/>
      </c>
      <c r="X342" s="244"/>
      <c r="Y342" s="154">
        <f t="shared" si="156"/>
        <v>0</v>
      </c>
      <c r="Z342" s="154" t="str">
        <f t="shared" si="152"/>
        <v>1000</v>
      </c>
      <c r="AA342" s="153" t="str">
        <f t="shared" si="165"/>
        <v/>
      </c>
      <c r="AD342" s="155" t="str">
        <f t="shared" si="157"/>
        <v/>
      </c>
      <c r="AI342" s="155">
        <f t="array" ref="AI342">MATCH(MIN(IF($AK$501:$AK$525&gt;=IF(G342&gt;1499,E342+7,E342+5), $AK$501:$AK$525)), $AK$501:$AK$525, 0)</f>
        <v>5</v>
      </c>
      <c r="AK342" s="233"/>
      <c r="AL342" s="233"/>
      <c r="AM342" s="155" t="str">
        <f t="shared" si="166"/>
        <v/>
      </c>
      <c r="AN342" s="155" t="str">
        <f t="shared" si="167"/>
        <v/>
      </c>
      <c r="AX342" s="155" t="str">
        <f t="shared" si="168"/>
        <v/>
      </c>
    </row>
    <row r="343" spans="1:50" s="155" customFormat="1" ht="30" hidden="1" customHeight="1">
      <c r="A343" s="141" t="str">
        <f t="shared" si="158"/>
        <v/>
      </c>
      <c r="B343" s="141" t="str">
        <f t="shared" si="159"/>
        <v/>
      </c>
      <c r="C343" s="157" t="str">
        <f>IF(D343="","",
    IF(ISERR(SEARCH("_",D343)),
        IFERROR(_xlfn.AGGREGATE(14,6,$C$12:C342,1),0)+1,
        IFERROR(
            VALUE(TRIM(MID(SUBSTITUTE(D343,"_",REPT(" ",LEN(D343))), (LEN(D343)-LEN(SUBSTITUTE(D343,"_",""))-1)*LEN(D343)+1, LEN(D343))))
            &amp; "." &amp;
            VALUE(TRIM(RIGHT(SUBSTITUTE(D343,"_",REPT(" ",LEN(D343))),LEN(D343)))),
            "")))</f>
        <v/>
      </c>
      <c r="D343" s="158"/>
      <c r="E343" s="159"/>
      <c r="F343" s="159"/>
      <c r="G343" s="159"/>
      <c r="H343" s="159"/>
      <c r="I343" s="158"/>
      <c r="J343" s="158"/>
      <c r="K343" s="159"/>
      <c r="L343" s="160"/>
      <c r="M343" s="159"/>
      <c r="N343" s="159"/>
      <c r="O343" s="161"/>
      <c r="P343" s="162" t="str">
        <f t="shared" si="160"/>
        <v/>
      </c>
      <c r="Q343" s="163" t="str">
        <f t="shared" si="161"/>
        <v/>
      </c>
      <c r="R343" s="164">
        <f t="shared" si="162"/>
        <v>0</v>
      </c>
      <c r="S343" s="165">
        <f t="shared" si="153"/>
        <v>0</v>
      </c>
      <c r="T343" s="165">
        <f t="shared" si="154"/>
        <v>0</v>
      </c>
      <c r="U343" s="166">
        <f t="shared" si="155"/>
        <v>0</v>
      </c>
      <c r="V343" s="153" t="str">
        <f t="shared" si="163"/>
        <v/>
      </c>
      <c r="W343" s="153" t="str">
        <f t="shared" si="164"/>
        <v/>
      </c>
      <c r="X343" s="244"/>
      <c r="Y343" s="154">
        <f t="shared" si="156"/>
        <v>0</v>
      </c>
      <c r="Z343" s="154" t="str">
        <f t="shared" si="152"/>
        <v>1000</v>
      </c>
      <c r="AA343" s="153" t="str">
        <f t="shared" si="165"/>
        <v/>
      </c>
      <c r="AD343" s="155" t="str">
        <f t="shared" si="157"/>
        <v/>
      </c>
      <c r="AI343" s="155">
        <f t="array" ref="AI343">MATCH(MIN(IF($AK$501:$AK$525&gt;=IF(G343&gt;1499,E343+7,E343+5), $AK$501:$AK$525)), $AK$501:$AK$525, 0)</f>
        <v>5</v>
      </c>
      <c r="AK343" s="233"/>
      <c r="AL343" s="233"/>
      <c r="AM343" s="155" t="str">
        <f t="shared" si="166"/>
        <v/>
      </c>
      <c r="AN343" s="155" t="str">
        <f t="shared" si="167"/>
        <v/>
      </c>
      <c r="AX343" s="155" t="str">
        <f t="shared" si="168"/>
        <v/>
      </c>
    </row>
    <row r="344" spans="1:50" s="155" customFormat="1" ht="30" hidden="1" customHeight="1">
      <c r="A344" s="141" t="str">
        <f t="shared" si="158"/>
        <v/>
      </c>
      <c r="B344" s="141" t="str">
        <f t="shared" si="159"/>
        <v/>
      </c>
      <c r="C344" s="157" t="str">
        <f>IF(D344="","",
    IF(ISERR(SEARCH("_",D344)),
        IFERROR(_xlfn.AGGREGATE(14,6,$C$12:C343,1),0)+1,
        IFERROR(
            VALUE(TRIM(MID(SUBSTITUTE(D344,"_",REPT(" ",LEN(D344))), (LEN(D344)-LEN(SUBSTITUTE(D344,"_",""))-1)*LEN(D344)+1, LEN(D344))))
            &amp; "." &amp;
            VALUE(TRIM(RIGHT(SUBSTITUTE(D344,"_",REPT(" ",LEN(D344))),LEN(D344)))),
            "")))</f>
        <v/>
      </c>
      <c r="D344" s="158"/>
      <c r="E344" s="159"/>
      <c r="F344" s="159"/>
      <c r="G344" s="159"/>
      <c r="H344" s="159"/>
      <c r="I344" s="158"/>
      <c r="J344" s="158"/>
      <c r="K344" s="159"/>
      <c r="L344" s="160"/>
      <c r="M344" s="159"/>
      <c r="N344" s="159"/>
      <c r="O344" s="161"/>
      <c r="P344" s="162" t="str">
        <f t="shared" si="160"/>
        <v/>
      </c>
      <c r="Q344" s="163" t="str">
        <f t="shared" si="161"/>
        <v/>
      </c>
      <c r="R344" s="164">
        <f t="shared" si="162"/>
        <v>0</v>
      </c>
      <c r="S344" s="165">
        <f t="shared" si="153"/>
        <v>0</v>
      </c>
      <c r="T344" s="165">
        <f t="shared" si="154"/>
        <v>0</v>
      </c>
      <c r="U344" s="166">
        <f t="shared" si="155"/>
        <v>0</v>
      </c>
      <c r="V344" s="153" t="str">
        <f t="shared" si="163"/>
        <v/>
      </c>
      <c r="W344" s="153" t="str">
        <f t="shared" si="164"/>
        <v/>
      </c>
      <c r="X344" s="244"/>
      <c r="Y344" s="154">
        <f t="shared" si="156"/>
        <v>0</v>
      </c>
      <c r="Z344" s="154" t="str">
        <f t="shared" si="152"/>
        <v>1000</v>
      </c>
      <c r="AA344" s="153" t="str">
        <f t="shared" si="165"/>
        <v/>
      </c>
      <c r="AD344" s="155" t="str">
        <f t="shared" si="157"/>
        <v/>
      </c>
      <c r="AI344" s="155">
        <f t="array" ref="AI344">MATCH(MIN(IF($AK$501:$AK$525&gt;=IF(G344&gt;1499,E344+7,E344+5), $AK$501:$AK$525)), $AK$501:$AK$525, 0)</f>
        <v>5</v>
      </c>
      <c r="AK344" s="233"/>
      <c r="AL344" s="233"/>
      <c r="AM344" s="155" t="str">
        <f t="shared" si="166"/>
        <v/>
      </c>
      <c r="AN344" s="155" t="str">
        <f t="shared" si="167"/>
        <v/>
      </c>
      <c r="AX344" s="155" t="str">
        <f t="shared" si="168"/>
        <v/>
      </c>
    </row>
    <row r="345" spans="1:50" s="155" customFormat="1" ht="30" hidden="1" customHeight="1">
      <c r="A345" s="141" t="str">
        <f t="shared" si="158"/>
        <v/>
      </c>
      <c r="B345" s="141" t="str">
        <f t="shared" si="159"/>
        <v/>
      </c>
      <c r="C345" s="157" t="str">
        <f>IF(D345="","",
    IF(ISERR(SEARCH("_",D345)),
        IFERROR(_xlfn.AGGREGATE(14,6,$C$12:C344,1),0)+1,
        IFERROR(
            VALUE(TRIM(MID(SUBSTITUTE(D345,"_",REPT(" ",LEN(D345))), (LEN(D345)-LEN(SUBSTITUTE(D345,"_",""))-1)*LEN(D345)+1, LEN(D345))))
            &amp; "." &amp;
            VALUE(TRIM(RIGHT(SUBSTITUTE(D345,"_",REPT(" ",LEN(D345))),LEN(D345)))),
            "")))</f>
        <v/>
      </c>
      <c r="D345" s="158"/>
      <c r="E345" s="159"/>
      <c r="F345" s="159"/>
      <c r="G345" s="159"/>
      <c r="H345" s="159"/>
      <c r="I345" s="158"/>
      <c r="J345" s="158"/>
      <c r="K345" s="159"/>
      <c r="L345" s="160"/>
      <c r="M345" s="159"/>
      <c r="N345" s="159"/>
      <c r="O345" s="161"/>
      <c r="P345" s="162" t="str">
        <f t="shared" si="160"/>
        <v/>
      </c>
      <c r="Q345" s="163" t="str">
        <f t="shared" si="161"/>
        <v/>
      </c>
      <c r="R345" s="164">
        <f t="shared" si="162"/>
        <v>0</v>
      </c>
      <c r="S345" s="165">
        <f t="shared" si="153"/>
        <v>0</v>
      </c>
      <c r="T345" s="165">
        <f t="shared" si="154"/>
        <v>0</v>
      </c>
      <c r="U345" s="166">
        <f t="shared" si="155"/>
        <v>0</v>
      </c>
      <c r="V345" s="153" t="str">
        <f t="shared" si="163"/>
        <v/>
      </c>
      <c r="W345" s="153" t="str">
        <f t="shared" si="164"/>
        <v/>
      </c>
      <c r="X345" s="244"/>
      <c r="Y345" s="154">
        <f t="shared" si="156"/>
        <v>0</v>
      </c>
      <c r="Z345" s="154" t="str">
        <f t="shared" si="152"/>
        <v>1000</v>
      </c>
      <c r="AA345" s="153" t="str">
        <f t="shared" si="165"/>
        <v/>
      </c>
      <c r="AD345" s="155" t="str">
        <f t="shared" si="157"/>
        <v/>
      </c>
      <c r="AI345" s="155">
        <f t="array" ref="AI345">MATCH(MIN(IF($AK$501:$AK$525&gt;=IF(G345&gt;1499,E345+7,E345+5), $AK$501:$AK$525)), $AK$501:$AK$525, 0)</f>
        <v>5</v>
      </c>
      <c r="AK345" s="233"/>
      <c r="AL345" s="233"/>
      <c r="AM345" s="155" t="str">
        <f t="shared" si="166"/>
        <v/>
      </c>
      <c r="AN345" s="155" t="str">
        <f t="shared" si="167"/>
        <v/>
      </c>
      <c r="AX345" s="155" t="str">
        <f t="shared" si="168"/>
        <v/>
      </c>
    </row>
    <row r="346" spans="1:50" s="155" customFormat="1" ht="30" hidden="1" customHeight="1">
      <c r="A346" s="141" t="str">
        <f t="shared" si="158"/>
        <v/>
      </c>
      <c r="B346" s="141" t="str">
        <f t="shared" si="159"/>
        <v/>
      </c>
      <c r="C346" s="157" t="str">
        <f>IF(D346="","",
    IF(ISERR(SEARCH("_",D346)),
        IFERROR(_xlfn.AGGREGATE(14,6,$C$12:C345,1),0)+1,
        IFERROR(
            VALUE(TRIM(MID(SUBSTITUTE(D346,"_",REPT(" ",LEN(D346))), (LEN(D346)-LEN(SUBSTITUTE(D346,"_",""))-1)*LEN(D346)+1, LEN(D346))))
            &amp; "." &amp;
            VALUE(TRIM(RIGHT(SUBSTITUTE(D346,"_",REPT(" ",LEN(D346))),LEN(D346)))),
            "")))</f>
        <v/>
      </c>
      <c r="D346" s="158"/>
      <c r="E346" s="159"/>
      <c r="F346" s="159"/>
      <c r="G346" s="159"/>
      <c r="H346" s="159"/>
      <c r="I346" s="158"/>
      <c r="J346" s="158"/>
      <c r="K346" s="159"/>
      <c r="L346" s="160"/>
      <c r="M346" s="159"/>
      <c r="N346" s="159"/>
      <c r="O346" s="161"/>
      <c r="P346" s="162" t="str">
        <f t="shared" si="160"/>
        <v/>
      </c>
      <c r="Q346" s="163" t="str">
        <f t="shared" si="161"/>
        <v/>
      </c>
      <c r="R346" s="164">
        <f t="shared" si="162"/>
        <v>0</v>
      </c>
      <c r="S346" s="165">
        <f t="shared" si="153"/>
        <v>0</v>
      </c>
      <c r="T346" s="165">
        <f t="shared" si="154"/>
        <v>0</v>
      </c>
      <c r="U346" s="166">
        <f t="shared" si="155"/>
        <v>0</v>
      </c>
      <c r="V346" s="153" t="str">
        <f t="shared" si="163"/>
        <v/>
      </c>
      <c r="W346" s="153" t="str">
        <f t="shared" si="164"/>
        <v/>
      </c>
      <c r="X346" s="244"/>
      <c r="Y346" s="154">
        <f t="shared" si="156"/>
        <v>0</v>
      </c>
      <c r="Z346" s="154" t="str">
        <f t="shared" si="152"/>
        <v>1000</v>
      </c>
      <c r="AA346" s="153" t="str">
        <f t="shared" si="165"/>
        <v/>
      </c>
      <c r="AD346" s="155" t="str">
        <f t="shared" si="157"/>
        <v/>
      </c>
      <c r="AI346" s="155">
        <f t="array" ref="AI346">MATCH(MIN(IF($AK$501:$AK$525&gt;=IF(G346&gt;1499,E346+7,E346+5), $AK$501:$AK$525)), $AK$501:$AK$525, 0)</f>
        <v>5</v>
      </c>
      <c r="AK346" s="233"/>
      <c r="AL346" s="233"/>
      <c r="AM346" s="155" t="str">
        <f t="shared" si="166"/>
        <v/>
      </c>
      <c r="AN346" s="155" t="str">
        <f t="shared" si="167"/>
        <v/>
      </c>
      <c r="AX346" s="155" t="str">
        <f t="shared" si="168"/>
        <v/>
      </c>
    </row>
    <row r="347" spans="1:50" s="155" customFormat="1" ht="30" hidden="1" customHeight="1">
      <c r="A347" s="141" t="str">
        <f t="shared" si="158"/>
        <v/>
      </c>
      <c r="B347" s="141" t="str">
        <f t="shared" si="159"/>
        <v/>
      </c>
      <c r="C347" s="157" t="str">
        <f>IF(D347="","",
    IF(ISERR(SEARCH("_",D347)),
        IFERROR(_xlfn.AGGREGATE(14,6,$C$12:C346,1),0)+1,
        IFERROR(
            VALUE(TRIM(MID(SUBSTITUTE(D347,"_",REPT(" ",LEN(D347))), (LEN(D347)-LEN(SUBSTITUTE(D347,"_",""))-1)*LEN(D347)+1, LEN(D347))))
            &amp; "." &amp;
            VALUE(TRIM(RIGHT(SUBSTITUTE(D347,"_",REPT(" ",LEN(D347))),LEN(D347)))),
            "")))</f>
        <v/>
      </c>
      <c r="D347" s="158"/>
      <c r="E347" s="159"/>
      <c r="F347" s="159"/>
      <c r="G347" s="159"/>
      <c r="H347" s="159"/>
      <c r="I347" s="158"/>
      <c r="J347" s="158"/>
      <c r="K347" s="159"/>
      <c r="L347" s="160"/>
      <c r="M347" s="159"/>
      <c r="N347" s="159"/>
      <c r="O347" s="161"/>
      <c r="P347" s="162" t="str">
        <f t="shared" si="160"/>
        <v/>
      </c>
      <c r="Q347" s="163" t="str">
        <f t="shared" si="161"/>
        <v/>
      </c>
      <c r="R347" s="164">
        <f t="shared" si="162"/>
        <v>0</v>
      </c>
      <c r="S347" s="165">
        <f t="shared" si="153"/>
        <v>0</v>
      </c>
      <c r="T347" s="165">
        <f t="shared" si="154"/>
        <v>0</v>
      </c>
      <c r="U347" s="166">
        <f t="shared" si="155"/>
        <v>0</v>
      </c>
      <c r="V347" s="153" t="str">
        <f t="shared" si="163"/>
        <v/>
      </c>
      <c r="W347" s="153" t="str">
        <f t="shared" si="164"/>
        <v/>
      </c>
      <c r="X347" s="244"/>
      <c r="Y347" s="154">
        <f t="shared" si="156"/>
        <v>0</v>
      </c>
      <c r="Z347" s="154" t="str">
        <f t="shared" si="152"/>
        <v>1000</v>
      </c>
      <c r="AA347" s="153" t="str">
        <f t="shared" si="165"/>
        <v/>
      </c>
      <c r="AD347" s="155" t="str">
        <f t="shared" si="157"/>
        <v/>
      </c>
      <c r="AI347" s="155">
        <f t="array" ref="AI347">MATCH(MIN(IF($AK$501:$AK$525&gt;=IF(G347&gt;1499,E347+7,E347+5), $AK$501:$AK$525)), $AK$501:$AK$525, 0)</f>
        <v>5</v>
      </c>
      <c r="AK347" s="233"/>
      <c r="AL347" s="233"/>
      <c r="AM347" s="155" t="str">
        <f t="shared" si="166"/>
        <v/>
      </c>
      <c r="AN347" s="155" t="str">
        <f t="shared" si="167"/>
        <v/>
      </c>
      <c r="AX347" s="155" t="str">
        <f t="shared" si="168"/>
        <v/>
      </c>
    </row>
    <row r="348" spans="1:50" s="155" customFormat="1" ht="30" hidden="1" customHeight="1">
      <c r="A348" s="141" t="str">
        <f t="shared" si="158"/>
        <v/>
      </c>
      <c r="B348" s="141" t="str">
        <f t="shared" si="159"/>
        <v/>
      </c>
      <c r="C348" s="157" t="str">
        <f>IF(D348="","",
    IF(ISERR(SEARCH("_",D348)),
        IFERROR(_xlfn.AGGREGATE(14,6,$C$12:C347,1),0)+1,
        IFERROR(
            VALUE(TRIM(MID(SUBSTITUTE(D348,"_",REPT(" ",LEN(D348))), (LEN(D348)-LEN(SUBSTITUTE(D348,"_",""))-1)*LEN(D348)+1, LEN(D348))))
            &amp; "." &amp;
            VALUE(TRIM(RIGHT(SUBSTITUTE(D348,"_",REPT(" ",LEN(D348))),LEN(D348)))),
            "")))</f>
        <v/>
      </c>
      <c r="D348" s="158"/>
      <c r="E348" s="159"/>
      <c r="F348" s="159"/>
      <c r="G348" s="159"/>
      <c r="H348" s="159"/>
      <c r="I348" s="158"/>
      <c r="J348" s="158"/>
      <c r="K348" s="159"/>
      <c r="L348" s="160"/>
      <c r="M348" s="159"/>
      <c r="N348" s="159"/>
      <c r="O348" s="161"/>
      <c r="P348" s="162" t="str">
        <f t="shared" si="160"/>
        <v/>
      </c>
      <c r="Q348" s="163" t="str">
        <f t="shared" si="161"/>
        <v/>
      </c>
      <c r="R348" s="164">
        <f t="shared" si="162"/>
        <v>0</v>
      </c>
      <c r="S348" s="165">
        <f t="shared" si="153"/>
        <v>0</v>
      </c>
      <c r="T348" s="165">
        <f t="shared" si="154"/>
        <v>0</v>
      </c>
      <c r="U348" s="166">
        <f t="shared" si="155"/>
        <v>0</v>
      </c>
      <c r="V348" s="153" t="str">
        <f t="shared" si="163"/>
        <v/>
      </c>
      <c r="W348" s="153" t="str">
        <f t="shared" si="164"/>
        <v/>
      </c>
      <c r="X348" s="244"/>
      <c r="Y348" s="154">
        <f t="shared" si="156"/>
        <v>0</v>
      </c>
      <c r="Z348" s="154" t="str">
        <f t="shared" si="152"/>
        <v>1000</v>
      </c>
      <c r="AA348" s="153" t="str">
        <f t="shared" si="165"/>
        <v/>
      </c>
      <c r="AD348" s="155" t="str">
        <f t="shared" si="157"/>
        <v/>
      </c>
      <c r="AI348" s="155">
        <f t="array" ref="AI348">MATCH(MIN(IF($AK$501:$AK$525&gt;=IF(G348&gt;1499,E348+7,E348+5), $AK$501:$AK$525)), $AK$501:$AK$525, 0)</f>
        <v>5</v>
      </c>
      <c r="AK348" s="233"/>
      <c r="AL348" s="233"/>
      <c r="AM348" s="155" t="str">
        <f t="shared" si="166"/>
        <v/>
      </c>
      <c r="AN348" s="155" t="str">
        <f t="shared" si="167"/>
        <v/>
      </c>
      <c r="AX348" s="155" t="str">
        <f t="shared" si="168"/>
        <v/>
      </c>
    </row>
    <row r="349" spans="1:50" s="155" customFormat="1" ht="30" hidden="1" customHeight="1">
      <c r="A349" s="141" t="str">
        <f t="shared" si="158"/>
        <v/>
      </c>
      <c r="B349" s="141" t="str">
        <f t="shared" si="159"/>
        <v/>
      </c>
      <c r="C349" s="157" t="str">
        <f>IF(D349="","",
    IF(ISERR(SEARCH("_",D349)),
        IFERROR(_xlfn.AGGREGATE(14,6,$C$12:C348,1),0)+1,
        IFERROR(
            VALUE(TRIM(MID(SUBSTITUTE(D349,"_",REPT(" ",LEN(D349))), (LEN(D349)-LEN(SUBSTITUTE(D349,"_",""))-1)*LEN(D349)+1, LEN(D349))))
            &amp; "." &amp;
            VALUE(TRIM(RIGHT(SUBSTITUTE(D349,"_",REPT(" ",LEN(D349))),LEN(D349)))),
            "")))</f>
        <v/>
      </c>
      <c r="D349" s="158"/>
      <c r="E349" s="159"/>
      <c r="F349" s="159"/>
      <c r="G349" s="159"/>
      <c r="H349" s="159"/>
      <c r="I349" s="158"/>
      <c r="J349" s="158"/>
      <c r="K349" s="159"/>
      <c r="L349" s="160"/>
      <c r="M349" s="159"/>
      <c r="N349" s="159"/>
      <c r="O349" s="161"/>
      <c r="P349" s="162" t="str">
        <f t="shared" si="160"/>
        <v/>
      </c>
      <c r="Q349" s="163" t="str">
        <f t="shared" si="161"/>
        <v/>
      </c>
      <c r="R349" s="164">
        <f t="shared" si="162"/>
        <v>0</v>
      </c>
      <c r="S349" s="165">
        <f t="shared" si="153"/>
        <v>0</v>
      </c>
      <c r="T349" s="165">
        <f t="shared" si="154"/>
        <v>0</v>
      </c>
      <c r="U349" s="166">
        <f t="shared" si="155"/>
        <v>0</v>
      </c>
      <c r="V349" s="153" t="str">
        <f t="shared" si="163"/>
        <v/>
      </c>
      <c r="W349" s="153" t="str">
        <f t="shared" si="164"/>
        <v/>
      </c>
      <c r="X349" s="244"/>
      <c r="Y349" s="154">
        <f t="shared" si="156"/>
        <v>0</v>
      </c>
      <c r="Z349" s="154" t="str">
        <f t="shared" si="152"/>
        <v>1000</v>
      </c>
      <c r="AA349" s="153" t="str">
        <f t="shared" si="165"/>
        <v/>
      </c>
      <c r="AD349" s="155" t="str">
        <f t="shared" si="157"/>
        <v/>
      </c>
      <c r="AI349" s="155">
        <f t="array" ref="AI349">MATCH(MIN(IF($AK$501:$AK$525&gt;=IF(G349&gt;1499,E349+7,E349+5), $AK$501:$AK$525)), $AK$501:$AK$525, 0)</f>
        <v>5</v>
      </c>
      <c r="AK349" s="233"/>
      <c r="AL349" s="233"/>
      <c r="AM349" s="155" t="str">
        <f t="shared" si="166"/>
        <v/>
      </c>
      <c r="AN349" s="155" t="str">
        <f t="shared" si="167"/>
        <v/>
      </c>
      <c r="AX349" s="155" t="str">
        <f t="shared" si="168"/>
        <v/>
      </c>
    </row>
    <row r="350" spans="1:50" s="155" customFormat="1" ht="30" hidden="1" customHeight="1">
      <c r="A350" s="141" t="str">
        <f t="shared" si="158"/>
        <v/>
      </c>
      <c r="B350" s="141" t="str">
        <f t="shared" si="159"/>
        <v/>
      </c>
      <c r="C350" s="157" t="str">
        <f>IF(D350="","",
    IF(ISERR(SEARCH("_",D350)),
        IFERROR(_xlfn.AGGREGATE(14,6,$C$12:C349,1),0)+1,
        IFERROR(
            VALUE(TRIM(MID(SUBSTITUTE(D350,"_",REPT(" ",LEN(D350))), (LEN(D350)-LEN(SUBSTITUTE(D350,"_",""))-1)*LEN(D350)+1, LEN(D350))))
            &amp; "." &amp;
            VALUE(TRIM(RIGHT(SUBSTITUTE(D350,"_",REPT(" ",LEN(D350))),LEN(D350)))),
            "")))</f>
        <v/>
      </c>
      <c r="D350" s="158"/>
      <c r="E350" s="159"/>
      <c r="F350" s="159"/>
      <c r="G350" s="159"/>
      <c r="H350" s="159"/>
      <c r="I350" s="158"/>
      <c r="J350" s="158"/>
      <c r="K350" s="159"/>
      <c r="L350" s="160"/>
      <c r="M350" s="159"/>
      <c r="N350" s="159"/>
      <c r="O350" s="161"/>
      <c r="P350" s="162" t="str">
        <f t="shared" si="160"/>
        <v/>
      </c>
      <c r="Q350" s="163" t="str">
        <f t="shared" si="161"/>
        <v/>
      </c>
      <c r="R350" s="164">
        <f t="shared" si="162"/>
        <v>0</v>
      </c>
      <c r="S350" s="165">
        <f t="shared" si="153"/>
        <v>0</v>
      </c>
      <c r="T350" s="165">
        <f t="shared" si="154"/>
        <v>0</v>
      </c>
      <c r="U350" s="166">
        <f t="shared" si="155"/>
        <v>0</v>
      </c>
      <c r="V350" s="153" t="str">
        <f t="shared" si="163"/>
        <v/>
      </c>
      <c r="W350" s="153" t="str">
        <f t="shared" si="164"/>
        <v/>
      </c>
      <c r="X350" s="244"/>
      <c r="Y350" s="154">
        <f t="shared" si="156"/>
        <v>0</v>
      </c>
      <c r="Z350" s="154" t="str">
        <f t="shared" si="152"/>
        <v>1000</v>
      </c>
      <c r="AA350" s="153" t="str">
        <f t="shared" si="165"/>
        <v/>
      </c>
      <c r="AD350" s="155" t="str">
        <f t="shared" si="157"/>
        <v/>
      </c>
      <c r="AI350" s="155">
        <f t="array" ref="AI350">MATCH(MIN(IF($AK$501:$AK$525&gt;=IF(G350&gt;1499,E350+7,E350+5), $AK$501:$AK$525)), $AK$501:$AK$525, 0)</f>
        <v>5</v>
      </c>
      <c r="AK350" s="233"/>
      <c r="AL350" s="233"/>
      <c r="AM350" s="155" t="str">
        <f t="shared" si="166"/>
        <v/>
      </c>
      <c r="AN350" s="155" t="str">
        <f t="shared" si="167"/>
        <v/>
      </c>
      <c r="AX350" s="155" t="str">
        <f t="shared" si="168"/>
        <v/>
      </c>
    </row>
    <row r="351" spans="1:50" s="155" customFormat="1" ht="30" hidden="1" customHeight="1">
      <c r="A351" s="141" t="str">
        <f t="shared" si="158"/>
        <v/>
      </c>
      <c r="B351" s="141" t="str">
        <f t="shared" si="159"/>
        <v/>
      </c>
      <c r="C351" s="157" t="str">
        <f>IF(D351="","",
    IF(ISERR(SEARCH("_",D351)),
        IFERROR(_xlfn.AGGREGATE(14,6,$C$12:C350,1),0)+1,
        IFERROR(
            VALUE(TRIM(MID(SUBSTITUTE(D351,"_",REPT(" ",LEN(D351))), (LEN(D351)-LEN(SUBSTITUTE(D351,"_",""))-1)*LEN(D351)+1, LEN(D351))))
            &amp; "." &amp;
            VALUE(TRIM(RIGHT(SUBSTITUTE(D351,"_",REPT(" ",LEN(D351))),LEN(D351)))),
            "")))</f>
        <v/>
      </c>
      <c r="D351" s="158"/>
      <c r="E351" s="159"/>
      <c r="F351" s="159"/>
      <c r="G351" s="159"/>
      <c r="H351" s="159"/>
      <c r="I351" s="158"/>
      <c r="J351" s="158"/>
      <c r="K351" s="159"/>
      <c r="L351" s="160"/>
      <c r="M351" s="159"/>
      <c r="N351" s="159"/>
      <c r="O351" s="161"/>
      <c r="P351" s="162" t="str">
        <f t="shared" si="160"/>
        <v/>
      </c>
      <c r="Q351" s="163" t="str">
        <f t="shared" si="161"/>
        <v/>
      </c>
      <c r="R351" s="164">
        <f t="shared" si="162"/>
        <v>0</v>
      </c>
      <c r="S351" s="165">
        <f t="shared" si="153"/>
        <v>0</v>
      </c>
      <c r="T351" s="165">
        <f t="shared" si="154"/>
        <v>0</v>
      </c>
      <c r="U351" s="166">
        <f t="shared" si="155"/>
        <v>0</v>
      </c>
      <c r="V351" s="153" t="str">
        <f t="shared" si="163"/>
        <v/>
      </c>
      <c r="W351" s="153" t="str">
        <f t="shared" si="164"/>
        <v/>
      </c>
      <c r="X351" s="244"/>
      <c r="Y351" s="154">
        <f t="shared" si="156"/>
        <v>0</v>
      </c>
      <c r="Z351" s="154" t="str">
        <f t="shared" si="152"/>
        <v>1000</v>
      </c>
      <c r="AA351" s="153" t="str">
        <f t="shared" si="165"/>
        <v/>
      </c>
      <c r="AD351" s="155" t="str">
        <f t="shared" si="157"/>
        <v/>
      </c>
      <c r="AI351" s="155">
        <f t="array" ref="AI351">MATCH(MIN(IF($AK$501:$AK$525&gt;=IF(G351&gt;1499,E351+7,E351+5), $AK$501:$AK$525)), $AK$501:$AK$525, 0)</f>
        <v>5</v>
      </c>
      <c r="AK351" s="233"/>
      <c r="AL351" s="233"/>
      <c r="AM351" s="155" t="str">
        <f t="shared" si="166"/>
        <v/>
      </c>
      <c r="AN351" s="155" t="str">
        <f t="shared" si="167"/>
        <v/>
      </c>
      <c r="AX351" s="155" t="str">
        <f t="shared" si="168"/>
        <v/>
      </c>
    </row>
    <row r="352" spans="1:50" s="155" customFormat="1" ht="30" hidden="1" customHeight="1">
      <c r="A352" s="141" t="str">
        <f t="shared" si="158"/>
        <v/>
      </c>
      <c r="B352" s="141" t="str">
        <f t="shared" si="159"/>
        <v/>
      </c>
      <c r="C352" s="157" t="str">
        <f>IF(D352="","",
    IF(ISERR(SEARCH("_",D352)),
        IFERROR(_xlfn.AGGREGATE(14,6,$C$12:C351,1),0)+1,
        IFERROR(
            VALUE(TRIM(MID(SUBSTITUTE(D352,"_",REPT(" ",LEN(D352))), (LEN(D352)-LEN(SUBSTITUTE(D352,"_",""))-1)*LEN(D352)+1, LEN(D352))))
            &amp; "." &amp;
            VALUE(TRIM(RIGHT(SUBSTITUTE(D352,"_",REPT(" ",LEN(D352))),LEN(D352)))),
            "")))</f>
        <v/>
      </c>
      <c r="D352" s="158"/>
      <c r="E352" s="159"/>
      <c r="F352" s="159"/>
      <c r="G352" s="159"/>
      <c r="H352" s="159"/>
      <c r="I352" s="158"/>
      <c r="J352" s="158"/>
      <c r="K352" s="159"/>
      <c r="L352" s="160"/>
      <c r="M352" s="159"/>
      <c r="N352" s="159"/>
      <c r="O352" s="161"/>
      <c r="P352" s="162" t="str">
        <f t="shared" si="160"/>
        <v/>
      </c>
      <c r="Q352" s="163" t="str">
        <f t="shared" si="161"/>
        <v/>
      </c>
      <c r="R352" s="164">
        <f t="shared" si="162"/>
        <v>0</v>
      </c>
      <c r="S352" s="165">
        <f t="shared" si="153"/>
        <v>0</v>
      </c>
      <c r="T352" s="165">
        <f t="shared" si="154"/>
        <v>0</v>
      </c>
      <c r="U352" s="166">
        <f t="shared" si="155"/>
        <v>0</v>
      </c>
      <c r="V352" s="153" t="str">
        <f t="shared" si="163"/>
        <v/>
      </c>
      <c r="W352" s="153" t="str">
        <f t="shared" si="164"/>
        <v/>
      </c>
      <c r="X352" s="244"/>
      <c r="Y352" s="154">
        <f t="shared" si="156"/>
        <v>0</v>
      </c>
      <c r="Z352" s="154" t="str">
        <f t="shared" si="152"/>
        <v>1000</v>
      </c>
      <c r="AA352" s="153" t="str">
        <f t="shared" si="165"/>
        <v/>
      </c>
      <c r="AD352" s="155" t="str">
        <f t="shared" si="157"/>
        <v/>
      </c>
      <c r="AI352" s="155">
        <f t="array" ref="AI352">MATCH(MIN(IF($AK$501:$AK$525&gt;=IF(G352&gt;1499,E352+7,E352+5), $AK$501:$AK$525)), $AK$501:$AK$525, 0)</f>
        <v>5</v>
      </c>
      <c r="AK352" s="233"/>
      <c r="AL352" s="233"/>
      <c r="AM352" s="155" t="str">
        <f t="shared" si="166"/>
        <v/>
      </c>
      <c r="AN352" s="155" t="str">
        <f t="shared" si="167"/>
        <v/>
      </c>
      <c r="AX352" s="155" t="str">
        <f t="shared" si="168"/>
        <v/>
      </c>
    </row>
    <row r="353" spans="1:50" s="155" customFormat="1" ht="30" hidden="1" customHeight="1">
      <c r="A353" s="141" t="str">
        <f t="shared" si="158"/>
        <v/>
      </c>
      <c r="B353" s="141" t="str">
        <f t="shared" si="159"/>
        <v/>
      </c>
      <c r="C353" s="157" t="str">
        <f>IF(D353="","",
    IF(ISERR(SEARCH("_",D353)),
        IFERROR(_xlfn.AGGREGATE(14,6,$C$12:C352,1),0)+1,
        IFERROR(
            VALUE(TRIM(MID(SUBSTITUTE(D353,"_",REPT(" ",LEN(D353))), (LEN(D353)-LEN(SUBSTITUTE(D353,"_",""))-1)*LEN(D353)+1, LEN(D353))))
            &amp; "." &amp;
            VALUE(TRIM(RIGHT(SUBSTITUTE(D353,"_",REPT(" ",LEN(D353))),LEN(D353)))),
            "")))</f>
        <v/>
      </c>
      <c r="D353" s="158"/>
      <c r="E353" s="159"/>
      <c r="F353" s="159"/>
      <c r="G353" s="159"/>
      <c r="H353" s="159"/>
      <c r="I353" s="158"/>
      <c r="J353" s="158"/>
      <c r="K353" s="159"/>
      <c r="L353" s="160"/>
      <c r="M353" s="159"/>
      <c r="N353" s="159"/>
      <c r="O353" s="161"/>
      <c r="P353" s="162" t="str">
        <f t="shared" si="160"/>
        <v/>
      </c>
      <c r="Q353" s="163" t="str">
        <f t="shared" si="161"/>
        <v/>
      </c>
      <c r="R353" s="164">
        <f t="shared" si="162"/>
        <v>0</v>
      </c>
      <c r="S353" s="165">
        <f t="shared" si="153"/>
        <v>0</v>
      </c>
      <c r="T353" s="165">
        <f t="shared" si="154"/>
        <v>0</v>
      </c>
      <c r="U353" s="166">
        <f t="shared" si="155"/>
        <v>0</v>
      </c>
      <c r="V353" s="153" t="str">
        <f t="shared" si="163"/>
        <v/>
      </c>
      <c r="W353" s="153" t="str">
        <f t="shared" si="164"/>
        <v/>
      </c>
      <c r="X353" s="244"/>
      <c r="Y353" s="154">
        <f t="shared" si="156"/>
        <v>0</v>
      </c>
      <c r="Z353" s="154" t="str">
        <f t="shared" si="152"/>
        <v>1000</v>
      </c>
      <c r="AA353" s="153" t="str">
        <f t="shared" si="165"/>
        <v/>
      </c>
      <c r="AD353" s="155" t="str">
        <f t="shared" si="157"/>
        <v/>
      </c>
      <c r="AI353" s="155">
        <f t="array" ref="AI353">MATCH(MIN(IF($AK$501:$AK$525&gt;=IF(G353&gt;1499,E353+7,E353+5), $AK$501:$AK$525)), $AK$501:$AK$525, 0)</f>
        <v>5</v>
      </c>
      <c r="AK353" s="233"/>
      <c r="AL353" s="233"/>
      <c r="AM353" s="155" t="str">
        <f t="shared" si="166"/>
        <v/>
      </c>
      <c r="AN353" s="155" t="str">
        <f t="shared" si="167"/>
        <v/>
      </c>
      <c r="AX353" s="155" t="str">
        <f t="shared" si="168"/>
        <v/>
      </c>
    </row>
    <row r="354" spans="1:50" s="155" customFormat="1" ht="30" hidden="1" customHeight="1">
      <c r="A354" s="141" t="str">
        <f t="shared" si="158"/>
        <v/>
      </c>
      <c r="B354" s="141" t="str">
        <f t="shared" si="159"/>
        <v/>
      </c>
      <c r="C354" s="157" t="str">
        <f>IF(D354="","",
    IF(ISERR(SEARCH("_",D354)),
        IFERROR(_xlfn.AGGREGATE(14,6,$C$12:C353,1),0)+1,
        IFERROR(
            VALUE(TRIM(MID(SUBSTITUTE(D354,"_",REPT(" ",LEN(D354))), (LEN(D354)-LEN(SUBSTITUTE(D354,"_",""))-1)*LEN(D354)+1, LEN(D354))))
            &amp; "." &amp;
            VALUE(TRIM(RIGHT(SUBSTITUTE(D354,"_",REPT(" ",LEN(D354))),LEN(D354)))),
            "")))</f>
        <v/>
      </c>
      <c r="D354" s="158"/>
      <c r="E354" s="159"/>
      <c r="F354" s="159"/>
      <c r="G354" s="159"/>
      <c r="H354" s="159"/>
      <c r="I354" s="158"/>
      <c r="J354" s="158"/>
      <c r="K354" s="159"/>
      <c r="L354" s="160"/>
      <c r="M354" s="159"/>
      <c r="N354" s="159"/>
      <c r="O354" s="161"/>
      <c r="P354" s="162" t="str">
        <f t="shared" si="160"/>
        <v/>
      </c>
      <c r="Q354" s="163" t="str">
        <f t="shared" si="161"/>
        <v/>
      </c>
      <c r="R354" s="164">
        <f t="shared" si="162"/>
        <v>0</v>
      </c>
      <c r="S354" s="165">
        <f t="shared" si="153"/>
        <v>0</v>
      </c>
      <c r="T354" s="165">
        <f t="shared" si="154"/>
        <v>0</v>
      </c>
      <c r="U354" s="166">
        <f t="shared" si="155"/>
        <v>0</v>
      </c>
      <c r="V354" s="153" t="str">
        <f t="shared" si="163"/>
        <v/>
      </c>
      <c r="W354" s="153" t="str">
        <f t="shared" si="164"/>
        <v/>
      </c>
      <c r="X354" s="244"/>
      <c r="Y354" s="154">
        <f t="shared" si="156"/>
        <v>0</v>
      </c>
      <c r="Z354" s="154" t="str">
        <f t="shared" si="152"/>
        <v>1000</v>
      </c>
      <c r="AA354" s="153" t="str">
        <f t="shared" si="165"/>
        <v/>
      </c>
      <c r="AD354" s="155" t="str">
        <f t="shared" si="157"/>
        <v/>
      </c>
      <c r="AI354" s="155">
        <f t="array" ref="AI354">MATCH(MIN(IF($AK$501:$AK$525&gt;=IF(G354&gt;1499,E354+7,E354+5), $AK$501:$AK$525)), $AK$501:$AK$525, 0)</f>
        <v>5</v>
      </c>
      <c r="AK354" s="233"/>
      <c r="AL354" s="233"/>
      <c r="AM354" s="155" t="str">
        <f t="shared" si="166"/>
        <v/>
      </c>
      <c r="AN354" s="155" t="str">
        <f t="shared" si="167"/>
        <v/>
      </c>
      <c r="AX354" s="155" t="str">
        <f t="shared" si="168"/>
        <v/>
      </c>
    </row>
    <row r="355" spans="1:50" s="155" customFormat="1" ht="30" hidden="1" customHeight="1">
      <c r="A355" s="141" t="str">
        <f t="shared" si="158"/>
        <v/>
      </c>
      <c r="B355" s="141" t="str">
        <f t="shared" si="159"/>
        <v/>
      </c>
      <c r="C355" s="157" t="str">
        <f>IF(D355="","",
    IF(ISERR(SEARCH("_",D355)),
        IFERROR(_xlfn.AGGREGATE(14,6,$C$12:C354,1),0)+1,
        IFERROR(
            VALUE(TRIM(MID(SUBSTITUTE(D355,"_",REPT(" ",LEN(D355))), (LEN(D355)-LEN(SUBSTITUTE(D355,"_",""))-1)*LEN(D355)+1, LEN(D355))))
            &amp; "." &amp;
            VALUE(TRIM(RIGHT(SUBSTITUTE(D355,"_",REPT(" ",LEN(D355))),LEN(D355)))),
            "")))</f>
        <v/>
      </c>
      <c r="D355" s="158"/>
      <c r="E355" s="159"/>
      <c r="F355" s="159"/>
      <c r="G355" s="159"/>
      <c r="H355" s="159"/>
      <c r="I355" s="158"/>
      <c r="J355" s="158"/>
      <c r="K355" s="159"/>
      <c r="L355" s="160"/>
      <c r="M355" s="159"/>
      <c r="N355" s="159"/>
      <c r="O355" s="161"/>
      <c r="P355" s="162" t="str">
        <f t="shared" si="160"/>
        <v/>
      </c>
      <c r="Q355" s="163" t="str">
        <f t="shared" si="161"/>
        <v/>
      </c>
      <c r="R355" s="164">
        <f t="shared" si="162"/>
        <v>0</v>
      </c>
      <c r="S355" s="165">
        <f t="shared" si="153"/>
        <v>0</v>
      </c>
      <c r="T355" s="165">
        <f t="shared" si="154"/>
        <v>0</v>
      </c>
      <c r="U355" s="166">
        <f t="shared" si="155"/>
        <v>0</v>
      </c>
      <c r="V355" s="153" t="str">
        <f t="shared" si="163"/>
        <v/>
      </c>
      <c r="W355" s="153" t="str">
        <f t="shared" si="164"/>
        <v/>
      </c>
      <c r="X355" s="244"/>
      <c r="Y355" s="154">
        <f t="shared" si="156"/>
        <v>0</v>
      </c>
      <c r="Z355" s="154" t="str">
        <f t="shared" si="152"/>
        <v>1000</v>
      </c>
      <c r="AA355" s="153" t="str">
        <f t="shared" si="165"/>
        <v/>
      </c>
      <c r="AD355" s="155" t="str">
        <f t="shared" si="157"/>
        <v/>
      </c>
      <c r="AI355" s="155">
        <f t="array" ref="AI355">MATCH(MIN(IF($AK$501:$AK$525&gt;=IF(G355&gt;1499,E355+7,E355+5), $AK$501:$AK$525)), $AK$501:$AK$525, 0)</f>
        <v>5</v>
      </c>
      <c r="AK355" s="233"/>
      <c r="AL355" s="233"/>
      <c r="AM355" s="155" t="str">
        <f t="shared" si="166"/>
        <v/>
      </c>
      <c r="AN355" s="155" t="str">
        <f t="shared" si="167"/>
        <v/>
      </c>
      <c r="AX355" s="155" t="str">
        <f t="shared" si="168"/>
        <v/>
      </c>
    </row>
    <row r="356" spans="1:50" s="155" customFormat="1" ht="30" hidden="1" customHeight="1">
      <c r="A356" s="141" t="str">
        <f t="shared" si="158"/>
        <v/>
      </c>
      <c r="B356" s="141" t="str">
        <f t="shared" si="159"/>
        <v/>
      </c>
      <c r="C356" s="157" t="str">
        <f>IF(D356="","",
    IF(ISERR(SEARCH("_",D356)),
        IFERROR(_xlfn.AGGREGATE(14,6,$C$12:C355,1),0)+1,
        IFERROR(
            VALUE(TRIM(MID(SUBSTITUTE(D356,"_",REPT(" ",LEN(D356))), (LEN(D356)-LEN(SUBSTITUTE(D356,"_",""))-1)*LEN(D356)+1, LEN(D356))))
            &amp; "." &amp;
            VALUE(TRIM(RIGHT(SUBSTITUTE(D356,"_",REPT(" ",LEN(D356))),LEN(D356)))),
            "")))</f>
        <v/>
      </c>
      <c r="D356" s="158"/>
      <c r="E356" s="159"/>
      <c r="F356" s="159"/>
      <c r="G356" s="159"/>
      <c r="H356" s="159"/>
      <c r="I356" s="158"/>
      <c r="J356" s="158"/>
      <c r="K356" s="159"/>
      <c r="L356" s="160"/>
      <c r="M356" s="159"/>
      <c r="N356" s="159"/>
      <c r="O356" s="161"/>
      <c r="P356" s="162" t="str">
        <f t="shared" si="160"/>
        <v/>
      </c>
      <c r="Q356" s="163" t="str">
        <f t="shared" si="161"/>
        <v/>
      </c>
      <c r="R356" s="164">
        <f t="shared" si="162"/>
        <v>0</v>
      </c>
      <c r="S356" s="165">
        <f t="shared" si="153"/>
        <v>0</v>
      </c>
      <c r="T356" s="165">
        <f t="shared" si="154"/>
        <v>0</v>
      </c>
      <c r="U356" s="166">
        <f t="shared" si="155"/>
        <v>0</v>
      </c>
      <c r="V356" s="153" t="str">
        <f t="shared" si="163"/>
        <v/>
      </c>
      <c r="W356" s="153" t="str">
        <f t="shared" si="164"/>
        <v/>
      </c>
      <c r="X356" s="244"/>
      <c r="Y356" s="154">
        <f t="shared" si="156"/>
        <v>0</v>
      </c>
      <c r="Z356" s="154" t="str">
        <f t="shared" si="152"/>
        <v>1000</v>
      </c>
      <c r="AA356" s="153" t="str">
        <f t="shared" si="165"/>
        <v/>
      </c>
      <c r="AD356" s="155" t="str">
        <f t="shared" si="157"/>
        <v/>
      </c>
      <c r="AI356" s="155">
        <f t="array" ref="AI356">MATCH(MIN(IF($AK$501:$AK$525&gt;=IF(G356&gt;1499,E356+7,E356+5), $AK$501:$AK$525)), $AK$501:$AK$525, 0)</f>
        <v>5</v>
      </c>
      <c r="AK356" s="233"/>
      <c r="AL356" s="233"/>
      <c r="AM356" s="155" t="str">
        <f t="shared" si="166"/>
        <v/>
      </c>
      <c r="AN356" s="155" t="str">
        <f t="shared" si="167"/>
        <v/>
      </c>
      <c r="AX356" s="155" t="str">
        <f t="shared" si="168"/>
        <v/>
      </c>
    </row>
    <row r="357" spans="1:50" s="155" customFormat="1" ht="30" hidden="1" customHeight="1">
      <c r="A357" s="141" t="str">
        <f t="shared" si="158"/>
        <v/>
      </c>
      <c r="B357" s="141" t="str">
        <f t="shared" si="159"/>
        <v/>
      </c>
      <c r="C357" s="157" t="str">
        <f>IF(D357="","",
    IF(ISERR(SEARCH("_",D357)),
        IFERROR(_xlfn.AGGREGATE(14,6,$C$12:C356,1),0)+1,
        IFERROR(
            VALUE(TRIM(MID(SUBSTITUTE(D357,"_",REPT(" ",LEN(D357))), (LEN(D357)-LEN(SUBSTITUTE(D357,"_",""))-1)*LEN(D357)+1, LEN(D357))))
            &amp; "." &amp;
            VALUE(TRIM(RIGHT(SUBSTITUTE(D357,"_",REPT(" ",LEN(D357))),LEN(D357)))),
            "")))</f>
        <v/>
      </c>
      <c r="D357" s="158"/>
      <c r="E357" s="159"/>
      <c r="F357" s="159"/>
      <c r="G357" s="159"/>
      <c r="H357" s="159"/>
      <c r="I357" s="158"/>
      <c r="J357" s="158"/>
      <c r="K357" s="159"/>
      <c r="L357" s="160"/>
      <c r="M357" s="159"/>
      <c r="N357" s="159"/>
      <c r="O357" s="161"/>
      <c r="P357" s="162" t="str">
        <f t="shared" si="160"/>
        <v/>
      </c>
      <c r="Q357" s="163" t="str">
        <f t="shared" si="161"/>
        <v/>
      </c>
      <c r="R357" s="164">
        <f t="shared" si="162"/>
        <v>0</v>
      </c>
      <c r="S357" s="165">
        <f t="shared" si="153"/>
        <v>0</v>
      </c>
      <c r="T357" s="165">
        <f t="shared" si="154"/>
        <v>0</v>
      </c>
      <c r="U357" s="166">
        <f t="shared" si="155"/>
        <v>0</v>
      </c>
      <c r="V357" s="153" t="str">
        <f t="shared" si="163"/>
        <v/>
      </c>
      <c r="W357" s="153" t="str">
        <f t="shared" si="164"/>
        <v/>
      </c>
      <c r="X357" s="244"/>
      <c r="Y357" s="154">
        <f t="shared" si="156"/>
        <v>0</v>
      </c>
      <c r="Z357" s="154" t="str">
        <f t="shared" si="152"/>
        <v>1000</v>
      </c>
      <c r="AA357" s="153" t="str">
        <f t="shared" si="165"/>
        <v/>
      </c>
      <c r="AD357" s="155" t="str">
        <f t="shared" si="157"/>
        <v/>
      </c>
      <c r="AI357" s="155">
        <f t="array" ref="AI357">MATCH(MIN(IF($AK$501:$AK$525&gt;=IF(G357&gt;1499,E357+7,E357+5), $AK$501:$AK$525)), $AK$501:$AK$525, 0)</f>
        <v>5</v>
      </c>
      <c r="AK357" s="233"/>
      <c r="AL357" s="233"/>
      <c r="AM357" s="155" t="str">
        <f t="shared" si="166"/>
        <v/>
      </c>
      <c r="AN357" s="155" t="str">
        <f t="shared" si="167"/>
        <v/>
      </c>
      <c r="AX357" s="155" t="str">
        <f t="shared" si="168"/>
        <v/>
      </c>
    </row>
    <row r="358" spans="1:50" s="155" customFormat="1" ht="30" hidden="1" customHeight="1">
      <c r="A358" s="141" t="str">
        <f t="shared" si="158"/>
        <v/>
      </c>
      <c r="B358" s="141" t="str">
        <f t="shared" si="159"/>
        <v/>
      </c>
      <c r="C358" s="157" t="str">
        <f>IF(D358="","",
    IF(ISERR(SEARCH("_",D358)),
        IFERROR(_xlfn.AGGREGATE(14,6,$C$12:C357,1),0)+1,
        IFERROR(
            VALUE(TRIM(MID(SUBSTITUTE(D358,"_",REPT(" ",LEN(D358))), (LEN(D358)-LEN(SUBSTITUTE(D358,"_",""))-1)*LEN(D358)+1, LEN(D358))))
            &amp; "." &amp;
            VALUE(TRIM(RIGHT(SUBSTITUTE(D358,"_",REPT(" ",LEN(D358))),LEN(D358)))),
            "")))</f>
        <v/>
      </c>
      <c r="D358" s="158"/>
      <c r="E358" s="159"/>
      <c r="F358" s="159"/>
      <c r="G358" s="159"/>
      <c r="H358" s="159"/>
      <c r="I358" s="158"/>
      <c r="J358" s="158"/>
      <c r="K358" s="159"/>
      <c r="L358" s="160"/>
      <c r="M358" s="159"/>
      <c r="N358" s="159"/>
      <c r="O358" s="161"/>
      <c r="P358" s="162" t="str">
        <f t="shared" si="160"/>
        <v/>
      </c>
      <c r="Q358" s="163" t="str">
        <f t="shared" si="161"/>
        <v/>
      </c>
      <c r="R358" s="164">
        <f t="shared" si="162"/>
        <v>0</v>
      </c>
      <c r="S358" s="165">
        <f t="shared" si="153"/>
        <v>0</v>
      </c>
      <c r="T358" s="165">
        <f t="shared" si="154"/>
        <v>0</v>
      </c>
      <c r="U358" s="166">
        <f t="shared" si="155"/>
        <v>0</v>
      </c>
      <c r="V358" s="153" t="str">
        <f t="shared" si="163"/>
        <v/>
      </c>
      <c r="W358" s="153" t="str">
        <f t="shared" si="164"/>
        <v/>
      </c>
      <c r="X358" s="244"/>
      <c r="Y358" s="154">
        <f t="shared" si="156"/>
        <v>0</v>
      </c>
      <c r="Z358" s="154" t="str">
        <f t="shared" si="152"/>
        <v>1000</v>
      </c>
      <c r="AA358" s="153" t="str">
        <f t="shared" si="165"/>
        <v/>
      </c>
      <c r="AD358" s="155" t="str">
        <f t="shared" si="157"/>
        <v/>
      </c>
      <c r="AI358" s="155">
        <f t="array" ref="AI358">MATCH(MIN(IF($AK$501:$AK$525&gt;=IF(G358&gt;1499,E358+7,E358+5), $AK$501:$AK$525)), $AK$501:$AK$525, 0)</f>
        <v>5</v>
      </c>
      <c r="AK358" s="233"/>
      <c r="AL358" s="233"/>
      <c r="AM358" s="155" t="str">
        <f t="shared" si="166"/>
        <v/>
      </c>
      <c r="AN358" s="155" t="str">
        <f t="shared" si="167"/>
        <v/>
      </c>
      <c r="AX358" s="155" t="str">
        <f t="shared" si="168"/>
        <v/>
      </c>
    </row>
    <row r="359" spans="1:50" s="155" customFormat="1" ht="30" hidden="1" customHeight="1">
      <c r="A359" s="141" t="str">
        <f t="shared" si="158"/>
        <v/>
      </c>
      <c r="B359" s="141" t="str">
        <f t="shared" si="159"/>
        <v/>
      </c>
      <c r="C359" s="157" t="str">
        <f>IF(D359="","",
    IF(ISERR(SEARCH("_",D359)),
        IFERROR(_xlfn.AGGREGATE(14,6,$C$12:C358,1),0)+1,
        IFERROR(
            VALUE(TRIM(MID(SUBSTITUTE(D359,"_",REPT(" ",LEN(D359))), (LEN(D359)-LEN(SUBSTITUTE(D359,"_",""))-1)*LEN(D359)+1, LEN(D359))))
            &amp; "." &amp;
            VALUE(TRIM(RIGHT(SUBSTITUTE(D359,"_",REPT(" ",LEN(D359))),LEN(D359)))),
            "")))</f>
        <v/>
      </c>
      <c r="D359" s="158"/>
      <c r="E359" s="159"/>
      <c r="F359" s="159"/>
      <c r="G359" s="159"/>
      <c r="H359" s="159"/>
      <c r="I359" s="158"/>
      <c r="J359" s="158"/>
      <c r="K359" s="159"/>
      <c r="L359" s="160"/>
      <c r="M359" s="159"/>
      <c r="N359" s="159"/>
      <c r="O359" s="161"/>
      <c r="P359" s="162" t="str">
        <f t="shared" si="160"/>
        <v/>
      </c>
      <c r="Q359" s="163" t="str">
        <f t="shared" si="161"/>
        <v/>
      </c>
      <c r="R359" s="164">
        <f t="shared" si="162"/>
        <v>0</v>
      </c>
      <c r="S359" s="165">
        <f t="shared" si="153"/>
        <v>0</v>
      </c>
      <c r="T359" s="165">
        <f t="shared" si="154"/>
        <v>0</v>
      </c>
      <c r="U359" s="166">
        <f t="shared" si="155"/>
        <v>0</v>
      </c>
      <c r="V359" s="153" t="str">
        <f t="shared" si="163"/>
        <v/>
      </c>
      <c r="W359" s="153" t="str">
        <f t="shared" si="164"/>
        <v/>
      </c>
      <c r="X359" s="244"/>
      <c r="Y359" s="154">
        <f t="shared" si="156"/>
        <v>0</v>
      </c>
      <c r="Z359" s="154" t="str">
        <f t="shared" si="152"/>
        <v>1000</v>
      </c>
      <c r="AA359" s="153" t="str">
        <f t="shared" si="165"/>
        <v/>
      </c>
      <c r="AD359" s="155" t="str">
        <f t="shared" si="157"/>
        <v/>
      </c>
      <c r="AI359" s="155">
        <f t="array" ref="AI359">MATCH(MIN(IF($AK$501:$AK$525&gt;=IF(G359&gt;1499,E359+7,E359+5), $AK$501:$AK$525)), $AK$501:$AK$525, 0)</f>
        <v>5</v>
      </c>
      <c r="AK359" s="233"/>
      <c r="AL359" s="233"/>
      <c r="AM359" s="155" t="str">
        <f t="shared" si="166"/>
        <v/>
      </c>
      <c r="AN359" s="155" t="str">
        <f t="shared" si="167"/>
        <v/>
      </c>
      <c r="AX359" s="155" t="str">
        <f t="shared" si="168"/>
        <v/>
      </c>
    </row>
    <row r="360" spans="1:50" s="155" customFormat="1" ht="30" hidden="1" customHeight="1">
      <c r="A360" s="141" t="str">
        <f t="shared" si="158"/>
        <v/>
      </c>
      <c r="B360" s="141" t="str">
        <f t="shared" si="159"/>
        <v/>
      </c>
      <c r="C360" s="157" t="str">
        <f>IF(D360="","",
    IF(ISERR(SEARCH("_",D360)),
        IFERROR(_xlfn.AGGREGATE(14,6,$C$12:C359,1),0)+1,
        IFERROR(
            VALUE(TRIM(MID(SUBSTITUTE(D360,"_",REPT(" ",LEN(D360))), (LEN(D360)-LEN(SUBSTITUTE(D360,"_",""))-1)*LEN(D360)+1, LEN(D360))))
            &amp; "." &amp;
            VALUE(TRIM(RIGHT(SUBSTITUTE(D360,"_",REPT(" ",LEN(D360))),LEN(D360)))),
            "")))</f>
        <v/>
      </c>
      <c r="D360" s="158"/>
      <c r="E360" s="159"/>
      <c r="F360" s="159"/>
      <c r="G360" s="159"/>
      <c r="H360" s="159"/>
      <c r="I360" s="158"/>
      <c r="J360" s="158"/>
      <c r="K360" s="159"/>
      <c r="L360" s="160"/>
      <c r="M360" s="159"/>
      <c r="N360" s="159"/>
      <c r="O360" s="161"/>
      <c r="P360" s="162" t="str">
        <f t="shared" si="160"/>
        <v/>
      </c>
      <c r="Q360" s="163" t="str">
        <f t="shared" si="161"/>
        <v/>
      </c>
      <c r="R360" s="164">
        <f t="shared" si="162"/>
        <v>0</v>
      </c>
      <c r="S360" s="165">
        <f t="shared" si="153"/>
        <v>0</v>
      </c>
      <c r="T360" s="165">
        <f t="shared" si="154"/>
        <v>0</v>
      </c>
      <c r="U360" s="166">
        <f t="shared" si="155"/>
        <v>0</v>
      </c>
      <c r="V360" s="153" t="str">
        <f t="shared" si="163"/>
        <v/>
      </c>
      <c r="W360" s="153" t="str">
        <f t="shared" si="164"/>
        <v/>
      </c>
      <c r="X360" s="244"/>
      <c r="Y360" s="154">
        <f t="shared" si="156"/>
        <v>0</v>
      </c>
      <c r="Z360" s="154" t="str">
        <f t="shared" si="152"/>
        <v>1000</v>
      </c>
      <c r="AA360" s="153" t="str">
        <f t="shared" si="165"/>
        <v/>
      </c>
      <c r="AD360" s="155" t="str">
        <f t="shared" si="157"/>
        <v/>
      </c>
      <c r="AI360" s="155">
        <f t="array" ref="AI360">MATCH(MIN(IF($AK$501:$AK$525&gt;=IF(G360&gt;1499,E360+7,E360+5), $AK$501:$AK$525)), $AK$501:$AK$525, 0)</f>
        <v>5</v>
      </c>
      <c r="AK360" s="233"/>
      <c r="AL360" s="233"/>
      <c r="AM360" s="155" t="str">
        <f t="shared" si="166"/>
        <v/>
      </c>
      <c r="AN360" s="155" t="str">
        <f t="shared" si="167"/>
        <v/>
      </c>
      <c r="AX360" s="155" t="str">
        <f t="shared" si="168"/>
        <v/>
      </c>
    </row>
    <row r="361" spans="1:50" s="155" customFormat="1" ht="30" hidden="1" customHeight="1">
      <c r="A361" s="141" t="str">
        <f t="shared" si="158"/>
        <v/>
      </c>
      <c r="B361" s="141" t="str">
        <f t="shared" si="159"/>
        <v/>
      </c>
      <c r="C361" s="157" t="str">
        <f>IF(D361="","",
    IF(ISERR(SEARCH("_",D361)),
        IFERROR(_xlfn.AGGREGATE(14,6,$C$12:C360,1),0)+1,
        IFERROR(
            VALUE(TRIM(MID(SUBSTITUTE(D361,"_",REPT(" ",LEN(D361))), (LEN(D361)-LEN(SUBSTITUTE(D361,"_",""))-1)*LEN(D361)+1, LEN(D361))))
            &amp; "." &amp;
            VALUE(TRIM(RIGHT(SUBSTITUTE(D361,"_",REPT(" ",LEN(D361))),LEN(D361)))),
            "")))</f>
        <v/>
      </c>
      <c r="D361" s="158"/>
      <c r="E361" s="159"/>
      <c r="F361" s="159"/>
      <c r="G361" s="159"/>
      <c r="H361" s="159"/>
      <c r="I361" s="158"/>
      <c r="J361" s="158"/>
      <c r="K361" s="159"/>
      <c r="L361" s="160"/>
      <c r="M361" s="159"/>
      <c r="N361" s="159"/>
      <c r="O361" s="161"/>
      <c r="P361" s="162" t="str">
        <f t="shared" si="160"/>
        <v/>
      </c>
      <c r="Q361" s="163" t="str">
        <f t="shared" si="161"/>
        <v/>
      </c>
      <c r="R361" s="164">
        <f t="shared" si="162"/>
        <v>0</v>
      </c>
      <c r="S361" s="165">
        <f t="shared" si="153"/>
        <v>0</v>
      </c>
      <c r="T361" s="165">
        <f t="shared" si="154"/>
        <v>0</v>
      </c>
      <c r="U361" s="166">
        <f t="shared" si="155"/>
        <v>0</v>
      </c>
      <c r="V361" s="153" t="str">
        <f t="shared" si="163"/>
        <v/>
      </c>
      <c r="W361" s="153" t="str">
        <f t="shared" si="164"/>
        <v/>
      </c>
      <c r="X361" s="244"/>
      <c r="Y361" s="154">
        <f t="shared" si="156"/>
        <v>0</v>
      </c>
      <c r="Z361" s="154" t="str">
        <f t="shared" si="152"/>
        <v>1000</v>
      </c>
      <c r="AA361" s="153" t="str">
        <f t="shared" si="165"/>
        <v/>
      </c>
      <c r="AD361" s="155" t="str">
        <f t="shared" si="157"/>
        <v/>
      </c>
      <c r="AI361" s="155">
        <f t="array" ref="AI361">MATCH(MIN(IF($AK$501:$AK$525&gt;=IF(G361&gt;1499,E361+7,E361+5), $AK$501:$AK$525)), $AK$501:$AK$525, 0)</f>
        <v>5</v>
      </c>
      <c r="AK361" s="233"/>
      <c r="AL361" s="233"/>
      <c r="AM361" s="155" t="str">
        <f t="shared" si="166"/>
        <v/>
      </c>
      <c r="AN361" s="155" t="str">
        <f t="shared" si="167"/>
        <v/>
      </c>
      <c r="AX361" s="155" t="str">
        <f t="shared" si="168"/>
        <v/>
      </c>
    </row>
    <row r="362" spans="1:50" s="155" customFormat="1" ht="30" hidden="1" customHeight="1">
      <c r="A362" s="141" t="str">
        <f t="shared" si="158"/>
        <v/>
      </c>
      <c r="B362" s="141" t="str">
        <f t="shared" si="159"/>
        <v/>
      </c>
      <c r="C362" s="157" t="str">
        <f>IF(D362="","",
    IF(ISERR(SEARCH("_",D362)),
        IFERROR(_xlfn.AGGREGATE(14,6,$C$12:C361,1),0)+1,
        IFERROR(
            VALUE(TRIM(MID(SUBSTITUTE(D362,"_",REPT(" ",LEN(D362))), (LEN(D362)-LEN(SUBSTITUTE(D362,"_",""))-1)*LEN(D362)+1, LEN(D362))))
            &amp; "." &amp;
            VALUE(TRIM(RIGHT(SUBSTITUTE(D362,"_",REPT(" ",LEN(D362))),LEN(D362)))),
            "")))</f>
        <v/>
      </c>
      <c r="D362" s="158"/>
      <c r="E362" s="159"/>
      <c r="F362" s="159"/>
      <c r="G362" s="159"/>
      <c r="H362" s="159"/>
      <c r="I362" s="158"/>
      <c r="J362" s="158"/>
      <c r="K362" s="159"/>
      <c r="L362" s="160"/>
      <c r="M362" s="159"/>
      <c r="N362" s="159"/>
      <c r="O362" s="161"/>
      <c r="P362" s="162" t="str">
        <f t="shared" si="160"/>
        <v/>
      </c>
      <c r="Q362" s="163" t="str">
        <f t="shared" si="161"/>
        <v/>
      </c>
      <c r="R362" s="164">
        <f t="shared" si="162"/>
        <v>0</v>
      </c>
      <c r="S362" s="165">
        <f t="shared" si="153"/>
        <v>0</v>
      </c>
      <c r="T362" s="165">
        <f t="shared" si="154"/>
        <v>0</v>
      </c>
      <c r="U362" s="166">
        <f t="shared" si="155"/>
        <v>0</v>
      </c>
      <c r="V362" s="153" t="str">
        <f t="shared" si="163"/>
        <v/>
      </c>
      <c r="W362" s="153" t="str">
        <f t="shared" si="164"/>
        <v/>
      </c>
      <c r="X362" s="244"/>
      <c r="Y362" s="154">
        <f t="shared" si="156"/>
        <v>0</v>
      </c>
      <c r="Z362" s="154" t="str">
        <f t="shared" si="152"/>
        <v>1000</v>
      </c>
      <c r="AA362" s="153" t="str">
        <f t="shared" si="165"/>
        <v/>
      </c>
      <c r="AD362" s="155" t="str">
        <f t="shared" si="157"/>
        <v/>
      </c>
      <c r="AI362" s="155">
        <f t="array" ref="AI362">MATCH(MIN(IF($AK$501:$AK$525&gt;=IF(G362&gt;1499,E362+7,E362+5), $AK$501:$AK$525)), $AK$501:$AK$525, 0)</f>
        <v>5</v>
      </c>
      <c r="AK362" s="233"/>
      <c r="AL362" s="233"/>
      <c r="AM362" s="155" t="str">
        <f t="shared" si="166"/>
        <v/>
      </c>
      <c r="AN362" s="155" t="str">
        <f t="shared" si="167"/>
        <v/>
      </c>
      <c r="AX362" s="155" t="str">
        <f t="shared" si="168"/>
        <v/>
      </c>
    </row>
    <row r="363" spans="1:50" s="155" customFormat="1" ht="30" hidden="1" customHeight="1">
      <c r="A363" s="141" t="str">
        <f t="shared" si="158"/>
        <v/>
      </c>
      <c r="B363" s="141" t="str">
        <f t="shared" si="159"/>
        <v/>
      </c>
      <c r="C363" s="157" t="str">
        <f>IF(D363="","",
    IF(ISERR(SEARCH("_",D363)),
        IFERROR(_xlfn.AGGREGATE(14,6,$C$12:C362,1),0)+1,
        IFERROR(
            VALUE(TRIM(MID(SUBSTITUTE(D363,"_",REPT(" ",LEN(D363))), (LEN(D363)-LEN(SUBSTITUTE(D363,"_",""))-1)*LEN(D363)+1, LEN(D363))))
            &amp; "." &amp;
            VALUE(TRIM(RIGHT(SUBSTITUTE(D363,"_",REPT(" ",LEN(D363))),LEN(D363)))),
            "")))</f>
        <v/>
      </c>
      <c r="D363" s="158"/>
      <c r="E363" s="159"/>
      <c r="F363" s="159"/>
      <c r="G363" s="159"/>
      <c r="H363" s="159"/>
      <c r="I363" s="158"/>
      <c r="J363" s="158"/>
      <c r="K363" s="159"/>
      <c r="L363" s="160"/>
      <c r="M363" s="159"/>
      <c r="N363" s="159"/>
      <c r="O363" s="161"/>
      <c r="P363" s="162" t="str">
        <f t="shared" si="160"/>
        <v/>
      </c>
      <c r="Q363" s="163" t="str">
        <f t="shared" si="161"/>
        <v/>
      </c>
      <c r="R363" s="164">
        <f t="shared" si="162"/>
        <v>0</v>
      </c>
      <c r="S363" s="165">
        <f t="shared" si="153"/>
        <v>0</v>
      </c>
      <c r="T363" s="165">
        <f t="shared" si="154"/>
        <v>0</v>
      </c>
      <c r="U363" s="166">
        <f t="shared" si="155"/>
        <v>0</v>
      </c>
      <c r="V363" s="153" t="str">
        <f t="shared" si="163"/>
        <v/>
      </c>
      <c r="W363" s="153" t="str">
        <f t="shared" si="164"/>
        <v/>
      </c>
      <c r="X363" s="244"/>
      <c r="Y363" s="154">
        <f t="shared" si="156"/>
        <v>0</v>
      </c>
      <c r="Z363" s="154" t="str">
        <f t="shared" si="152"/>
        <v>1000</v>
      </c>
      <c r="AA363" s="153" t="str">
        <f t="shared" si="165"/>
        <v/>
      </c>
      <c r="AD363" s="155" t="str">
        <f t="shared" si="157"/>
        <v/>
      </c>
      <c r="AI363" s="155">
        <f t="array" ref="AI363">MATCH(MIN(IF($AK$501:$AK$525&gt;=IF(G363&gt;1499,E363+7,E363+5), $AK$501:$AK$525)), $AK$501:$AK$525, 0)</f>
        <v>5</v>
      </c>
      <c r="AK363" s="233"/>
      <c r="AL363" s="233"/>
      <c r="AM363" s="155" t="str">
        <f t="shared" si="166"/>
        <v/>
      </c>
      <c r="AN363" s="155" t="str">
        <f t="shared" si="167"/>
        <v/>
      </c>
      <c r="AX363" s="155" t="str">
        <f t="shared" si="168"/>
        <v/>
      </c>
    </row>
    <row r="364" spans="1:50" s="155" customFormat="1" ht="30" hidden="1" customHeight="1">
      <c r="A364" s="141" t="str">
        <f t="shared" si="158"/>
        <v/>
      </c>
      <c r="B364" s="141" t="str">
        <f t="shared" si="159"/>
        <v/>
      </c>
      <c r="C364" s="157" t="str">
        <f>IF(D364="","",
    IF(ISERR(SEARCH("_",D364)),
        IFERROR(_xlfn.AGGREGATE(14,6,$C$12:C363,1),0)+1,
        IFERROR(
            VALUE(TRIM(MID(SUBSTITUTE(D364,"_",REPT(" ",LEN(D364))), (LEN(D364)-LEN(SUBSTITUTE(D364,"_",""))-1)*LEN(D364)+1, LEN(D364))))
            &amp; "." &amp;
            VALUE(TRIM(RIGHT(SUBSTITUTE(D364,"_",REPT(" ",LEN(D364))),LEN(D364)))),
            "")))</f>
        <v/>
      </c>
      <c r="D364" s="158"/>
      <c r="E364" s="159"/>
      <c r="F364" s="159"/>
      <c r="G364" s="159"/>
      <c r="H364" s="159"/>
      <c r="I364" s="158"/>
      <c r="J364" s="158"/>
      <c r="K364" s="159"/>
      <c r="L364" s="160"/>
      <c r="M364" s="159"/>
      <c r="N364" s="159"/>
      <c r="O364" s="161"/>
      <c r="P364" s="162" t="str">
        <f t="shared" si="160"/>
        <v/>
      </c>
      <c r="Q364" s="163" t="str">
        <f t="shared" si="161"/>
        <v/>
      </c>
      <c r="R364" s="164">
        <f t="shared" si="162"/>
        <v>0</v>
      </c>
      <c r="S364" s="165">
        <f t="shared" si="153"/>
        <v>0</v>
      </c>
      <c r="T364" s="165">
        <f t="shared" si="154"/>
        <v>0</v>
      </c>
      <c r="U364" s="166">
        <f t="shared" si="155"/>
        <v>0</v>
      </c>
      <c r="V364" s="153" t="str">
        <f t="shared" si="163"/>
        <v/>
      </c>
      <c r="W364" s="153" t="str">
        <f t="shared" si="164"/>
        <v/>
      </c>
      <c r="X364" s="244"/>
      <c r="Y364" s="154">
        <f t="shared" si="156"/>
        <v>0</v>
      </c>
      <c r="Z364" s="154" t="str">
        <f t="shared" si="152"/>
        <v>1000</v>
      </c>
      <c r="AA364" s="153" t="str">
        <f t="shared" si="165"/>
        <v/>
      </c>
      <c r="AD364" s="155" t="str">
        <f t="shared" si="157"/>
        <v/>
      </c>
      <c r="AI364" s="155">
        <f t="array" ref="AI364">MATCH(MIN(IF($AK$501:$AK$525&gt;=IF(G364&gt;1499,E364+7,E364+5), $AK$501:$AK$525)), $AK$501:$AK$525, 0)</f>
        <v>5</v>
      </c>
      <c r="AK364" s="233"/>
      <c r="AL364" s="233"/>
      <c r="AM364" s="155" t="str">
        <f t="shared" si="166"/>
        <v/>
      </c>
      <c r="AN364" s="155" t="str">
        <f t="shared" si="167"/>
        <v/>
      </c>
      <c r="AX364" s="155" t="str">
        <f t="shared" si="168"/>
        <v/>
      </c>
    </row>
    <row r="365" spans="1:50" s="155" customFormat="1" ht="30" hidden="1" customHeight="1">
      <c r="A365" s="141" t="str">
        <f t="shared" si="158"/>
        <v/>
      </c>
      <c r="B365" s="141" t="str">
        <f t="shared" si="159"/>
        <v/>
      </c>
      <c r="C365" s="157" t="str">
        <f>IF(D365="","",
    IF(ISERR(SEARCH("_",D365)),
        IFERROR(_xlfn.AGGREGATE(14,6,$C$12:C364,1),0)+1,
        IFERROR(
            VALUE(TRIM(MID(SUBSTITUTE(D365,"_",REPT(" ",LEN(D365))), (LEN(D365)-LEN(SUBSTITUTE(D365,"_",""))-1)*LEN(D365)+1, LEN(D365))))
            &amp; "." &amp;
            VALUE(TRIM(RIGHT(SUBSTITUTE(D365,"_",REPT(" ",LEN(D365))),LEN(D365)))),
            "")))</f>
        <v/>
      </c>
      <c r="D365" s="158"/>
      <c r="E365" s="159"/>
      <c r="F365" s="159"/>
      <c r="G365" s="159"/>
      <c r="H365" s="159"/>
      <c r="I365" s="158"/>
      <c r="J365" s="158"/>
      <c r="K365" s="159"/>
      <c r="L365" s="160"/>
      <c r="M365" s="159"/>
      <c r="N365" s="159"/>
      <c r="O365" s="161"/>
      <c r="P365" s="162" t="str">
        <f t="shared" si="160"/>
        <v/>
      </c>
      <c r="Q365" s="163" t="str">
        <f t="shared" si="161"/>
        <v/>
      </c>
      <c r="R365" s="164">
        <f t="shared" si="162"/>
        <v>0</v>
      </c>
      <c r="S365" s="165">
        <f t="shared" si="153"/>
        <v>0</v>
      </c>
      <c r="T365" s="165">
        <f t="shared" si="154"/>
        <v>0</v>
      </c>
      <c r="U365" s="166">
        <f t="shared" si="155"/>
        <v>0</v>
      </c>
      <c r="V365" s="153" t="str">
        <f t="shared" si="163"/>
        <v/>
      </c>
      <c r="W365" s="153" t="str">
        <f t="shared" si="164"/>
        <v/>
      </c>
      <c r="X365" s="244"/>
      <c r="Y365" s="154">
        <f t="shared" si="156"/>
        <v>0</v>
      </c>
      <c r="Z365" s="154" t="str">
        <f t="shared" si="152"/>
        <v>1000</v>
      </c>
      <c r="AA365" s="153" t="str">
        <f t="shared" si="165"/>
        <v/>
      </c>
      <c r="AD365" s="155" t="str">
        <f t="shared" si="157"/>
        <v/>
      </c>
      <c r="AI365" s="155">
        <f t="array" ref="AI365">MATCH(MIN(IF($AK$501:$AK$525&gt;=IF(G365&gt;1499,E365+7,E365+5), $AK$501:$AK$525)), $AK$501:$AK$525, 0)</f>
        <v>5</v>
      </c>
      <c r="AK365" s="233"/>
      <c r="AL365" s="233"/>
      <c r="AM365" s="155" t="str">
        <f t="shared" si="166"/>
        <v/>
      </c>
      <c r="AN365" s="155" t="str">
        <f t="shared" si="167"/>
        <v/>
      </c>
      <c r="AX365" s="155" t="str">
        <f t="shared" si="168"/>
        <v/>
      </c>
    </row>
    <row r="366" spans="1:50" s="155" customFormat="1" ht="30" hidden="1" customHeight="1">
      <c r="A366" s="141" t="str">
        <f t="shared" si="158"/>
        <v/>
      </c>
      <c r="B366" s="141" t="str">
        <f t="shared" si="159"/>
        <v/>
      </c>
      <c r="C366" s="157" t="str">
        <f>IF(D366="","",
    IF(ISERR(SEARCH("_",D366)),
        IFERROR(_xlfn.AGGREGATE(14,6,$C$12:C365,1),0)+1,
        IFERROR(
            VALUE(TRIM(MID(SUBSTITUTE(D366,"_",REPT(" ",LEN(D366))), (LEN(D366)-LEN(SUBSTITUTE(D366,"_",""))-1)*LEN(D366)+1, LEN(D366))))
            &amp; "." &amp;
            VALUE(TRIM(RIGHT(SUBSTITUTE(D366,"_",REPT(" ",LEN(D366))),LEN(D366)))),
            "")))</f>
        <v/>
      </c>
      <c r="D366" s="158"/>
      <c r="E366" s="159"/>
      <c r="F366" s="159"/>
      <c r="G366" s="159"/>
      <c r="H366" s="159"/>
      <c r="I366" s="158"/>
      <c r="J366" s="158"/>
      <c r="K366" s="159"/>
      <c r="L366" s="160"/>
      <c r="M366" s="159"/>
      <c r="N366" s="159"/>
      <c r="O366" s="161"/>
      <c r="P366" s="162" t="str">
        <f t="shared" si="160"/>
        <v/>
      </c>
      <c r="Q366" s="163" t="str">
        <f t="shared" si="161"/>
        <v/>
      </c>
      <c r="R366" s="164">
        <f t="shared" si="162"/>
        <v>0</v>
      </c>
      <c r="S366" s="165">
        <f t="shared" si="153"/>
        <v>0</v>
      </c>
      <c r="T366" s="165">
        <f t="shared" si="154"/>
        <v>0</v>
      </c>
      <c r="U366" s="166">
        <f t="shared" si="155"/>
        <v>0</v>
      </c>
      <c r="V366" s="153" t="str">
        <f t="shared" si="163"/>
        <v/>
      </c>
      <c r="W366" s="153" t="str">
        <f t="shared" si="164"/>
        <v/>
      </c>
      <c r="X366" s="244"/>
      <c r="Y366" s="154">
        <f t="shared" si="156"/>
        <v>0</v>
      </c>
      <c r="Z366" s="154" t="str">
        <f t="shared" si="152"/>
        <v>1000</v>
      </c>
      <c r="AA366" s="153" t="str">
        <f t="shared" si="165"/>
        <v/>
      </c>
      <c r="AD366" s="155" t="str">
        <f t="shared" si="157"/>
        <v/>
      </c>
      <c r="AI366" s="155">
        <f t="array" ref="AI366">MATCH(MIN(IF($AK$501:$AK$525&gt;=IF(G366&gt;1499,E366+7,E366+5), $AK$501:$AK$525)), $AK$501:$AK$525, 0)</f>
        <v>5</v>
      </c>
      <c r="AK366" s="233"/>
      <c r="AL366" s="233"/>
      <c r="AM366" s="155" t="str">
        <f t="shared" si="166"/>
        <v/>
      </c>
      <c r="AN366" s="155" t="str">
        <f t="shared" si="167"/>
        <v/>
      </c>
      <c r="AX366" s="155" t="str">
        <f t="shared" si="168"/>
        <v/>
      </c>
    </row>
    <row r="367" spans="1:50" s="155" customFormat="1" ht="30" hidden="1" customHeight="1">
      <c r="A367" s="141" t="str">
        <f t="shared" si="158"/>
        <v/>
      </c>
      <c r="B367" s="141" t="str">
        <f t="shared" si="159"/>
        <v/>
      </c>
      <c r="C367" s="157" t="str">
        <f>IF(D367="","",
    IF(ISERR(SEARCH("_",D367)),
        IFERROR(_xlfn.AGGREGATE(14,6,$C$12:C366,1),0)+1,
        IFERROR(
            VALUE(TRIM(MID(SUBSTITUTE(D367,"_",REPT(" ",LEN(D367))), (LEN(D367)-LEN(SUBSTITUTE(D367,"_",""))-1)*LEN(D367)+1, LEN(D367))))
            &amp; "." &amp;
            VALUE(TRIM(RIGHT(SUBSTITUTE(D367,"_",REPT(" ",LEN(D367))),LEN(D367)))),
            "")))</f>
        <v/>
      </c>
      <c r="D367" s="158"/>
      <c r="E367" s="159"/>
      <c r="F367" s="159"/>
      <c r="G367" s="159"/>
      <c r="H367" s="159"/>
      <c r="I367" s="158"/>
      <c r="J367" s="158"/>
      <c r="K367" s="159"/>
      <c r="L367" s="160"/>
      <c r="M367" s="159"/>
      <c r="N367" s="159"/>
      <c r="O367" s="161"/>
      <c r="P367" s="162" t="str">
        <f t="shared" si="160"/>
        <v/>
      </c>
      <c r="Q367" s="163" t="str">
        <f t="shared" si="161"/>
        <v/>
      </c>
      <c r="R367" s="164">
        <f t="shared" si="162"/>
        <v>0</v>
      </c>
      <c r="S367" s="165">
        <f t="shared" si="153"/>
        <v>0</v>
      </c>
      <c r="T367" s="165">
        <f t="shared" si="154"/>
        <v>0</v>
      </c>
      <c r="U367" s="166">
        <f t="shared" si="155"/>
        <v>0</v>
      </c>
      <c r="V367" s="153" t="str">
        <f t="shared" si="163"/>
        <v/>
      </c>
      <c r="W367" s="153" t="str">
        <f t="shared" si="164"/>
        <v/>
      </c>
      <c r="X367" s="244"/>
      <c r="Y367" s="154">
        <f t="shared" si="156"/>
        <v>0</v>
      </c>
      <c r="Z367" s="154" t="str">
        <f t="shared" si="152"/>
        <v>1000</v>
      </c>
      <c r="AA367" s="153" t="str">
        <f t="shared" si="165"/>
        <v/>
      </c>
      <c r="AD367" s="155" t="str">
        <f t="shared" si="157"/>
        <v/>
      </c>
      <c r="AI367" s="155">
        <f t="array" ref="AI367">MATCH(MIN(IF($AK$501:$AK$525&gt;=IF(G367&gt;1499,E367+7,E367+5), $AK$501:$AK$525)), $AK$501:$AK$525, 0)</f>
        <v>5</v>
      </c>
      <c r="AK367" s="233"/>
      <c r="AL367" s="233"/>
      <c r="AM367" s="155" t="str">
        <f t="shared" si="166"/>
        <v/>
      </c>
      <c r="AN367" s="155" t="str">
        <f t="shared" si="167"/>
        <v/>
      </c>
      <c r="AX367" s="155" t="str">
        <f t="shared" si="168"/>
        <v/>
      </c>
    </row>
    <row r="368" spans="1:50" s="155" customFormat="1" ht="30" hidden="1" customHeight="1">
      <c r="A368" s="141" t="str">
        <f t="shared" si="158"/>
        <v/>
      </c>
      <c r="B368" s="141" t="str">
        <f t="shared" si="159"/>
        <v/>
      </c>
      <c r="C368" s="157" t="str">
        <f>IF(D368="","",
    IF(ISERR(SEARCH("_",D368)),
        IFERROR(_xlfn.AGGREGATE(14,6,$C$12:C367,1),0)+1,
        IFERROR(
            VALUE(TRIM(MID(SUBSTITUTE(D368,"_",REPT(" ",LEN(D368))), (LEN(D368)-LEN(SUBSTITUTE(D368,"_",""))-1)*LEN(D368)+1, LEN(D368))))
            &amp; "." &amp;
            VALUE(TRIM(RIGHT(SUBSTITUTE(D368,"_",REPT(" ",LEN(D368))),LEN(D368)))),
            "")))</f>
        <v/>
      </c>
      <c r="D368" s="158"/>
      <c r="E368" s="159"/>
      <c r="F368" s="159"/>
      <c r="G368" s="159"/>
      <c r="H368" s="159"/>
      <c r="I368" s="158"/>
      <c r="J368" s="158"/>
      <c r="K368" s="159"/>
      <c r="L368" s="160"/>
      <c r="M368" s="159"/>
      <c r="N368" s="159"/>
      <c r="O368" s="161"/>
      <c r="P368" s="162" t="str">
        <f t="shared" si="160"/>
        <v/>
      </c>
      <c r="Q368" s="163" t="str">
        <f t="shared" si="161"/>
        <v/>
      </c>
      <c r="R368" s="164">
        <f t="shared" si="162"/>
        <v>0</v>
      </c>
      <c r="S368" s="165">
        <f t="shared" si="153"/>
        <v>0</v>
      </c>
      <c r="T368" s="165">
        <f t="shared" si="154"/>
        <v>0</v>
      </c>
      <c r="U368" s="166">
        <f t="shared" si="155"/>
        <v>0</v>
      </c>
      <c r="V368" s="153" t="str">
        <f t="shared" si="163"/>
        <v/>
      </c>
      <c r="W368" s="153" t="str">
        <f t="shared" si="164"/>
        <v/>
      </c>
      <c r="X368" s="244"/>
      <c r="Y368" s="154">
        <f t="shared" si="156"/>
        <v>0</v>
      </c>
      <c r="Z368" s="154" t="str">
        <f t="shared" si="152"/>
        <v>1000</v>
      </c>
      <c r="AA368" s="153" t="str">
        <f t="shared" si="165"/>
        <v/>
      </c>
      <c r="AD368" s="155" t="str">
        <f t="shared" si="157"/>
        <v/>
      </c>
      <c r="AI368" s="155">
        <f t="array" ref="AI368">MATCH(MIN(IF($AK$501:$AK$525&gt;=IF(G368&gt;1499,E368+7,E368+5), $AK$501:$AK$525)), $AK$501:$AK$525, 0)</f>
        <v>5</v>
      </c>
      <c r="AK368" s="233"/>
      <c r="AL368" s="233"/>
      <c r="AM368" s="155" t="str">
        <f t="shared" si="166"/>
        <v/>
      </c>
      <c r="AN368" s="155" t="str">
        <f t="shared" si="167"/>
        <v/>
      </c>
      <c r="AX368" s="155" t="str">
        <f t="shared" si="168"/>
        <v/>
      </c>
    </row>
    <row r="369" spans="1:50" s="155" customFormat="1" ht="30" hidden="1" customHeight="1">
      <c r="A369" s="141" t="str">
        <f t="shared" si="158"/>
        <v/>
      </c>
      <c r="B369" s="141" t="str">
        <f t="shared" si="159"/>
        <v/>
      </c>
      <c r="C369" s="157" t="str">
        <f>IF(D369="","",
    IF(ISERR(SEARCH("_",D369)),
        IFERROR(_xlfn.AGGREGATE(14,6,$C$12:C368,1),0)+1,
        IFERROR(
            VALUE(TRIM(MID(SUBSTITUTE(D369,"_",REPT(" ",LEN(D369))), (LEN(D369)-LEN(SUBSTITUTE(D369,"_",""))-1)*LEN(D369)+1, LEN(D369))))
            &amp; "." &amp;
            VALUE(TRIM(RIGHT(SUBSTITUTE(D369,"_",REPT(" ",LEN(D369))),LEN(D369)))),
            "")))</f>
        <v/>
      </c>
      <c r="D369" s="158"/>
      <c r="E369" s="159"/>
      <c r="F369" s="159"/>
      <c r="G369" s="159"/>
      <c r="H369" s="159"/>
      <c r="I369" s="158"/>
      <c r="J369" s="158"/>
      <c r="K369" s="159"/>
      <c r="L369" s="160"/>
      <c r="M369" s="159"/>
      <c r="N369" s="159"/>
      <c r="O369" s="161"/>
      <c r="P369" s="162" t="str">
        <f t="shared" si="160"/>
        <v/>
      </c>
      <c r="Q369" s="163" t="str">
        <f t="shared" si="161"/>
        <v/>
      </c>
      <c r="R369" s="164">
        <f t="shared" si="162"/>
        <v>0</v>
      </c>
      <c r="S369" s="165">
        <f t="shared" si="153"/>
        <v>0</v>
      </c>
      <c r="T369" s="165">
        <f t="shared" si="154"/>
        <v>0</v>
      </c>
      <c r="U369" s="166">
        <f t="shared" si="155"/>
        <v>0</v>
      </c>
      <c r="V369" s="153" t="str">
        <f t="shared" si="163"/>
        <v/>
      </c>
      <c r="W369" s="153" t="str">
        <f t="shared" si="164"/>
        <v/>
      </c>
      <c r="X369" s="244"/>
      <c r="Y369" s="154">
        <f t="shared" si="156"/>
        <v>0</v>
      </c>
      <c r="Z369" s="154" t="str">
        <f t="shared" si="152"/>
        <v>1000</v>
      </c>
      <c r="AA369" s="153" t="str">
        <f t="shared" si="165"/>
        <v/>
      </c>
      <c r="AD369" s="155" t="str">
        <f t="shared" si="157"/>
        <v/>
      </c>
      <c r="AI369" s="155">
        <f t="array" ref="AI369">MATCH(MIN(IF($AK$501:$AK$525&gt;=IF(G369&gt;1499,E369+7,E369+5), $AK$501:$AK$525)), $AK$501:$AK$525, 0)</f>
        <v>5</v>
      </c>
      <c r="AK369" s="233"/>
      <c r="AL369" s="233"/>
      <c r="AM369" s="155" t="str">
        <f t="shared" si="166"/>
        <v/>
      </c>
      <c r="AN369" s="155" t="str">
        <f t="shared" si="167"/>
        <v/>
      </c>
      <c r="AX369" s="155" t="str">
        <f t="shared" si="168"/>
        <v/>
      </c>
    </row>
    <row r="370" spans="1:50" s="155" customFormat="1" ht="30" hidden="1" customHeight="1">
      <c r="A370" s="141" t="str">
        <f t="shared" si="158"/>
        <v/>
      </c>
      <c r="B370" s="141" t="str">
        <f t="shared" si="159"/>
        <v/>
      </c>
      <c r="C370" s="157" t="str">
        <f>IF(D370="","",
    IF(ISERR(SEARCH("_",D370)),
        IFERROR(_xlfn.AGGREGATE(14,6,$C$12:C369,1),0)+1,
        IFERROR(
            VALUE(TRIM(MID(SUBSTITUTE(D370,"_",REPT(" ",LEN(D370))), (LEN(D370)-LEN(SUBSTITUTE(D370,"_",""))-1)*LEN(D370)+1, LEN(D370))))
            &amp; "." &amp;
            VALUE(TRIM(RIGHT(SUBSTITUTE(D370,"_",REPT(" ",LEN(D370))),LEN(D370)))),
            "")))</f>
        <v/>
      </c>
      <c r="D370" s="158"/>
      <c r="E370" s="159"/>
      <c r="F370" s="159"/>
      <c r="G370" s="159"/>
      <c r="H370" s="159"/>
      <c r="I370" s="158"/>
      <c r="J370" s="158"/>
      <c r="K370" s="159"/>
      <c r="L370" s="160"/>
      <c r="M370" s="159"/>
      <c r="N370" s="159"/>
      <c r="O370" s="161"/>
      <c r="P370" s="162" t="str">
        <f t="shared" si="160"/>
        <v/>
      </c>
      <c r="Q370" s="163" t="str">
        <f t="shared" si="161"/>
        <v/>
      </c>
      <c r="R370" s="164">
        <f t="shared" si="162"/>
        <v>0</v>
      </c>
      <c r="S370" s="165">
        <f t="shared" si="153"/>
        <v>0</v>
      </c>
      <c r="T370" s="165">
        <f t="shared" si="154"/>
        <v>0</v>
      </c>
      <c r="U370" s="166">
        <f t="shared" si="155"/>
        <v>0</v>
      </c>
      <c r="V370" s="153" t="str">
        <f t="shared" si="163"/>
        <v/>
      </c>
      <c r="W370" s="153" t="str">
        <f t="shared" si="164"/>
        <v/>
      </c>
      <c r="X370" s="244"/>
      <c r="Y370" s="154">
        <f t="shared" si="156"/>
        <v>0</v>
      </c>
      <c r="Z370" s="154" t="str">
        <f t="shared" si="152"/>
        <v>1000</v>
      </c>
      <c r="AA370" s="153" t="str">
        <f t="shared" si="165"/>
        <v/>
      </c>
      <c r="AD370" s="155" t="str">
        <f t="shared" si="157"/>
        <v/>
      </c>
      <c r="AI370" s="155">
        <f t="array" ref="AI370">MATCH(MIN(IF($AK$501:$AK$525&gt;=IF(G370&gt;1499,E370+7,E370+5), $AK$501:$AK$525)), $AK$501:$AK$525, 0)</f>
        <v>5</v>
      </c>
      <c r="AK370" s="233"/>
      <c r="AL370" s="233"/>
      <c r="AM370" s="155" t="str">
        <f t="shared" si="166"/>
        <v/>
      </c>
      <c r="AN370" s="155" t="str">
        <f t="shared" si="167"/>
        <v/>
      </c>
      <c r="AX370" s="155" t="str">
        <f t="shared" si="168"/>
        <v/>
      </c>
    </row>
    <row r="371" spans="1:50" s="155" customFormat="1" ht="30" hidden="1" customHeight="1">
      <c r="A371" s="141" t="str">
        <f t="shared" si="158"/>
        <v/>
      </c>
      <c r="B371" s="141" t="str">
        <f t="shared" si="159"/>
        <v/>
      </c>
      <c r="C371" s="157" t="str">
        <f>IF(D371="","",
    IF(ISERR(SEARCH("_",D371)),
        IFERROR(_xlfn.AGGREGATE(14,6,$C$12:C370,1),0)+1,
        IFERROR(
            VALUE(TRIM(MID(SUBSTITUTE(D371,"_",REPT(" ",LEN(D371))), (LEN(D371)-LEN(SUBSTITUTE(D371,"_",""))-1)*LEN(D371)+1, LEN(D371))))
            &amp; "." &amp;
            VALUE(TRIM(RIGHT(SUBSTITUTE(D371,"_",REPT(" ",LEN(D371))),LEN(D371)))),
            "")))</f>
        <v/>
      </c>
      <c r="D371" s="158"/>
      <c r="E371" s="159"/>
      <c r="F371" s="159"/>
      <c r="G371" s="159"/>
      <c r="H371" s="159"/>
      <c r="I371" s="158"/>
      <c r="J371" s="158"/>
      <c r="K371" s="159"/>
      <c r="L371" s="160"/>
      <c r="M371" s="159"/>
      <c r="N371" s="159"/>
      <c r="O371" s="161"/>
      <c r="P371" s="162" t="str">
        <f t="shared" si="160"/>
        <v/>
      </c>
      <c r="Q371" s="163" t="str">
        <f t="shared" si="161"/>
        <v/>
      </c>
      <c r="R371" s="164">
        <f t="shared" si="162"/>
        <v>0</v>
      </c>
      <c r="S371" s="165">
        <f t="shared" si="153"/>
        <v>0</v>
      </c>
      <c r="T371" s="165">
        <f t="shared" si="154"/>
        <v>0</v>
      </c>
      <c r="U371" s="166">
        <f t="shared" si="155"/>
        <v>0</v>
      </c>
      <c r="V371" s="153" t="str">
        <f t="shared" si="163"/>
        <v/>
      </c>
      <c r="W371" s="153" t="str">
        <f t="shared" si="164"/>
        <v/>
      </c>
      <c r="X371" s="244"/>
      <c r="Y371" s="154">
        <f t="shared" si="156"/>
        <v>0</v>
      </c>
      <c r="Z371" s="154" t="str">
        <f t="shared" si="152"/>
        <v>1000</v>
      </c>
      <c r="AA371" s="153" t="str">
        <f t="shared" si="165"/>
        <v/>
      </c>
      <c r="AD371" s="155" t="str">
        <f t="shared" si="157"/>
        <v/>
      </c>
      <c r="AI371" s="155">
        <f t="array" ref="AI371">MATCH(MIN(IF($AK$501:$AK$525&gt;=IF(G371&gt;1499,E371+7,E371+5), $AK$501:$AK$525)), $AK$501:$AK$525, 0)</f>
        <v>5</v>
      </c>
      <c r="AK371" s="233"/>
      <c r="AL371" s="233"/>
      <c r="AM371" s="155" t="str">
        <f t="shared" si="166"/>
        <v/>
      </c>
      <c r="AN371" s="155" t="str">
        <f t="shared" si="167"/>
        <v/>
      </c>
      <c r="AX371" s="155" t="str">
        <f t="shared" si="168"/>
        <v/>
      </c>
    </row>
    <row r="372" spans="1:50" s="155" customFormat="1" ht="30" hidden="1" customHeight="1">
      <c r="A372" s="141" t="str">
        <f t="shared" si="158"/>
        <v/>
      </c>
      <c r="B372" s="141" t="str">
        <f t="shared" si="159"/>
        <v/>
      </c>
      <c r="C372" s="157" t="str">
        <f>IF(D372="","",
    IF(ISERR(SEARCH("_",D372)),
        IFERROR(_xlfn.AGGREGATE(14,6,$C$12:C371,1),0)+1,
        IFERROR(
            VALUE(TRIM(MID(SUBSTITUTE(D372,"_",REPT(" ",LEN(D372))), (LEN(D372)-LEN(SUBSTITUTE(D372,"_",""))-1)*LEN(D372)+1, LEN(D372))))
            &amp; "." &amp;
            VALUE(TRIM(RIGHT(SUBSTITUTE(D372,"_",REPT(" ",LEN(D372))),LEN(D372)))),
            "")))</f>
        <v/>
      </c>
      <c r="D372" s="158"/>
      <c r="E372" s="159"/>
      <c r="F372" s="159"/>
      <c r="G372" s="159"/>
      <c r="H372" s="159"/>
      <c r="I372" s="158"/>
      <c r="J372" s="158"/>
      <c r="K372" s="159"/>
      <c r="L372" s="160"/>
      <c r="M372" s="159"/>
      <c r="N372" s="159"/>
      <c r="O372" s="161"/>
      <c r="P372" s="162" t="str">
        <f t="shared" si="160"/>
        <v/>
      </c>
      <c r="Q372" s="163" t="str">
        <f t="shared" si="161"/>
        <v/>
      </c>
      <c r="R372" s="164">
        <f t="shared" si="162"/>
        <v>0</v>
      </c>
      <c r="S372" s="165">
        <f t="shared" si="153"/>
        <v>0</v>
      </c>
      <c r="T372" s="165">
        <f t="shared" si="154"/>
        <v>0</v>
      </c>
      <c r="U372" s="166">
        <f t="shared" si="155"/>
        <v>0</v>
      </c>
      <c r="V372" s="153" t="str">
        <f t="shared" si="163"/>
        <v/>
      </c>
      <c r="W372" s="153" t="str">
        <f t="shared" si="164"/>
        <v/>
      </c>
      <c r="X372" s="244"/>
      <c r="Y372" s="154">
        <f t="shared" si="156"/>
        <v>0</v>
      </c>
      <c r="Z372" s="154" t="str">
        <f t="shared" si="152"/>
        <v>1000</v>
      </c>
      <c r="AA372" s="153" t="str">
        <f t="shared" si="165"/>
        <v/>
      </c>
      <c r="AD372" s="155" t="str">
        <f t="shared" si="157"/>
        <v/>
      </c>
      <c r="AI372" s="155">
        <f t="array" ref="AI372">MATCH(MIN(IF($AK$501:$AK$525&gt;=IF(G372&gt;1499,E372+7,E372+5), $AK$501:$AK$525)), $AK$501:$AK$525, 0)</f>
        <v>5</v>
      </c>
      <c r="AK372" s="233"/>
      <c r="AL372" s="233"/>
      <c r="AM372" s="155" t="str">
        <f t="shared" si="166"/>
        <v/>
      </c>
      <c r="AN372" s="155" t="str">
        <f t="shared" si="167"/>
        <v/>
      </c>
      <c r="AX372" s="155" t="str">
        <f t="shared" si="168"/>
        <v/>
      </c>
    </row>
    <row r="373" spans="1:50" s="155" customFormat="1" ht="30" hidden="1" customHeight="1">
      <c r="A373" s="141" t="str">
        <f t="shared" si="158"/>
        <v/>
      </c>
      <c r="B373" s="141" t="str">
        <f t="shared" si="159"/>
        <v/>
      </c>
      <c r="C373" s="157" t="str">
        <f>IF(D373="","",
    IF(ISERR(SEARCH("_",D373)),
        IFERROR(_xlfn.AGGREGATE(14,6,$C$12:C372,1),0)+1,
        IFERROR(
            VALUE(TRIM(MID(SUBSTITUTE(D373,"_",REPT(" ",LEN(D373))), (LEN(D373)-LEN(SUBSTITUTE(D373,"_",""))-1)*LEN(D373)+1, LEN(D373))))
            &amp; "." &amp;
            VALUE(TRIM(RIGHT(SUBSTITUTE(D373,"_",REPT(" ",LEN(D373))),LEN(D373)))),
            "")))</f>
        <v/>
      </c>
      <c r="D373" s="158"/>
      <c r="E373" s="159"/>
      <c r="F373" s="159"/>
      <c r="G373" s="159"/>
      <c r="H373" s="159"/>
      <c r="I373" s="158"/>
      <c r="J373" s="158"/>
      <c r="K373" s="159"/>
      <c r="L373" s="160"/>
      <c r="M373" s="159"/>
      <c r="N373" s="159"/>
      <c r="O373" s="161"/>
      <c r="P373" s="162" t="str">
        <f t="shared" si="160"/>
        <v/>
      </c>
      <c r="Q373" s="163" t="str">
        <f t="shared" si="161"/>
        <v/>
      </c>
      <c r="R373" s="164">
        <f t="shared" si="162"/>
        <v>0</v>
      </c>
      <c r="S373" s="165">
        <f t="shared" si="153"/>
        <v>0</v>
      </c>
      <c r="T373" s="165">
        <f t="shared" si="154"/>
        <v>0</v>
      </c>
      <c r="U373" s="166">
        <f t="shared" si="155"/>
        <v>0</v>
      </c>
      <c r="V373" s="153" t="str">
        <f t="shared" si="163"/>
        <v/>
      </c>
      <c r="W373" s="153" t="str">
        <f t="shared" si="164"/>
        <v/>
      </c>
      <c r="X373" s="244"/>
      <c r="Y373" s="154">
        <f t="shared" si="156"/>
        <v>0</v>
      </c>
      <c r="Z373" s="154" t="str">
        <f t="shared" si="152"/>
        <v>1000</v>
      </c>
      <c r="AA373" s="153" t="str">
        <f t="shared" si="165"/>
        <v/>
      </c>
      <c r="AD373" s="155" t="str">
        <f t="shared" si="157"/>
        <v/>
      </c>
      <c r="AI373" s="155">
        <f t="array" ref="AI373">MATCH(MIN(IF($AK$501:$AK$525&gt;=IF(G373&gt;1499,E373+7,E373+5), $AK$501:$AK$525)), $AK$501:$AK$525, 0)</f>
        <v>5</v>
      </c>
      <c r="AK373" s="233"/>
      <c r="AL373" s="233"/>
      <c r="AM373" s="155" t="str">
        <f t="shared" si="166"/>
        <v/>
      </c>
      <c r="AN373" s="155" t="str">
        <f t="shared" si="167"/>
        <v/>
      </c>
      <c r="AX373" s="155" t="str">
        <f t="shared" si="168"/>
        <v/>
      </c>
    </row>
    <row r="374" spans="1:50" s="155" customFormat="1" ht="30" hidden="1" customHeight="1">
      <c r="A374" s="141" t="str">
        <f t="shared" si="158"/>
        <v/>
      </c>
      <c r="B374" s="141" t="str">
        <f t="shared" si="159"/>
        <v/>
      </c>
      <c r="C374" s="157" t="str">
        <f>IF(D374="","",
    IF(ISERR(SEARCH("_",D374)),
        IFERROR(_xlfn.AGGREGATE(14,6,$C$12:C373,1),0)+1,
        IFERROR(
            VALUE(TRIM(MID(SUBSTITUTE(D374,"_",REPT(" ",LEN(D374))), (LEN(D374)-LEN(SUBSTITUTE(D374,"_",""))-1)*LEN(D374)+1, LEN(D374))))
            &amp; "." &amp;
            VALUE(TRIM(RIGHT(SUBSTITUTE(D374,"_",REPT(" ",LEN(D374))),LEN(D374)))),
            "")))</f>
        <v/>
      </c>
      <c r="D374" s="158"/>
      <c r="E374" s="159"/>
      <c r="F374" s="159"/>
      <c r="G374" s="159"/>
      <c r="H374" s="159"/>
      <c r="I374" s="158"/>
      <c r="J374" s="158"/>
      <c r="K374" s="159"/>
      <c r="L374" s="160"/>
      <c r="M374" s="159"/>
      <c r="N374" s="159"/>
      <c r="O374" s="161"/>
      <c r="P374" s="162" t="str">
        <f t="shared" si="160"/>
        <v/>
      </c>
      <c r="Q374" s="163" t="str">
        <f t="shared" si="161"/>
        <v/>
      </c>
      <c r="R374" s="164">
        <f t="shared" si="162"/>
        <v>0</v>
      </c>
      <c r="S374" s="165">
        <f t="shared" si="153"/>
        <v>0</v>
      </c>
      <c r="T374" s="165">
        <f t="shared" si="154"/>
        <v>0</v>
      </c>
      <c r="U374" s="166">
        <f t="shared" si="155"/>
        <v>0</v>
      </c>
      <c r="V374" s="153" t="str">
        <f t="shared" si="163"/>
        <v/>
      </c>
      <c r="W374" s="153" t="str">
        <f t="shared" si="164"/>
        <v/>
      </c>
      <c r="X374" s="244"/>
      <c r="Y374" s="154">
        <f t="shared" si="156"/>
        <v>0</v>
      </c>
      <c r="Z374" s="154" t="str">
        <f t="shared" si="152"/>
        <v>1000</v>
      </c>
      <c r="AA374" s="153" t="str">
        <f t="shared" si="165"/>
        <v/>
      </c>
      <c r="AD374" s="155" t="str">
        <f t="shared" si="157"/>
        <v/>
      </c>
      <c r="AI374" s="155">
        <f t="array" ref="AI374">MATCH(MIN(IF($AK$501:$AK$525&gt;=IF(G374&gt;1499,E374+7,E374+5), $AK$501:$AK$525)), $AK$501:$AK$525, 0)</f>
        <v>5</v>
      </c>
      <c r="AK374" s="233"/>
      <c r="AL374" s="233"/>
      <c r="AM374" s="155" t="str">
        <f t="shared" si="166"/>
        <v/>
      </c>
      <c r="AN374" s="155" t="str">
        <f t="shared" si="167"/>
        <v/>
      </c>
      <c r="AX374" s="155" t="str">
        <f t="shared" si="168"/>
        <v/>
      </c>
    </row>
    <row r="375" spans="1:50" s="155" customFormat="1" ht="30" hidden="1" customHeight="1">
      <c r="A375" s="141" t="str">
        <f t="shared" si="158"/>
        <v/>
      </c>
      <c r="B375" s="141" t="str">
        <f t="shared" si="159"/>
        <v/>
      </c>
      <c r="C375" s="157" t="str">
        <f>IF(D375="","",
    IF(ISERR(SEARCH("_",D375)),
        IFERROR(_xlfn.AGGREGATE(14,6,$C$12:C374,1),0)+1,
        IFERROR(
            VALUE(TRIM(MID(SUBSTITUTE(D375,"_",REPT(" ",LEN(D375))), (LEN(D375)-LEN(SUBSTITUTE(D375,"_",""))-1)*LEN(D375)+1, LEN(D375))))
            &amp; "." &amp;
            VALUE(TRIM(RIGHT(SUBSTITUTE(D375,"_",REPT(" ",LEN(D375))),LEN(D375)))),
            "")))</f>
        <v/>
      </c>
      <c r="D375" s="158"/>
      <c r="E375" s="159"/>
      <c r="F375" s="159"/>
      <c r="G375" s="159"/>
      <c r="H375" s="159"/>
      <c r="I375" s="158"/>
      <c r="J375" s="158"/>
      <c r="K375" s="159"/>
      <c r="L375" s="160"/>
      <c r="M375" s="159"/>
      <c r="N375" s="159"/>
      <c r="O375" s="161"/>
      <c r="P375" s="162" t="str">
        <f t="shared" si="160"/>
        <v/>
      </c>
      <c r="Q375" s="163" t="str">
        <f t="shared" si="161"/>
        <v/>
      </c>
      <c r="R375" s="164">
        <f t="shared" si="162"/>
        <v>0</v>
      </c>
      <c r="S375" s="165">
        <f t="shared" si="153"/>
        <v>0</v>
      </c>
      <c r="T375" s="165">
        <f t="shared" si="154"/>
        <v>0</v>
      </c>
      <c r="U375" s="166">
        <f t="shared" si="155"/>
        <v>0</v>
      </c>
      <c r="V375" s="153" t="str">
        <f t="shared" si="163"/>
        <v/>
      </c>
      <c r="W375" s="153" t="str">
        <f t="shared" si="164"/>
        <v/>
      </c>
      <c r="X375" s="244"/>
      <c r="Y375" s="154">
        <f t="shared" si="156"/>
        <v>0</v>
      </c>
      <c r="Z375" s="154" t="str">
        <f t="shared" si="152"/>
        <v>1000</v>
      </c>
      <c r="AA375" s="153" t="str">
        <f t="shared" si="165"/>
        <v/>
      </c>
      <c r="AD375" s="155" t="str">
        <f t="shared" si="157"/>
        <v/>
      </c>
      <c r="AI375" s="155">
        <f t="array" ref="AI375">MATCH(MIN(IF($AK$501:$AK$525&gt;=IF(G375&gt;1499,E375+7,E375+5), $AK$501:$AK$525)), $AK$501:$AK$525, 0)</f>
        <v>5</v>
      </c>
      <c r="AK375" s="233"/>
      <c r="AL375" s="233"/>
      <c r="AM375" s="155" t="str">
        <f t="shared" si="166"/>
        <v/>
      </c>
      <c r="AN375" s="155" t="str">
        <f t="shared" si="167"/>
        <v/>
      </c>
      <c r="AX375" s="155" t="str">
        <f t="shared" si="168"/>
        <v/>
      </c>
    </row>
    <row r="376" spans="1:50" s="155" customFormat="1" ht="30" hidden="1" customHeight="1">
      <c r="A376" s="141" t="str">
        <f t="shared" si="158"/>
        <v/>
      </c>
      <c r="B376" s="141" t="str">
        <f t="shared" si="159"/>
        <v/>
      </c>
      <c r="C376" s="157" t="str">
        <f>IF(D376="","",
    IF(ISERR(SEARCH("_",D376)),
        IFERROR(_xlfn.AGGREGATE(14,6,$C$12:C375,1),0)+1,
        IFERROR(
            VALUE(TRIM(MID(SUBSTITUTE(D376,"_",REPT(" ",LEN(D376))), (LEN(D376)-LEN(SUBSTITUTE(D376,"_",""))-1)*LEN(D376)+1, LEN(D376))))
            &amp; "." &amp;
            VALUE(TRIM(RIGHT(SUBSTITUTE(D376,"_",REPT(" ",LEN(D376))),LEN(D376)))),
            "")))</f>
        <v/>
      </c>
      <c r="D376" s="158"/>
      <c r="E376" s="159"/>
      <c r="F376" s="159"/>
      <c r="G376" s="159"/>
      <c r="H376" s="159"/>
      <c r="I376" s="158"/>
      <c r="J376" s="158"/>
      <c r="K376" s="159"/>
      <c r="L376" s="160"/>
      <c r="M376" s="159"/>
      <c r="N376" s="159"/>
      <c r="O376" s="161"/>
      <c r="P376" s="162" t="str">
        <f t="shared" si="160"/>
        <v/>
      </c>
      <c r="Q376" s="163" t="str">
        <f t="shared" si="161"/>
        <v/>
      </c>
      <c r="R376" s="164">
        <f t="shared" si="162"/>
        <v>0</v>
      </c>
      <c r="S376" s="165">
        <f t="shared" si="153"/>
        <v>0</v>
      </c>
      <c r="T376" s="165">
        <f t="shared" si="154"/>
        <v>0</v>
      </c>
      <c r="U376" s="166">
        <f t="shared" si="155"/>
        <v>0</v>
      </c>
      <c r="V376" s="153" t="str">
        <f t="shared" si="163"/>
        <v/>
      </c>
      <c r="W376" s="153" t="str">
        <f t="shared" si="164"/>
        <v/>
      </c>
      <c r="X376" s="244"/>
      <c r="Y376" s="154">
        <f t="shared" si="156"/>
        <v>0</v>
      </c>
      <c r="Z376" s="154" t="str">
        <f t="shared" si="152"/>
        <v>1000</v>
      </c>
      <c r="AA376" s="153" t="str">
        <f t="shared" si="165"/>
        <v/>
      </c>
      <c r="AD376" s="155" t="str">
        <f t="shared" si="157"/>
        <v/>
      </c>
      <c r="AI376" s="155">
        <f t="array" ref="AI376">MATCH(MIN(IF($AK$501:$AK$525&gt;=IF(G376&gt;1499,E376+7,E376+5), $AK$501:$AK$525)), $AK$501:$AK$525, 0)</f>
        <v>5</v>
      </c>
      <c r="AK376" s="233"/>
      <c r="AL376" s="233"/>
      <c r="AM376" s="155" t="str">
        <f t="shared" si="166"/>
        <v/>
      </c>
      <c r="AN376" s="155" t="str">
        <f t="shared" si="167"/>
        <v/>
      </c>
      <c r="AX376" s="155" t="str">
        <f t="shared" si="168"/>
        <v/>
      </c>
    </row>
    <row r="377" spans="1:50" s="155" customFormat="1" ht="30" hidden="1" customHeight="1">
      <c r="A377" s="141" t="str">
        <f t="shared" si="158"/>
        <v/>
      </c>
      <c r="B377" s="141" t="str">
        <f t="shared" si="159"/>
        <v/>
      </c>
      <c r="C377" s="157" t="str">
        <f>IF(D377="","",
    IF(ISERR(SEARCH("_",D377)),
        IFERROR(_xlfn.AGGREGATE(14,6,$C$12:C376,1),0)+1,
        IFERROR(
            VALUE(TRIM(MID(SUBSTITUTE(D377,"_",REPT(" ",LEN(D377))), (LEN(D377)-LEN(SUBSTITUTE(D377,"_",""))-1)*LEN(D377)+1, LEN(D377))))
            &amp; "." &amp;
            VALUE(TRIM(RIGHT(SUBSTITUTE(D377,"_",REPT(" ",LEN(D377))),LEN(D377)))),
            "")))</f>
        <v/>
      </c>
      <c r="D377" s="158"/>
      <c r="E377" s="159"/>
      <c r="F377" s="159"/>
      <c r="G377" s="159"/>
      <c r="H377" s="159"/>
      <c r="I377" s="158"/>
      <c r="J377" s="158"/>
      <c r="K377" s="159"/>
      <c r="L377" s="160"/>
      <c r="M377" s="159"/>
      <c r="N377" s="159"/>
      <c r="O377" s="161"/>
      <c r="P377" s="162" t="str">
        <f t="shared" si="160"/>
        <v/>
      </c>
      <c r="Q377" s="163" t="str">
        <f t="shared" si="161"/>
        <v/>
      </c>
      <c r="R377" s="164">
        <f t="shared" si="162"/>
        <v>0</v>
      </c>
      <c r="S377" s="165">
        <f t="shared" si="153"/>
        <v>0</v>
      </c>
      <c r="T377" s="165">
        <f t="shared" si="154"/>
        <v>0</v>
      </c>
      <c r="U377" s="166">
        <f t="shared" si="155"/>
        <v>0</v>
      </c>
      <c r="V377" s="153" t="str">
        <f t="shared" si="163"/>
        <v/>
      </c>
      <c r="W377" s="153" t="str">
        <f t="shared" si="164"/>
        <v/>
      </c>
      <c r="X377" s="244"/>
      <c r="Y377" s="154">
        <f t="shared" si="156"/>
        <v>0</v>
      </c>
      <c r="Z377" s="154" t="str">
        <f t="shared" si="152"/>
        <v>1000</v>
      </c>
      <c r="AA377" s="153" t="str">
        <f t="shared" si="165"/>
        <v/>
      </c>
      <c r="AD377" s="155" t="str">
        <f t="shared" si="157"/>
        <v/>
      </c>
      <c r="AI377" s="155">
        <f t="array" ref="AI377">MATCH(MIN(IF($AK$501:$AK$525&gt;=IF(G377&gt;1499,E377+7,E377+5), $AK$501:$AK$525)), $AK$501:$AK$525, 0)</f>
        <v>5</v>
      </c>
      <c r="AK377" s="233"/>
      <c r="AL377" s="233"/>
      <c r="AM377" s="155" t="str">
        <f t="shared" si="166"/>
        <v/>
      </c>
      <c r="AN377" s="155" t="str">
        <f t="shared" si="167"/>
        <v/>
      </c>
      <c r="AX377" s="155" t="str">
        <f t="shared" si="168"/>
        <v/>
      </c>
    </row>
    <row r="378" spans="1:50" s="155" customFormat="1" ht="30" hidden="1" customHeight="1">
      <c r="A378" s="141" t="str">
        <f t="shared" si="158"/>
        <v/>
      </c>
      <c r="B378" s="141" t="str">
        <f t="shared" si="159"/>
        <v/>
      </c>
      <c r="C378" s="157" t="str">
        <f>IF(D378="","",
    IF(ISERR(SEARCH("_",D378)),
        IFERROR(_xlfn.AGGREGATE(14,6,$C$12:C377,1),0)+1,
        IFERROR(
            VALUE(TRIM(MID(SUBSTITUTE(D378,"_",REPT(" ",LEN(D378))), (LEN(D378)-LEN(SUBSTITUTE(D378,"_",""))-1)*LEN(D378)+1, LEN(D378))))
            &amp; "." &amp;
            VALUE(TRIM(RIGHT(SUBSTITUTE(D378,"_",REPT(" ",LEN(D378))),LEN(D378)))),
            "")))</f>
        <v/>
      </c>
      <c r="D378" s="158"/>
      <c r="E378" s="159"/>
      <c r="F378" s="159"/>
      <c r="G378" s="159"/>
      <c r="H378" s="159"/>
      <c r="I378" s="158"/>
      <c r="J378" s="158"/>
      <c r="K378" s="159"/>
      <c r="L378" s="160"/>
      <c r="M378" s="159"/>
      <c r="N378" s="159"/>
      <c r="O378" s="161"/>
      <c r="P378" s="162" t="str">
        <f t="shared" si="160"/>
        <v/>
      </c>
      <c r="Q378" s="163" t="str">
        <f t="shared" si="161"/>
        <v/>
      </c>
      <c r="R378" s="164">
        <f t="shared" si="162"/>
        <v>0</v>
      </c>
      <c r="S378" s="165">
        <f t="shared" si="153"/>
        <v>0</v>
      </c>
      <c r="T378" s="165">
        <f t="shared" si="154"/>
        <v>0</v>
      </c>
      <c r="U378" s="166">
        <f t="shared" si="155"/>
        <v>0</v>
      </c>
      <c r="V378" s="153" t="str">
        <f t="shared" si="163"/>
        <v/>
      </c>
      <c r="W378" s="153" t="str">
        <f t="shared" si="164"/>
        <v/>
      </c>
      <c r="X378" s="244"/>
      <c r="Y378" s="154">
        <f t="shared" si="156"/>
        <v>0</v>
      </c>
      <c r="Z378" s="154" t="str">
        <f t="shared" si="152"/>
        <v>1000</v>
      </c>
      <c r="AA378" s="153" t="str">
        <f t="shared" si="165"/>
        <v/>
      </c>
      <c r="AD378" s="155" t="str">
        <f t="shared" si="157"/>
        <v/>
      </c>
      <c r="AI378" s="155">
        <f t="array" ref="AI378">MATCH(MIN(IF($AK$501:$AK$525&gt;=IF(G378&gt;1499,E378+7,E378+5), $AK$501:$AK$525)), $AK$501:$AK$525, 0)</f>
        <v>5</v>
      </c>
      <c r="AK378" s="233"/>
      <c r="AL378" s="233"/>
      <c r="AM378" s="155" t="str">
        <f t="shared" si="166"/>
        <v/>
      </c>
      <c r="AN378" s="155" t="str">
        <f t="shared" si="167"/>
        <v/>
      </c>
      <c r="AX378" s="155" t="str">
        <f t="shared" si="168"/>
        <v/>
      </c>
    </row>
    <row r="379" spans="1:50" s="155" customFormat="1" ht="30" hidden="1" customHeight="1">
      <c r="A379" s="141" t="str">
        <f t="shared" si="158"/>
        <v/>
      </c>
      <c r="B379" s="141" t="str">
        <f t="shared" si="159"/>
        <v/>
      </c>
      <c r="C379" s="157" t="str">
        <f>IF(D379="","",
    IF(ISERR(SEARCH("_",D379)),
        IFERROR(_xlfn.AGGREGATE(14,6,$C$12:C378,1),0)+1,
        IFERROR(
            VALUE(TRIM(MID(SUBSTITUTE(D379,"_",REPT(" ",LEN(D379))), (LEN(D379)-LEN(SUBSTITUTE(D379,"_",""))-1)*LEN(D379)+1, LEN(D379))))
            &amp; "." &amp;
            VALUE(TRIM(RIGHT(SUBSTITUTE(D379,"_",REPT(" ",LEN(D379))),LEN(D379)))),
            "")))</f>
        <v/>
      </c>
      <c r="D379" s="158"/>
      <c r="E379" s="159"/>
      <c r="F379" s="159"/>
      <c r="G379" s="159"/>
      <c r="H379" s="159"/>
      <c r="I379" s="158"/>
      <c r="J379" s="158"/>
      <c r="K379" s="159"/>
      <c r="L379" s="160"/>
      <c r="M379" s="159"/>
      <c r="N379" s="159"/>
      <c r="O379" s="161"/>
      <c r="P379" s="162" t="str">
        <f t="shared" si="160"/>
        <v/>
      </c>
      <c r="Q379" s="163" t="str">
        <f t="shared" si="161"/>
        <v/>
      </c>
      <c r="R379" s="164">
        <f t="shared" si="162"/>
        <v>0</v>
      </c>
      <c r="S379" s="165">
        <f t="shared" si="153"/>
        <v>0</v>
      </c>
      <c r="T379" s="165">
        <f t="shared" si="154"/>
        <v>0</v>
      </c>
      <c r="U379" s="166">
        <f t="shared" si="155"/>
        <v>0</v>
      </c>
      <c r="V379" s="153" t="str">
        <f t="shared" si="163"/>
        <v/>
      </c>
      <c r="W379" s="153" t="str">
        <f t="shared" si="164"/>
        <v/>
      </c>
      <c r="X379" s="244"/>
      <c r="Y379" s="154">
        <f t="shared" si="156"/>
        <v>0</v>
      </c>
      <c r="Z379" s="154" t="str">
        <f t="shared" si="152"/>
        <v>1000</v>
      </c>
      <c r="AA379" s="153" t="str">
        <f t="shared" si="165"/>
        <v/>
      </c>
      <c r="AD379" s="155" t="str">
        <f t="shared" si="157"/>
        <v/>
      </c>
      <c r="AI379" s="155">
        <f t="array" ref="AI379">MATCH(MIN(IF($AK$501:$AK$525&gt;=IF(G379&gt;1499,E379+7,E379+5), $AK$501:$AK$525)), $AK$501:$AK$525, 0)</f>
        <v>5</v>
      </c>
      <c r="AK379" s="233"/>
      <c r="AL379" s="233"/>
      <c r="AM379" s="155" t="str">
        <f t="shared" si="166"/>
        <v/>
      </c>
      <c r="AN379" s="155" t="str">
        <f t="shared" si="167"/>
        <v/>
      </c>
      <c r="AX379" s="155" t="str">
        <f t="shared" si="168"/>
        <v/>
      </c>
    </row>
    <row r="380" spans="1:50" s="155" customFormat="1" ht="30" hidden="1" customHeight="1">
      <c r="A380" s="141" t="str">
        <f t="shared" si="158"/>
        <v/>
      </c>
      <c r="B380" s="141" t="str">
        <f t="shared" si="159"/>
        <v/>
      </c>
      <c r="C380" s="157" t="str">
        <f>IF(D380="","",
    IF(ISERR(SEARCH("_",D380)),
        IFERROR(_xlfn.AGGREGATE(14,6,$C$12:C379,1),0)+1,
        IFERROR(
            VALUE(TRIM(MID(SUBSTITUTE(D380,"_",REPT(" ",LEN(D380))), (LEN(D380)-LEN(SUBSTITUTE(D380,"_",""))-1)*LEN(D380)+1, LEN(D380))))
            &amp; "." &amp;
            VALUE(TRIM(RIGHT(SUBSTITUTE(D380,"_",REPT(" ",LEN(D380))),LEN(D380)))),
            "")))</f>
        <v/>
      </c>
      <c r="D380" s="158"/>
      <c r="E380" s="159"/>
      <c r="F380" s="159"/>
      <c r="G380" s="159"/>
      <c r="H380" s="159"/>
      <c r="I380" s="158"/>
      <c r="J380" s="158"/>
      <c r="K380" s="159"/>
      <c r="L380" s="160"/>
      <c r="M380" s="159"/>
      <c r="N380" s="159"/>
      <c r="O380" s="161"/>
      <c r="P380" s="162" t="str">
        <f t="shared" si="160"/>
        <v/>
      </c>
      <c r="Q380" s="163" t="str">
        <f t="shared" si="161"/>
        <v/>
      </c>
      <c r="R380" s="164">
        <f t="shared" si="162"/>
        <v>0</v>
      </c>
      <c r="S380" s="165">
        <f t="shared" si="153"/>
        <v>0</v>
      </c>
      <c r="T380" s="165">
        <f t="shared" si="154"/>
        <v>0</v>
      </c>
      <c r="U380" s="166">
        <f t="shared" si="155"/>
        <v>0</v>
      </c>
      <c r="V380" s="153" t="str">
        <f t="shared" si="163"/>
        <v/>
      </c>
      <c r="W380" s="153" t="str">
        <f t="shared" si="164"/>
        <v/>
      </c>
      <c r="X380" s="244"/>
      <c r="Y380" s="154">
        <f t="shared" si="156"/>
        <v>0</v>
      </c>
      <c r="Z380" s="154" t="str">
        <f t="shared" si="152"/>
        <v>1000</v>
      </c>
      <c r="AA380" s="153" t="str">
        <f t="shared" si="165"/>
        <v/>
      </c>
      <c r="AD380" s="155" t="str">
        <f t="shared" si="157"/>
        <v/>
      </c>
      <c r="AI380" s="155">
        <f t="array" ref="AI380">MATCH(MIN(IF($AK$501:$AK$525&gt;=IF(G380&gt;1499,E380+7,E380+5), $AK$501:$AK$525)), $AK$501:$AK$525, 0)</f>
        <v>5</v>
      </c>
      <c r="AK380" s="233"/>
      <c r="AL380" s="233"/>
      <c r="AM380" s="155" t="str">
        <f t="shared" si="166"/>
        <v/>
      </c>
      <c r="AN380" s="155" t="str">
        <f t="shared" si="167"/>
        <v/>
      </c>
      <c r="AX380" s="155" t="str">
        <f t="shared" si="168"/>
        <v/>
      </c>
    </row>
    <row r="381" spans="1:50" s="155" customFormat="1" ht="30" hidden="1" customHeight="1">
      <c r="A381" s="141" t="str">
        <f t="shared" si="158"/>
        <v/>
      </c>
      <c r="B381" s="141" t="str">
        <f t="shared" si="159"/>
        <v/>
      </c>
      <c r="C381" s="157" t="str">
        <f>IF(D381="","",
    IF(ISERR(SEARCH("_",D381)),
        IFERROR(_xlfn.AGGREGATE(14,6,$C$12:C380,1),0)+1,
        IFERROR(
            VALUE(TRIM(MID(SUBSTITUTE(D381,"_",REPT(" ",LEN(D381))), (LEN(D381)-LEN(SUBSTITUTE(D381,"_",""))-1)*LEN(D381)+1, LEN(D381))))
            &amp; "." &amp;
            VALUE(TRIM(RIGHT(SUBSTITUTE(D381,"_",REPT(" ",LEN(D381))),LEN(D381)))),
            "")))</f>
        <v/>
      </c>
      <c r="D381" s="158"/>
      <c r="E381" s="159"/>
      <c r="F381" s="159"/>
      <c r="G381" s="159"/>
      <c r="H381" s="159"/>
      <c r="I381" s="158"/>
      <c r="J381" s="158"/>
      <c r="K381" s="159"/>
      <c r="L381" s="160"/>
      <c r="M381" s="159"/>
      <c r="N381" s="159"/>
      <c r="O381" s="161"/>
      <c r="P381" s="162" t="str">
        <f t="shared" si="160"/>
        <v/>
      </c>
      <c r="Q381" s="163" t="str">
        <f t="shared" si="161"/>
        <v/>
      </c>
      <c r="R381" s="164">
        <f t="shared" si="162"/>
        <v>0</v>
      </c>
      <c r="S381" s="165">
        <f t="shared" si="153"/>
        <v>0</v>
      </c>
      <c r="T381" s="165">
        <f t="shared" si="154"/>
        <v>0</v>
      </c>
      <c r="U381" s="166">
        <f t="shared" si="155"/>
        <v>0</v>
      </c>
      <c r="V381" s="153" t="str">
        <f t="shared" si="163"/>
        <v/>
      </c>
      <c r="W381" s="153" t="str">
        <f t="shared" si="164"/>
        <v/>
      </c>
      <c r="X381" s="244"/>
      <c r="Y381" s="154">
        <f t="shared" si="156"/>
        <v>0</v>
      </c>
      <c r="Z381" s="154" t="str">
        <f t="shared" si="152"/>
        <v>1000</v>
      </c>
      <c r="AA381" s="153" t="str">
        <f t="shared" si="165"/>
        <v/>
      </c>
      <c r="AD381" s="155" t="str">
        <f t="shared" si="157"/>
        <v/>
      </c>
      <c r="AI381" s="155">
        <f t="array" ref="AI381">MATCH(MIN(IF($AK$501:$AK$525&gt;=IF(G381&gt;1499,E381+7,E381+5), $AK$501:$AK$525)), $AK$501:$AK$525, 0)</f>
        <v>5</v>
      </c>
      <c r="AK381" s="233"/>
      <c r="AL381" s="233"/>
      <c r="AM381" s="155" t="str">
        <f t="shared" si="166"/>
        <v/>
      </c>
      <c r="AN381" s="155" t="str">
        <f t="shared" si="167"/>
        <v/>
      </c>
      <c r="AX381" s="155" t="str">
        <f t="shared" si="168"/>
        <v/>
      </c>
    </row>
    <row r="382" spans="1:50" s="155" customFormat="1" ht="30" hidden="1" customHeight="1">
      <c r="A382" s="141" t="str">
        <f t="shared" si="158"/>
        <v/>
      </c>
      <c r="B382" s="141" t="str">
        <f t="shared" si="159"/>
        <v/>
      </c>
      <c r="C382" s="157" t="str">
        <f>IF(D382="","",
    IF(ISERR(SEARCH("_",D382)),
        IFERROR(_xlfn.AGGREGATE(14,6,$C$12:C381,1),0)+1,
        IFERROR(
            VALUE(TRIM(MID(SUBSTITUTE(D382,"_",REPT(" ",LEN(D382))), (LEN(D382)-LEN(SUBSTITUTE(D382,"_",""))-1)*LEN(D382)+1, LEN(D382))))
            &amp; "." &amp;
            VALUE(TRIM(RIGHT(SUBSTITUTE(D382,"_",REPT(" ",LEN(D382))),LEN(D382)))),
            "")))</f>
        <v/>
      </c>
      <c r="D382" s="158"/>
      <c r="E382" s="159"/>
      <c r="F382" s="159"/>
      <c r="G382" s="159"/>
      <c r="H382" s="159"/>
      <c r="I382" s="158"/>
      <c r="J382" s="158"/>
      <c r="K382" s="159"/>
      <c r="L382" s="160"/>
      <c r="M382" s="159"/>
      <c r="N382" s="159"/>
      <c r="O382" s="161"/>
      <c r="P382" s="162" t="str">
        <f t="shared" si="160"/>
        <v/>
      </c>
      <c r="Q382" s="163" t="str">
        <f t="shared" si="161"/>
        <v/>
      </c>
      <c r="R382" s="164">
        <f t="shared" si="162"/>
        <v>0</v>
      </c>
      <c r="S382" s="165">
        <f t="shared" si="153"/>
        <v>0</v>
      </c>
      <c r="T382" s="165">
        <f t="shared" si="154"/>
        <v>0</v>
      </c>
      <c r="U382" s="166">
        <f t="shared" si="155"/>
        <v>0</v>
      </c>
      <c r="V382" s="153" t="str">
        <f t="shared" si="163"/>
        <v/>
      </c>
      <c r="W382" s="153" t="str">
        <f t="shared" si="164"/>
        <v/>
      </c>
      <c r="X382" s="244"/>
      <c r="Y382" s="154">
        <f t="shared" si="156"/>
        <v>0</v>
      </c>
      <c r="Z382" s="154" t="str">
        <f t="shared" si="152"/>
        <v>1000</v>
      </c>
      <c r="AA382" s="153" t="str">
        <f t="shared" si="165"/>
        <v/>
      </c>
      <c r="AD382" s="155" t="str">
        <f t="shared" si="157"/>
        <v/>
      </c>
      <c r="AI382" s="155">
        <f t="array" ref="AI382">MATCH(MIN(IF($AK$501:$AK$525&gt;=IF(G382&gt;1499,E382+7,E382+5), $AK$501:$AK$525)), $AK$501:$AK$525, 0)</f>
        <v>5</v>
      </c>
      <c r="AK382" s="233"/>
      <c r="AL382" s="233"/>
      <c r="AM382" s="155" t="str">
        <f t="shared" si="166"/>
        <v/>
      </c>
      <c r="AN382" s="155" t="str">
        <f t="shared" si="167"/>
        <v/>
      </c>
      <c r="AX382" s="155" t="str">
        <f t="shared" si="168"/>
        <v/>
      </c>
    </row>
    <row r="383" spans="1:50" s="155" customFormat="1" ht="30" hidden="1" customHeight="1">
      <c r="A383" s="141" t="str">
        <f t="shared" si="158"/>
        <v/>
      </c>
      <c r="B383" s="141" t="str">
        <f t="shared" si="159"/>
        <v/>
      </c>
      <c r="C383" s="157" t="str">
        <f>IF(D383="","",
    IF(ISERR(SEARCH("_",D383)),
        IFERROR(_xlfn.AGGREGATE(14,6,$C$12:C382,1),0)+1,
        IFERROR(
            VALUE(TRIM(MID(SUBSTITUTE(D383,"_",REPT(" ",LEN(D383))), (LEN(D383)-LEN(SUBSTITUTE(D383,"_",""))-1)*LEN(D383)+1, LEN(D383))))
            &amp; "." &amp;
            VALUE(TRIM(RIGHT(SUBSTITUTE(D383,"_",REPT(" ",LEN(D383))),LEN(D383)))),
            "")))</f>
        <v/>
      </c>
      <c r="D383" s="158"/>
      <c r="E383" s="159"/>
      <c r="F383" s="159"/>
      <c r="G383" s="159"/>
      <c r="H383" s="159"/>
      <c r="I383" s="158"/>
      <c r="J383" s="158"/>
      <c r="K383" s="159"/>
      <c r="L383" s="160"/>
      <c r="M383" s="159"/>
      <c r="N383" s="159"/>
      <c r="O383" s="161"/>
      <c r="P383" s="162" t="str">
        <f t="shared" si="160"/>
        <v/>
      </c>
      <c r="Q383" s="163" t="str">
        <f t="shared" si="161"/>
        <v/>
      </c>
      <c r="R383" s="164">
        <f t="shared" si="162"/>
        <v>0</v>
      </c>
      <c r="S383" s="165">
        <f t="shared" si="153"/>
        <v>0</v>
      </c>
      <c r="T383" s="165">
        <f t="shared" si="154"/>
        <v>0</v>
      </c>
      <c r="U383" s="166">
        <f t="shared" si="155"/>
        <v>0</v>
      </c>
      <c r="V383" s="153" t="str">
        <f t="shared" si="163"/>
        <v/>
      </c>
      <c r="W383" s="153" t="str">
        <f t="shared" si="164"/>
        <v/>
      </c>
      <c r="X383" s="244"/>
      <c r="Y383" s="154">
        <f t="shared" si="156"/>
        <v>0</v>
      </c>
      <c r="Z383" s="154" t="str">
        <f t="shared" si="152"/>
        <v>1000</v>
      </c>
      <c r="AA383" s="153" t="str">
        <f t="shared" si="165"/>
        <v/>
      </c>
      <c r="AD383" s="155" t="str">
        <f t="shared" si="157"/>
        <v/>
      </c>
      <c r="AI383" s="155">
        <f t="array" ref="AI383">MATCH(MIN(IF($AK$501:$AK$525&gt;=IF(G383&gt;1499,E383+7,E383+5), $AK$501:$AK$525)), $AK$501:$AK$525, 0)</f>
        <v>5</v>
      </c>
      <c r="AK383" s="233"/>
      <c r="AL383" s="233"/>
      <c r="AM383" s="155" t="str">
        <f t="shared" si="166"/>
        <v/>
      </c>
      <c r="AN383" s="155" t="str">
        <f t="shared" si="167"/>
        <v/>
      </c>
      <c r="AX383" s="155" t="str">
        <f t="shared" si="168"/>
        <v/>
      </c>
    </row>
    <row r="384" spans="1:50" s="155" customFormat="1" ht="30" hidden="1" customHeight="1">
      <c r="A384" s="141" t="str">
        <f t="shared" si="158"/>
        <v/>
      </c>
      <c r="B384" s="141" t="str">
        <f t="shared" si="159"/>
        <v/>
      </c>
      <c r="C384" s="157" t="str">
        <f>IF(D384="","",
    IF(ISERR(SEARCH("_",D384)),
        IFERROR(_xlfn.AGGREGATE(14,6,$C$12:C383,1),0)+1,
        IFERROR(
            VALUE(TRIM(MID(SUBSTITUTE(D384,"_",REPT(" ",LEN(D384))), (LEN(D384)-LEN(SUBSTITUTE(D384,"_",""))-1)*LEN(D384)+1, LEN(D384))))
            &amp; "." &amp;
            VALUE(TRIM(RIGHT(SUBSTITUTE(D384,"_",REPT(" ",LEN(D384))),LEN(D384)))),
            "")))</f>
        <v/>
      </c>
      <c r="D384" s="158"/>
      <c r="E384" s="159"/>
      <c r="F384" s="159"/>
      <c r="G384" s="159"/>
      <c r="H384" s="159"/>
      <c r="I384" s="158"/>
      <c r="J384" s="158"/>
      <c r="K384" s="159"/>
      <c r="L384" s="160"/>
      <c r="M384" s="159"/>
      <c r="N384" s="159"/>
      <c r="O384" s="161"/>
      <c r="P384" s="162" t="str">
        <f t="shared" si="160"/>
        <v/>
      </c>
      <c r="Q384" s="163" t="str">
        <f t="shared" si="161"/>
        <v/>
      </c>
      <c r="R384" s="164">
        <f t="shared" si="162"/>
        <v>0</v>
      </c>
      <c r="S384" s="165">
        <f t="shared" si="153"/>
        <v>0</v>
      </c>
      <c r="T384" s="165">
        <f t="shared" si="154"/>
        <v>0</v>
      </c>
      <c r="U384" s="166">
        <f t="shared" si="155"/>
        <v>0</v>
      </c>
      <c r="V384" s="153" t="str">
        <f t="shared" si="163"/>
        <v/>
      </c>
      <c r="W384" s="153" t="str">
        <f t="shared" si="164"/>
        <v/>
      </c>
      <c r="X384" s="244"/>
      <c r="Y384" s="154">
        <f t="shared" si="156"/>
        <v>0</v>
      </c>
      <c r="Z384" s="154" t="str">
        <f t="shared" si="152"/>
        <v>1000</v>
      </c>
      <c r="AA384" s="153" t="str">
        <f t="shared" si="165"/>
        <v/>
      </c>
      <c r="AD384" s="155" t="str">
        <f t="shared" si="157"/>
        <v/>
      </c>
      <c r="AI384" s="155">
        <f t="array" ref="AI384">MATCH(MIN(IF($AK$501:$AK$525&gt;=IF(G384&gt;1499,E384+7,E384+5), $AK$501:$AK$525)), $AK$501:$AK$525, 0)</f>
        <v>5</v>
      </c>
      <c r="AK384" s="233"/>
      <c r="AL384" s="233"/>
      <c r="AM384" s="155" t="str">
        <f t="shared" si="166"/>
        <v/>
      </c>
      <c r="AN384" s="155" t="str">
        <f t="shared" si="167"/>
        <v/>
      </c>
      <c r="AX384" s="155" t="str">
        <f t="shared" si="168"/>
        <v/>
      </c>
    </row>
    <row r="385" spans="1:50" s="155" customFormat="1" ht="30" hidden="1" customHeight="1">
      <c r="A385" s="141" t="str">
        <f t="shared" si="158"/>
        <v/>
      </c>
      <c r="B385" s="141" t="str">
        <f t="shared" si="159"/>
        <v/>
      </c>
      <c r="C385" s="157" t="str">
        <f>IF(D385="","",
    IF(ISERR(SEARCH("_",D385)),
        IFERROR(_xlfn.AGGREGATE(14,6,$C$12:C384,1),0)+1,
        IFERROR(
            VALUE(TRIM(MID(SUBSTITUTE(D385,"_",REPT(" ",LEN(D385))), (LEN(D385)-LEN(SUBSTITUTE(D385,"_",""))-1)*LEN(D385)+1, LEN(D385))))
            &amp; "." &amp;
            VALUE(TRIM(RIGHT(SUBSTITUTE(D385,"_",REPT(" ",LEN(D385))),LEN(D385)))),
            "")))</f>
        <v/>
      </c>
      <c r="D385" s="158"/>
      <c r="E385" s="159"/>
      <c r="F385" s="159"/>
      <c r="G385" s="159"/>
      <c r="H385" s="159"/>
      <c r="I385" s="158"/>
      <c r="J385" s="158"/>
      <c r="K385" s="159"/>
      <c r="L385" s="160"/>
      <c r="M385" s="159"/>
      <c r="N385" s="159"/>
      <c r="O385" s="161"/>
      <c r="P385" s="162" t="str">
        <f t="shared" si="160"/>
        <v/>
      </c>
      <c r="Q385" s="163" t="str">
        <f t="shared" si="161"/>
        <v/>
      </c>
      <c r="R385" s="164">
        <f t="shared" si="162"/>
        <v>0</v>
      </c>
      <c r="S385" s="165">
        <f t="shared" si="153"/>
        <v>0</v>
      </c>
      <c r="T385" s="165">
        <f t="shared" si="154"/>
        <v>0</v>
      </c>
      <c r="U385" s="166">
        <f t="shared" si="155"/>
        <v>0</v>
      </c>
      <c r="V385" s="153" t="str">
        <f t="shared" si="163"/>
        <v/>
      </c>
      <c r="W385" s="153" t="str">
        <f t="shared" si="164"/>
        <v/>
      </c>
      <c r="X385" s="244"/>
      <c r="Y385" s="154">
        <f t="shared" si="156"/>
        <v>0</v>
      </c>
      <c r="Z385" s="154" t="str">
        <f t="shared" si="152"/>
        <v>1000</v>
      </c>
      <c r="AA385" s="153" t="str">
        <f t="shared" si="165"/>
        <v/>
      </c>
      <c r="AD385" s="155" t="str">
        <f t="shared" si="157"/>
        <v/>
      </c>
      <c r="AI385" s="155">
        <f t="array" ref="AI385">MATCH(MIN(IF($AK$501:$AK$525&gt;=IF(G385&gt;1499,E385+7,E385+5), $AK$501:$AK$525)), $AK$501:$AK$525, 0)</f>
        <v>5</v>
      </c>
      <c r="AK385" s="233"/>
      <c r="AL385" s="233"/>
      <c r="AM385" s="155" t="str">
        <f t="shared" si="166"/>
        <v/>
      </c>
      <c r="AN385" s="155" t="str">
        <f t="shared" si="167"/>
        <v/>
      </c>
      <c r="AX385" s="155" t="str">
        <f t="shared" si="168"/>
        <v/>
      </c>
    </row>
    <row r="386" spans="1:50" s="155" customFormat="1" ht="30" hidden="1" customHeight="1">
      <c r="A386" s="141" t="str">
        <f t="shared" si="158"/>
        <v/>
      </c>
      <c r="B386" s="141" t="str">
        <f t="shared" si="159"/>
        <v/>
      </c>
      <c r="C386" s="157" t="str">
        <f>IF(D386="","",
    IF(ISERR(SEARCH("_",D386)),
        IFERROR(_xlfn.AGGREGATE(14,6,$C$12:C385,1),0)+1,
        IFERROR(
            VALUE(TRIM(MID(SUBSTITUTE(D386,"_",REPT(" ",LEN(D386))), (LEN(D386)-LEN(SUBSTITUTE(D386,"_",""))-1)*LEN(D386)+1, LEN(D386))))
            &amp; "." &amp;
            VALUE(TRIM(RIGHT(SUBSTITUTE(D386,"_",REPT(" ",LEN(D386))),LEN(D386)))),
            "")))</f>
        <v/>
      </c>
      <c r="D386" s="158"/>
      <c r="E386" s="159"/>
      <c r="F386" s="159"/>
      <c r="G386" s="159"/>
      <c r="H386" s="159"/>
      <c r="I386" s="158"/>
      <c r="J386" s="158"/>
      <c r="K386" s="159"/>
      <c r="L386" s="160"/>
      <c r="M386" s="159"/>
      <c r="N386" s="159"/>
      <c r="O386" s="161"/>
      <c r="P386" s="162" t="str">
        <f t="shared" si="160"/>
        <v/>
      </c>
      <c r="Q386" s="163" t="str">
        <f t="shared" si="161"/>
        <v/>
      </c>
      <c r="R386" s="164">
        <f t="shared" si="162"/>
        <v>0</v>
      </c>
      <c r="S386" s="165">
        <f t="shared" si="153"/>
        <v>0</v>
      </c>
      <c r="T386" s="165">
        <f t="shared" si="154"/>
        <v>0</v>
      </c>
      <c r="U386" s="166">
        <f t="shared" si="155"/>
        <v>0</v>
      </c>
      <c r="V386" s="153" t="str">
        <f t="shared" si="163"/>
        <v/>
      </c>
      <c r="W386" s="153" t="str">
        <f t="shared" si="164"/>
        <v/>
      </c>
      <c r="X386" s="244"/>
      <c r="Y386" s="154">
        <f t="shared" si="156"/>
        <v>0</v>
      </c>
      <c r="Z386" s="154" t="str">
        <f t="shared" si="152"/>
        <v>1000</v>
      </c>
      <c r="AA386" s="153" t="str">
        <f t="shared" si="165"/>
        <v/>
      </c>
      <c r="AD386" s="155" t="str">
        <f t="shared" si="157"/>
        <v/>
      </c>
      <c r="AI386" s="155">
        <f t="array" ref="AI386">MATCH(MIN(IF($AK$501:$AK$525&gt;=IF(G386&gt;1499,E386+7,E386+5), $AK$501:$AK$525)), $AK$501:$AK$525, 0)</f>
        <v>5</v>
      </c>
      <c r="AK386" s="233"/>
      <c r="AL386" s="233"/>
      <c r="AM386" s="155" t="str">
        <f t="shared" si="166"/>
        <v/>
      </c>
      <c r="AN386" s="155" t="str">
        <f t="shared" si="167"/>
        <v/>
      </c>
      <c r="AX386" s="155" t="str">
        <f t="shared" si="168"/>
        <v/>
      </c>
    </row>
    <row r="387" spans="1:50" s="155" customFormat="1" ht="30" hidden="1" customHeight="1">
      <c r="A387" s="141" t="str">
        <f t="shared" si="158"/>
        <v/>
      </c>
      <c r="B387" s="141" t="str">
        <f t="shared" si="159"/>
        <v/>
      </c>
      <c r="C387" s="157" t="str">
        <f>IF(D387="","",
    IF(ISERR(SEARCH("_",D387)),
        IFERROR(_xlfn.AGGREGATE(14,6,$C$12:C386,1),0)+1,
        IFERROR(
            VALUE(TRIM(MID(SUBSTITUTE(D387,"_",REPT(" ",LEN(D387))), (LEN(D387)-LEN(SUBSTITUTE(D387,"_",""))-1)*LEN(D387)+1, LEN(D387))))
            &amp; "." &amp;
            VALUE(TRIM(RIGHT(SUBSTITUTE(D387,"_",REPT(" ",LEN(D387))),LEN(D387)))),
            "")))</f>
        <v/>
      </c>
      <c r="D387" s="158"/>
      <c r="E387" s="159"/>
      <c r="F387" s="159"/>
      <c r="G387" s="159"/>
      <c r="H387" s="159"/>
      <c r="I387" s="158"/>
      <c r="J387" s="158"/>
      <c r="K387" s="159"/>
      <c r="L387" s="160"/>
      <c r="M387" s="159"/>
      <c r="N387" s="159"/>
      <c r="O387" s="161"/>
      <c r="P387" s="162" t="str">
        <f t="shared" si="160"/>
        <v/>
      </c>
      <c r="Q387" s="163" t="str">
        <f t="shared" si="161"/>
        <v/>
      </c>
      <c r="R387" s="164">
        <f t="shared" si="162"/>
        <v>0</v>
      </c>
      <c r="S387" s="165">
        <f t="shared" si="153"/>
        <v>0</v>
      </c>
      <c r="T387" s="165">
        <f t="shared" si="154"/>
        <v>0</v>
      </c>
      <c r="U387" s="166">
        <f t="shared" si="155"/>
        <v>0</v>
      </c>
      <c r="V387" s="153" t="str">
        <f t="shared" si="163"/>
        <v/>
      </c>
      <c r="W387" s="153" t="str">
        <f t="shared" si="164"/>
        <v/>
      </c>
      <c r="X387" s="244"/>
      <c r="Y387" s="154">
        <f t="shared" si="156"/>
        <v>0</v>
      </c>
      <c r="Z387" s="154" t="str">
        <f t="shared" si="152"/>
        <v>1000</v>
      </c>
      <c r="AA387" s="153" t="str">
        <f t="shared" si="165"/>
        <v/>
      </c>
      <c r="AD387" s="155" t="str">
        <f t="shared" si="157"/>
        <v/>
      </c>
      <c r="AI387" s="155">
        <f t="array" ref="AI387">MATCH(MIN(IF($AK$501:$AK$525&gt;=IF(G387&gt;1499,E387+7,E387+5), $AK$501:$AK$525)), $AK$501:$AK$525, 0)</f>
        <v>5</v>
      </c>
      <c r="AK387" s="233"/>
      <c r="AL387" s="233"/>
      <c r="AM387" s="155" t="str">
        <f t="shared" si="166"/>
        <v/>
      </c>
      <c r="AN387" s="155" t="str">
        <f t="shared" si="167"/>
        <v/>
      </c>
      <c r="AX387" s="155" t="str">
        <f t="shared" si="168"/>
        <v/>
      </c>
    </row>
    <row r="388" spans="1:50" s="155" customFormat="1" ht="30" hidden="1" customHeight="1">
      <c r="A388" s="141" t="str">
        <f t="shared" si="158"/>
        <v/>
      </c>
      <c r="B388" s="141" t="str">
        <f t="shared" si="159"/>
        <v/>
      </c>
      <c r="C388" s="157" t="str">
        <f>IF(D388="","",
    IF(ISERR(SEARCH("_",D388)),
        IFERROR(_xlfn.AGGREGATE(14,6,$C$12:C387,1),0)+1,
        IFERROR(
            VALUE(TRIM(MID(SUBSTITUTE(D388,"_",REPT(" ",LEN(D388))), (LEN(D388)-LEN(SUBSTITUTE(D388,"_",""))-1)*LEN(D388)+1, LEN(D388))))
            &amp; "." &amp;
            VALUE(TRIM(RIGHT(SUBSTITUTE(D388,"_",REPT(" ",LEN(D388))),LEN(D388)))),
            "")))</f>
        <v/>
      </c>
      <c r="D388" s="158"/>
      <c r="E388" s="159"/>
      <c r="F388" s="159"/>
      <c r="G388" s="159"/>
      <c r="H388" s="159"/>
      <c r="I388" s="158"/>
      <c r="J388" s="158"/>
      <c r="K388" s="159"/>
      <c r="L388" s="160"/>
      <c r="M388" s="159"/>
      <c r="N388" s="159"/>
      <c r="O388" s="161"/>
      <c r="P388" s="162" t="str">
        <f t="shared" si="160"/>
        <v/>
      </c>
      <c r="Q388" s="163" t="str">
        <f t="shared" si="161"/>
        <v/>
      </c>
      <c r="R388" s="164">
        <f t="shared" si="162"/>
        <v>0</v>
      </c>
      <c r="S388" s="165">
        <f t="shared" si="153"/>
        <v>0</v>
      </c>
      <c r="T388" s="165">
        <f t="shared" si="154"/>
        <v>0</v>
      </c>
      <c r="U388" s="166">
        <f t="shared" si="155"/>
        <v>0</v>
      </c>
      <c r="V388" s="153" t="str">
        <f t="shared" si="163"/>
        <v/>
      </c>
      <c r="W388" s="153" t="str">
        <f t="shared" si="164"/>
        <v/>
      </c>
      <c r="X388" s="244"/>
      <c r="Y388" s="154">
        <f t="shared" si="156"/>
        <v>0</v>
      </c>
      <c r="Z388" s="154" t="str">
        <f t="shared" si="152"/>
        <v>1000</v>
      </c>
      <c r="AA388" s="153" t="str">
        <f t="shared" si="165"/>
        <v/>
      </c>
      <c r="AD388" s="155" t="str">
        <f t="shared" si="157"/>
        <v/>
      </c>
      <c r="AI388" s="155">
        <f t="array" ref="AI388">MATCH(MIN(IF($AK$501:$AK$525&gt;=IF(G388&gt;1499,E388+7,E388+5), $AK$501:$AK$525)), $AK$501:$AK$525, 0)</f>
        <v>5</v>
      </c>
      <c r="AK388" s="233"/>
      <c r="AL388" s="233"/>
      <c r="AM388" s="155" t="str">
        <f t="shared" si="166"/>
        <v/>
      </c>
      <c r="AN388" s="155" t="str">
        <f t="shared" si="167"/>
        <v/>
      </c>
      <c r="AX388" s="155" t="str">
        <f t="shared" si="168"/>
        <v/>
      </c>
    </row>
    <row r="389" spans="1:50" s="155" customFormat="1" ht="30" hidden="1" customHeight="1">
      <c r="A389" s="141" t="str">
        <f t="shared" si="158"/>
        <v/>
      </c>
      <c r="B389" s="141" t="str">
        <f t="shared" si="159"/>
        <v/>
      </c>
      <c r="C389" s="157" t="str">
        <f>IF(D389="","",
    IF(ISERR(SEARCH("_",D389)),
        IFERROR(_xlfn.AGGREGATE(14,6,$C$12:C388,1),0)+1,
        IFERROR(
            VALUE(TRIM(MID(SUBSTITUTE(D389,"_",REPT(" ",LEN(D389))), (LEN(D389)-LEN(SUBSTITUTE(D389,"_",""))-1)*LEN(D389)+1, LEN(D389))))
            &amp; "." &amp;
            VALUE(TRIM(RIGHT(SUBSTITUTE(D389,"_",REPT(" ",LEN(D389))),LEN(D389)))),
            "")))</f>
        <v/>
      </c>
      <c r="D389" s="158"/>
      <c r="E389" s="159"/>
      <c r="F389" s="159"/>
      <c r="G389" s="159"/>
      <c r="H389" s="159"/>
      <c r="I389" s="158"/>
      <c r="J389" s="158"/>
      <c r="K389" s="159"/>
      <c r="L389" s="160"/>
      <c r="M389" s="159"/>
      <c r="N389" s="159"/>
      <c r="O389" s="161"/>
      <c r="P389" s="162" t="str">
        <f t="shared" si="160"/>
        <v/>
      </c>
      <c r="Q389" s="163" t="str">
        <f t="shared" si="161"/>
        <v/>
      </c>
      <c r="R389" s="164">
        <f t="shared" si="162"/>
        <v>0</v>
      </c>
      <c r="S389" s="165">
        <f t="shared" si="153"/>
        <v>0</v>
      </c>
      <c r="T389" s="165">
        <f t="shared" si="154"/>
        <v>0</v>
      </c>
      <c r="U389" s="166">
        <f t="shared" si="155"/>
        <v>0</v>
      </c>
      <c r="V389" s="153" t="str">
        <f t="shared" si="163"/>
        <v/>
      </c>
      <c r="W389" s="153" t="str">
        <f t="shared" si="164"/>
        <v/>
      </c>
      <c r="X389" s="244"/>
      <c r="Y389" s="154">
        <f t="shared" si="156"/>
        <v>0</v>
      </c>
      <c r="Z389" s="154" t="str">
        <f t="shared" si="152"/>
        <v>1000</v>
      </c>
      <c r="AA389" s="153" t="str">
        <f t="shared" si="165"/>
        <v/>
      </c>
      <c r="AD389" s="155" t="str">
        <f t="shared" si="157"/>
        <v/>
      </c>
      <c r="AI389" s="155">
        <f t="array" ref="AI389">MATCH(MIN(IF($AK$501:$AK$525&gt;=IF(G389&gt;1499,E389+7,E389+5), $AK$501:$AK$525)), $AK$501:$AK$525, 0)</f>
        <v>5</v>
      </c>
      <c r="AK389" s="233"/>
      <c r="AL389" s="233"/>
      <c r="AM389" s="155" t="str">
        <f t="shared" si="166"/>
        <v/>
      </c>
      <c r="AN389" s="155" t="str">
        <f t="shared" si="167"/>
        <v/>
      </c>
      <c r="AX389" s="155" t="str">
        <f t="shared" si="168"/>
        <v/>
      </c>
    </row>
    <row r="390" spans="1:50" s="155" customFormat="1" ht="30" hidden="1" customHeight="1">
      <c r="A390" s="141" t="str">
        <f t="shared" si="158"/>
        <v/>
      </c>
      <c r="B390" s="141" t="str">
        <f t="shared" si="159"/>
        <v/>
      </c>
      <c r="C390" s="157" t="str">
        <f>IF(D390="","",
    IF(ISERR(SEARCH("_",D390)),
        IFERROR(_xlfn.AGGREGATE(14,6,$C$12:C389,1),0)+1,
        IFERROR(
            VALUE(TRIM(MID(SUBSTITUTE(D390,"_",REPT(" ",LEN(D390))), (LEN(D390)-LEN(SUBSTITUTE(D390,"_",""))-1)*LEN(D390)+1, LEN(D390))))
            &amp; "." &amp;
            VALUE(TRIM(RIGHT(SUBSTITUTE(D390,"_",REPT(" ",LEN(D390))),LEN(D390)))),
            "")))</f>
        <v/>
      </c>
      <c r="D390" s="158"/>
      <c r="E390" s="159"/>
      <c r="F390" s="159"/>
      <c r="G390" s="159"/>
      <c r="H390" s="159"/>
      <c r="I390" s="158"/>
      <c r="J390" s="158"/>
      <c r="K390" s="159"/>
      <c r="L390" s="160"/>
      <c r="M390" s="159"/>
      <c r="N390" s="159"/>
      <c r="O390" s="161"/>
      <c r="P390" s="162" t="str">
        <f t="shared" si="160"/>
        <v/>
      </c>
      <c r="Q390" s="163" t="str">
        <f t="shared" si="161"/>
        <v/>
      </c>
      <c r="R390" s="164">
        <f t="shared" si="162"/>
        <v>0</v>
      </c>
      <c r="S390" s="165">
        <f t="shared" si="153"/>
        <v>0</v>
      </c>
      <c r="T390" s="165">
        <f t="shared" si="154"/>
        <v>0</v>
      </c>
      <c r="U390" s="166">
        <f t="shared" si="155"/>
        <v>0</v>
      </c>
      <c r="V390" s="153" t="str">
        <f t="shared" si="163"/>
        <v/>
      </c>
      <c r="W390" s="153" t="str">
        <f t="shared" si="164"/>
        <v/>
      </c>
      <c r="X390" s="244"/>
      <c r="Y390" s="154">
        <f t="shared" si="156"/>
        <v>0</v>
      </c>
      <c r="Z390" s="154" t="str">
        <f t="shared" si="152"/>
        <v>1000</v>
      </c>
      <c r="AA390" s="153" t="str">
        <f t="shared" si="165"/>
        <v/>
      </c>
      <c r="AD390" s="155" t="str">
        <f t="shared" si="157"/>
        <v/>
      </c>
      <c r="AI390" s="155">
        <f t="array" ref="AI390">MATCH(MIN(IF($AK$501:$AK$525&gt;=IF(G390&gt;1499,E390+7,E390+5), $AK$501:$AK$525)), $AK$501:$AK$525, 0)</f>
        <v>5</v>
      </c>
      <c r="AK390" s="233"/>
      <c r="AL390" s="233"/>
      <c r="AM390" s="155" t="str">
        <f t="shared" si="166"/>
        <v/>
      </c>
      <c r="AN390" s="155" t="str">
        <f t="shared" si="167"/>
        <v/>
      </c>
      <c r="AX390" s="155" t="str">
        <f t="shared" si="168"/>
        <v/>
      </c>
    </row>
    <row r="391" spans="1:50" s="155" customFormat="1" ht="30" hidden="1" customHeight="1">
      <c r="A391" s="141" t="str">
        <f t="shared" si="158"/>
        <v/>
      </c>
      <c r="B391" s="141" t="str">
        <f t="shared" si="159"/>
        <v/>
      </c>
      <c r="C391" s="157" t="str">
        <f>IF(D391="","",
    IF(ISERR(SEARCH("_",D391)),
        IFERROR(_xlfn.AGGREGATE(14,6,$C$12:C390,1),0)+1,
        IFERROR(
            VALUE(TRIM(MID(SUBSTITUTE(D391,"_",REPT(" ",LEN(D391))), (LEN(D391)-LEN(SUBSTITUTE(D391,"_",""))-1)*LEN(D391)+1, LEN(D391))))
            &amp; "." &amp;
            VALUE(TRIM(RIGHT(SUBSTITUTE(D391,"_",REPT(" ",LEN(D391))),LEN(D391)))),
            "")))</f>
        <v/>
      </c>
      <c r="D391" s="158"/>
      <c r="E391" s="159"/>
      <c r="F391" s="159"/>
      <c r="G391" s="159"/>
      <c r="H391" s="159"/>
      <c r="I391" s="158"/>
      <c r="J391" s="158"/>
      <c r="K391" s="159"/>
      <c r="L391" s="160"/>
      <c r="M391" s="159"/>
      <c r="N391" s="159"/>
      <c r="O391" s="161"/>
      <c r="P391" s="162" t="str">
        <f t="shared" si="160"/>
        <v/>
      </c>
      <c r="Q391" s="163" t="str">
        <f t="shared" si="161"/>
        <v/>
      </c>
      <c r="R391" s="164">
        <f t="shared" si="162"/>
        <v>0</v>
      </c>
      <c r="S391" s="165">
        <f t="shared" si="153"/>
        <v>0</v>
      </c>
      <c r="T391" s="165">
        <f t="shared" si="154"/>
        <v>0</v>
      </c>
      <c r="U391" s="166">
        <f t="shared" si="155"/>
        <v>0</v>
      </c>
      <c r="V391" s="153" t="str">
        <f t="shared" si="163"/>
        <v/>
      </c>
      <c r="W391" s="153" t="str">
        <f t="shared" si="164"/>
        <v/>
      </c>
      <c r="X391" s="244"/>
      <c r="Y391" s="154">
        <f t="shared" si="156"/>
        <v>0</v>
      </c>
      <c r="Z391" s="154" t="str">
        <f t="shared" si="152"/>
        <v>1000</v>
      </c>
      <c r="AA391" s="153" t="str">
        <f t="shared" si="165"/>
        <v/>
      </c>
      <c r="AD391" s="155" t="str">
        <f t="shared" si="157"/>
        <v/>
      </c>
      <c r="AI391" s="155">
        <f t="array" ref="AI391">MATCH(MIN(IF($AK$501:$AK$525&gt;=IF(G391&gt;1499,E391+7,E391+5), $AK$501:$AK$525)), $AK$501:$AK$525, 0)</f>
        <v>5</v>
      </c>
      <c r="AK391" s="233"/>
      <c r="AL391" s="233"/>
      <c r="AM391" s="155" t="str">
        <f t="shared" si="166"/>
        <v/>
      </c>
      <c r="AN391" s="155" t="str">
        <f t="shared" si="167"/>
        <v/>
      </c>
      <c r="AX391" s="155" t="str">
        <f t="shared" si="168"/>
        <v/>
      </c>
    </row>
    <row r="392" spans="1:50" s="155" customFormat="1" ht="30" hidden="1" customHeight="1">
      <c r="A392" s="141" t="str">
        <f t="shared" si="158"/>
        <v/>
      </c>
      <c r="B392" s="141" t="str">
        <f t="shared" si="159"/>
        <v/>
      </c>
      <c r="C392" s="157" t="str">
        <f>IF(D392="","",
    IF(ISERR(SEARCH("_",D392)),
        IFERROR(_xlfn.AGGREGATE(14,6,$C$12:C391,1),0)+1,
        IFERROR(
            VALUE(TRIM(MID(SUBSTITUTE(D392,"_",REPT(" ",LEN(D392))), (LEN(D392)-LEN(SUBSTITUTE(D392,"_",""))-1)*LEN(D392)+1, LEN(D392))))
            &amp; "." &amp;
            VALUE(TRIM(RIGHT(SUBSTITUTE(D392,"_",REPT(" ",LEN(D392))),LEN(D392)))),
            "")))</f>
        <v/>
      </c>
      <c r="D392" s="158"/>
      <c r="E392" s="159"/>
      <c r="F392" s="159"/>
      <c r="G392" s="159"/>
      <c r="H392" s="159"/>
      <c r="I392" s="158"/>
      <c r="J392" s="158"/>
      <c r="K392" s="159"/>
      <c r="L392" s="160"/>
      <c r="M392" s="159"/>
      <c r="N392" s="159"/>
      <c r="O392" s="161"/>
      <c r="P392" s="162" t="str">
        <f t="shared" si="160"/>
        <v/>
      </c>
      <c r="Q392" s="163" t="str">
        <f t="shared" si="161"/>
        <v/>
      </c>
      <c r="R392" s="164">
        <f t="shared" si="162"/>
        <v>0</v>
      </c>
      <c r="S392" s="165">
        <f t="shared" si="153"/>
        <v>0</v>
      </c>
      <c r="T392" s="165">
        <f t="shared" si="154"/>
        <v>0</v>
      </c>
      <c r="U392" s="166">
        <f t="shared" si="155"/>
        <v>0</v>
      </c>
      <c r="V392" s="153" t="str">
        <f t="shared" si="163"/>
        <v/>
      </c>
      <c r="W392" s="153" t="str">
        <f t="shared" si="164"/>
        <v/>
      </c>
      <c r="X392" s="244"/>
      <c r="Y392" s="154">
        <f t="shared" si="156"/>
        <v>0</v>
      </c>
      <c r="Z392" s="154" t="str">
        <f t="shared" si="152"/>
        <v>1000</v>
      </c>
      <c r="AA392" s="153" t="str">
        <f t="shared" si="165"/>
        <v/>
      </c>
      <c r="AD392" s="155" t="str">
        <f t="shared" si="157"/>
        <v/>
      </c>
      <c r="AI392" s="155">
        <f t="array" ref="AI392">MATCH(MIN(IF($AK$501:$AK$525&gt;=IF(G392&gt;1499,E392+7,E392+5), $AK$501:$AK$525)), $AK$501:$AK$525, 0)</f>
        <v>5</v>
      </c>
      <c r="AK392" s="233"/>
      <c r="AL392" s="233"/>
      <c r="AM392" s="155" t="str">
        <f t="shared" si="166"/>
        <v/>
      </c>
      <c r="AN392" s="155" t="str">
        <f t="shared" si="167"/>
        <v/>
      </c>
      <c r="AX392" s="155" t="str">
        <f t="shared" si="168"/>
        <v/>
      </c>
    </row>
    <row r="393" spans="1:50" s="155" customFormat="1" ht="30" hidden="1" customHeight="1">
      <c r="A393" s="141" t="str">
        <f t="shared" si="158"/>
        <v/>
      </c>
      <c r="B393" s="141" t="str">
        <f t="shared" si="159"/>
        <v/>
      </c>
      <c r="C393" s="157" t="str">
        <f>IF(D393="","",
    IF(ISERR(SEARCH("_",D393)),
        IFERROR(_xlfn.AGGREGATE(14,6,$C$12:C392,1),0)+1,
        IFERROR(
            VALUE(TRIM(MID(SUBSTITUTE(D393,"_",REPT(" ",LEN(D393))), (LEN(D393)-LEN(SUBSTITUTE(D393,"_",""))-1)*LEN(D393)+1, LEN(D393))))
            &amp; "." &amp;
            VALUE(TRIM(RIGHT(SUBSTITUTE(D393,"_",REPT(" ",LEN(D393))),LEN(D393)))),
            "")))</f>
        <v/>
      </c>
      <c r="D393" s="158"/>
      <c r="E393" s="159"/>
      <c r="F393" s="159"/>
      <c r="G393" s="159"/>
      <c r="H393" s="159"/>
      <c r="I393" s="158"/>
      <c r="J393" s="158"/>
      <c r="K393" s="159"/>
      <c r="L393" s="160"/>
      <c r="M393" s="159"/>
      <c r="N393" s="159"/>
      <c r="O393" s="161"/>
      <c r="P393" s="162" t="str">
        <f t="shared" si="160"/>
        <v/>
      </c>
      <c r="Q393" s="163" t="str">
        <f t="shared" si="161"/>
        <v/>
      </c>
      <c r="R393" s="164">
        <f t="shared" si="162"/>
        <v>0</v>
      </c>
      <c r="S393" s="165">
        <f t="shared" si="153"/>
        <v>0</v>
      </c>
      <c r="T393" s="165">
        <f t="shared" si="154"/>
        <v>0</v>
      </c>
      <c r="U393" s="166">
        <f t="shared" si="155"/>
        <v>0</v>
      </c>
      <c r="V393" s="153" t="str">
        <f t="shared" si="163"/>
        <v/>
      </c>
      <c r="W393" s="153" t="str">
        <f t="shared" si="164"/>
        <v/>
      </c>
      <c r="X393" s="244"/>
      <c r="Y393" s="154">
        <f t="shared" si="156"/>
        <v>0</v>
      </c>
      <c r="Z393" s="154" t="str">
        <f t="shared" si="152"/>
        <v>1000</v>
      </c>
      <c r="AA393" s="153" t="str">
        <f t="shared" si="165"/>
        <v/>
      </c>
      <c r="AD393" s="155" t="str">
        <f t="shared" si="157"/>
        <v/>
      </c>
      <c r="AI393" s="155">
        <f t="array" ref="AI393">MATCH(MIN(IF($AK$501:$AK$525&gt;=IF(G393&gt;1499,E393+7,E393+5), $AK$501:$AK$525)), $AK$501:$AK$525, 0)</f>
        <v>5</v>
      </c>
      <c r="AK393" s="233"/>
      <c r="AL393" s="233"/>
      <c r="AM393" s="155" t="str">
        <f t="shared" si="166"/>
        <v/>
      </c>
      <c r="AN393" s="155" t="str">
        <f t="shared" si="167"/>
        <v/>
      </c>
      <c r="AX393" s="155" t="str">
        <f t="shared" si="168"/>
        <v/>
      </c>
    </row>
    <row r="394" spans="1:50" s="155" customFormat="1" ht="30" hidden="1" customHeight="1">
      <c r="A394" s="141" t="str">
        <f t="shared" si="158"/>
        <v/>
      </c>
      <c r="B394" s="141" t="str">
        <f t="shared" si="159"/>
        <v/>
      </c>
      <c r="C394" s="157" t="str">
        <f>IF(D394="","",
    IF(ISERR(SEARCH("_",D394)),
        IFERROR(_xlfn.AGGREGATE(14,6,$C$12:C393,1),0)+1,
        IFERROR(
            VALUE(TRIM(MID(SUBSTITUTE(D394,"_",REPT(" ",LEN(D394))), (LEN(D394)-LEN(SUBSTITUTE(D394,"_",""))-1)*LEN(D394)+1, LEN(D394))))
            &amp; "." &amp;
            VALUE(TRIM(RIGHT(SUBSTITUTE(D394,"_",REPT(" ",LEN(D394))),LEN(D394)))),
            "")))</f>
        <v/>
      </c>
      <c r="D394" s="158"/>
      <c r="E394" s="159"/>
      <c r="F394" s="159"/>
      <c r="G394" s="159"/>
      <c r="H394" s="159"/>
      <c r="I394" s="158"/>
      <c r="J394" s="158"/>
      <c r="K394" s="159"/>
      <c r="L394" s="160"/>
      <c r="M394" s="159"/>
      <c r="N394" s="159"/>
      <c r="O394" s="161"/>
      <c r="P394" s="162" t="str">
        <f t="shared" si="160"/>
        <v/>
      </c>
      <c r="Q394" s="163" t="str">
        <f t="shared" si="161"/>
        <v/>
      </c>
      <c r="R394" s="164">
        <f t="shared" si="162"/>
        <v>0</v>
      </c>
      <c r="S394" s="165">
        <f t="shared" si="153"/>
        <v>0</v>
      </c>
      <c r="T394" s="165">
        <f t="shared" si="154"/>
        <v>0</v>
      </c>
      <c r="U394" s="166">
        <f t="shared" si="155"/>
        <v>0</v>
      </c>
      <c r="V394" s="153" t="str">
        <f t="shared" si="163"/>
        <v/>
      </c>
      <c r="W394" s="153" t="str">
        <f t="shared" si="164"/>
        <v/>
      </c>
      <c r="X394" s="244"/>
      <c r="Y394" s="154">
        <f t="shared" si="156"/>
        <v>0</v>
      </c>
      <c r="Z394" s="154" t="str">
        <f t="shared" si="152"/>
        <v>1000</v>
      </c>
      <c r="AA394" s="153" t="str">
        <f t="shared" si="165"/>
        <v/>
      </c>
      <c r="AD394" s="155" t="str">
        <f t="shared" si="157"/>
        <v/>
      </c>
      <c r="AI394" s="155">
        <f t="array" ref="AI394">MATCH(MIN(IF($AK$501:$AK$525&gt;=IF(G394&gt;1499,E394+7,E394+5), $AK$501:$AK$525)), $AK$501:$AK$525, 0)</f>
        <v>5</v>
      </c>
      <c r="AK394" s="233"/>
      <c r="AL394" s="233"/>
      <c r="AM394" s="155" t="str">
        <f t="shared" si="166"/>
        <v/>
      </c>
      <c r="AN394" s="155" t="str">
        <f t="shared" si="167"/>
        <v/>
      </c>
      <c r="AX394" s="155" t="str">
        <f t="shared" si="168"/>
        <v/>
      </c>
    </row>
    <row r="395" spans="1:50" s="155" customFormat="1" ht="30" hidden="1" customHeight="1">
      <c r="A395" s="141" t="str">
        <f t="shared" si="158"/>
        <v/>
      </c>
      <c r="B395" s="141" t="str">
        <f t="shared" si="159"/>
        <v/>
      </c>
      <c r="C395" s="157" t="str">
        <f>IF(D395="","",
    IF(ISERR(SEARCH("_",D395)),
        IFERROR(_xlfn.AGGREGATE(14,6,$C$12:C394,1),0)+1,
        IFERROR(
            VALUE(TRIM(MID(SUBSTITUTE(D395,"_",REPT(" ",LEN(D395))), (LEN(D395)-LEN(SUBSTITUTE(D395,"_",""))-1)*LEN(D395)+1, LEN(D395))))
            &amp; "." &amp;
            VALUE(TRIM(RIGHT(SUBSTITUTE(D395,"_",REPT(" ",LEN(D395))),LEN(D395)))),
            "")))</f>
        <v/>
      </c>
      <c r="D395" s="158"/>
      <c r="E395" s="159"/>
      <c r="F395" s="159"/>
      <c r="G395" s="159"/>
      <c r="H395" s="159"/>
      <c r="I395" s="158"/>
      <c r="J395" s="158"/>
      <c r="K395" s="159"/>
      <c r="L395" s="160"/>
      <c r="M395" s="159"/>
      <c r="N395" s="159"/>
      <c r="O395" s="161"/>
      <c r="P395" s="162" t="str">
        <f t="shared" si="160"/>
        <v/>
      </c>
      <c r="Q395" s="163" t="str">
        <f t="shared" si="161"/>
        <v/>
      </c>
      <c r="R395" s="164">
        <f t="shared" si="162"/>
        <v>0</v>
      </c>
      <c r="S395" s="165">
        <f t="shared" si="153"/>
        <v>0</v>
      </c>
      <c r="T395" s="165">
        <f t="shared" si="154"/>
        <v>0</v>
      </c>
      <c r="U395" s="166">
        <f t="shared" si="155"/>
        <v>0</v>
      </c>
      <c r="V395" s="153" t="str">
        <f t="shared" si="163"/>
        <v/>
      </c>
      <c r="W395" s="153" t="str">
        <f t="shared" si="164"/>
        <v/>
      </c>
      <c r="X395" s="244"/>
      <c r="Y395" s="154">
        <f t="shared" si="156"/>
        <v>0</v>
      </c>
      <c r="Z395" s="154" t="str">
        <f t="shared" si="152"/>
        <v>1000</v>
      </c>
      <c r="AA395" s="153" t="str">
        <f t="shared" si="165"/>
        <v/>
      </c>
      <c r="AD395" s="155" t="str">
        <f t="shared" si="157"/>
        <v/>
      </c>
      <c r="AI395" s="155">
        <f t="array" ref="AI395">MATCH(MIN(IF($AK$501:$AK$525&gt;=IF(G395&gt;1499,E395+7,E395+5), $AK$501:$AK$525)), $AK$501:$AK$525, 0)</f>
        <v>5</v>
      </c>
      <c r="AK395" s="233"/>
      <c r="AL395" s="233"/>
      <c r="AM395" s="155" t="str">
        <f t="shared" si="166"/>
        <v/>
      </c>
      <c r="AN395" s="155" t="str">
        <f t="shared" si="167"/>
        <v/>
      </c>
      <c r="AX395" s="155" t="str">
        <f t="shared" si="168"/>
        <v/>
      </c>
    </row>
    <row r="396" spans="1:50" s="155" customFormat="1" ht="30" hidden="1" customHeight="1">
      <c r="A396" s="141" t="str">
        <f t="shared" si="158"/>
        <v/>
      </c>
      <c r="B396" s="141" t="str">
        <f t="shared" si="159"/>
        <v/>
      </c>
      <c r="C396" s="157" t="str">
        <f>IF(D396="","",
    IF(ISERR(SEARCH("_",D396)),
        IFERROR(_xlfn.AGGREGATE(14,6,$C$12:C395,1),0)+1,
        IFERROR(
            VALUE(TRIM(MID(SUBSTITUTE(D396,"_",REPT(" ",LEN(D396))), (LEN(D396)-LEN(SUBSTITUTE(D396,"_",""))-1)*LEN(D396)+1, LEN(D396))))
            &amp; "." &amp;
            VALUE(TRIM(RIGHT(SUBSTITUTE(D396,"_",REPT(" ",LEN(D396))),LEN(D396)))),
            "")))</f>
        <v/>
      </c>
      <c r="D396" s="158"/>
      <c r="E396" s="159"/>
      <c r="F396" s="159"/>
      <c r="G396" s="159"/>
      <c r="H396" s="159"/>
      <c r="I396" s="158"/>
      <c r="J396" s="158"/>
      <c r="K396" s="159"/>
      <c r="L396" s="160"/>
      <c r="M396" s="159"/>
      <c r="N396" s="159"/>
      <c r="O396" s="161"/>
      <c r="P396" s="162" t="str">
        <f t="shared" si="160"/>
        <v/>
      </c>
      <c r="Q396" s="163" t="str">
        <f t="shared" si="161"/>
        <v/>
      </c>
      <c r="R396" s="164">
        <f t="shared" si="162"/>
        <v>0</v>
      </c>
      <c r="S396" s="165">
        <f t="shared" si="153"/>
        <v>0</v>
      </c>
      <c r="T396" s="165">
        <f t="shared" si="154"/>
        <v>0</v>
      </c>
      <c r="U396" s="166">
        <f t="shared" si="155"/>
        <v>0</v>
      </c>
      <c r="V396" s="153" t="str">
        <f t="shared" si="163"/>
        <v/>
      </c>
      <c r="W396" s="153" t="str">
        <f t="shared" si="164"/>
        <v/>
      </c>
      <c r="X396" s="244"/>
      <c r="Y396" s="154">
        <f t="shared" si="156"/>
        <v>0</v>
      </c>
      <c r="Z396" s="154" t="str">
        <f t="shared" si="152"/>
        <v>1000</v>
      </c>
      <c r="AA396" s="153" t="str">
        <f t="shared" si="165"/>
        <v/>
      </c>
      <c r="AD396" s="155" t="str">
        <f t="shared" si="157"/>
        <v/>
      </c>
      <c r="AI396" s="155">
        <f t="array" ref="AI396">MATCH(MIN(IF($AK$501:$AK$525&gt;=IF(G396&gt;1499,E396+7,E396+5), $AK$501:$AK$525)), $AK$501:$AK$525, 0)</f>
        <v>5</v>
      </c>
      <c r="AK396" s="233"/>
      <c r="AL396" s="233"/>
      <c r="AM396" s="155" t="str">
        <f t="shared" si="166"/>
        <v/>
      </c>
      <c r="AN396" s="155" t="str">
        <f t="shared" si="167"/>
        <v/>
      </c>
      <c r="AX396" s="155" t="str">
        <f t="shared" si="168"/>
        <v/>
      </c>
    </row>
    <row r="397" spans="1:50" s="155" customFormat="1" ht="30" hidden="1" customHeight="1">
      <c r="A397" s="141" t="str">
        <f t="shared" si="158"/>
        <v/>
      </c>
      <c r="B397" s="141" t="str">
        <f t="shared" si="159"/>
        <v/>
      </c>
      <c r="C397" s="157" t="str">
        <f>IF(D397="","",
    IF(ISERR(SEARCH("_",D397)),
        IFERROR(_xlfn.AGGREGATE(14,6,$C$12:C396,1),0)+1,
        IFERROR(
            VALUE(TRIM(MID(SUBSTITUTE(D397,"_",REPT(" ",LEN(D397))), (LEN(D397)-LEN(SUBSTITUTE(D397,"_",""))-1)*LEN(D397)+1, LEN(D397))))
            &amp; "." &amp;
            VALUE(TRIM(RIGHT(SUBSTITUTE(D397,"_",REPT(" ",LEN(D397))),LEN(D397)))),
            "")))</f>
        <v/>
      </c>
      <c r="D397" s="158"/>
      <c r="E397" s="159"/>
      <c r="F397" s="159"/>
      <c r="G397" s="159"/>
      <c r="H397" s="159"/>
      <c r="I397" s="158"/>
      <c r="J397" s="158"/>
      <c r="K397" s="159"/>
      <c r="L397" s="160"/>
      <c r="M397" s="159"/>
      <c r="N397" s="159"/>
      <c r="O397" s="161"/>
      <c r="P397" s="162" t="str">
        <f t="shared" si="160"/>
        <v/>
      </c>
      <c r="Q397" s="163" t="str">
        <f t="shared" si="161"/>
        <v/>
      </c>
      <c r="R397" s="164">
        <f t="shared" si="162"/>
        <v>0</v>
      </c>
      <c r="S397" s="165">
        <f t="shared" si="153"/>
        <v>0</v>
      </c>
      <c r="T397" s="165">
        <f t="shared" si="154"/>
        <v>0</v>
      </c>
      <c r="U397" s="166">
        <f t="shared" si="155"/>
        <v>0</v>
      </c>
      <c r="V397" s="153" t="str">
        <f t="shared" si="163"/>
        <v/>
      </c>
      <c r="W397" s="153" t="str">
        <f t="shared" si="164"/>
        <v/>
      </c>
      <c r="X397" s="244"/>
      <c r="Y397" s="154">
        <f t="shared" si="156"/>
        <v>0</v>
      </c>
      <c r="Z397" s="154" t="str">
        <f t="shared" ref="Z397:Z460" si="169">IFERROR(FIND(".",$C398),"1000")</f>
        <v>1000</v>
      </c>
      <c r="AA397" s="153" t="str">
        <f t="shared" si="165"/>
        <v/>
      </c>
      <c r="AD397" s="155" t="str">
        <f t="shared" si="157"/>
        <v/>
      </c>
      <c r="AI397" s="155">
        <f t="array" ref="AI397">MATCH(MIN(IF($AK$501:$AK$525&gt;=IF(G397&gt;1499,E397+7,E397+5), $AK$501:$AK$525)), $AK$501:$AK$525, 0)</f>
        <v>5</v>
      </c>
      <c r="AK397" s="233"/>
      <c r="AL397" s="233"/>
      <c r="AM397" s="155" t="str">
        <f t="shared" si="166"/>
        <v/>
      </c>
      <c r="AN397" s="155" t="str">
        <f t="shared" si="167"/>
        <v/>
      </c>
      <c r="AX397" s="155" t="str">
        <f t="shared" si="168"/>
        <v/>
      </c>
    </row>
    <row r="398" spans="1:50" s="155" customFormat="1" ht="30" hidden="1" customHeight="1">
      <c r="A398" s="141" t="str">
        <f t="shared" si="158"/>
        <v/>
      </c>
      <c r="B398" s="141" t="str">
        <f t="shared" si="159"/>
        <v/>
      </c>
      <c r="C398" s="157" t="str">
        <f>IF(D398="","",
    IF(ISERR(SEARCH("_",D398)),
        IFERROR(_xlfn.AGGREGATE(14,6,$C$12:C397,1),0)+1,
        IFERROR(
            VALUE(TRIM(MID(SUBSTITUTE(D398,"_",REPT(" ",LEN(D398))), (LEN(D398)-LEN(SUBSTITUTE(D398,"_",""))-1)*LEN(D398)+1, LEN(D398))))
            &amp; "." &amp;
            VALUE(TRIM(RIGHT(SUBSTITUTE(D398,"_",REPT(" ",LEN(D398))),LEN(D398)))),
            "")))</f>
        <v/>
      </c>
      <c r="D398" s="158"/>
      <c r="E398" s="159"/>
      <c r="F398" s="159"/>
      <c r="G398" s="159"/>
      <c r="H398" s="159"/>
      <c r="I398" s="158"/>
      <c r="J398" s="158"/>
      <c r="K398" s="159"/>
      <c r="L398" s="160"/>
      <c r="M398" s="159"/>
      <c r="N398" s="159"/>
      <c r="O398" s="161"/>
      <c r="P398" s="162" t="str">
        <f t="shared" si="160"/>
        <v/>
      </c>
      <c r="Q398" s="163" t="str">
        <f t="shared" si="161"/>
        <v/>
      </c>
      <c r="R398" s="164">
        <f t="shared" si="162"/>
        <v>0</v>
      </c>
      <c r="S398" s="165">
        <f t="shared" ref="S398:S461" si="170">IF(ISERR(SEARCH("2d",K398)),IF(ISERR(SEARCH("1d",K398)),0,1),2)*($G398+40)*$H398/10^3+IF(ISERR(SEARCH("2r",K398)),IF(ISERR(SEARCH("1r",K398)),0,1),2)*($F398+40)*$H398/10^3</f>
        <v>0</v>
      </c>
      <c r="T398" s="165">
        <f t="shared" ref="T398:T461" si="171">IF(ISERR(SEARCH("2m",M398)),IF(ISERR(SEARCH("1m",M398)),0,1),2)*$G398*$F398*$H398/10^6+IF(ISERR(SEARCH("2d",M398)),IF(ISERR(SEARCH("1d",M398)),0,1),2)*$G398*$E398*$H398/10^6+IF(ISERR(SEARCH("2r",M398)),IF(ISERR(SEARCH("1r",M398)),0,1),2)*$F398*$E398*$H398/10^6</f>
        <v>0</v>
      </c>
      <c r="U398" s="166">
        <f t="shared" ref="U398:U461" si="172">IF(ISERR(SEARCH("2m",N398)),IF(ISERR(SEARCH("1m",N398)),0,1),2)*$G398*$F398*$H398/10^6+IF(ISERR(SEARCH("2d",N398)),IF(ISERR(SEARCH("1d",N398)),0,1),2)*$G398*$E398*$H398/10^6+IF(ISERR(SEARCH("2r",N398)),IF(ISERR(SEARCH("1r",N398)),0,1),2)*$F398*$E398*$H398/10^6</f>
        <v>0</v>
      </c>
      <c r="V398" s="153" t="str">
        <f t="shared" si="163"/>
        <v/>
      </c>
      <c r="W398" s="153" t="str">
        <f t="shared" si="164"/>
        <v/>
      </c>
      <c r="X398" s="244"/>
      <c r="Y398" s="154">
        <f t="shared" ref="Y398:Y461" si="173">IFERROR((E398*F398*G398*H398*10^-9)*750,"")</f>
        <v>0</v>
      </c>
      <c r="Z398" s="154" t="str">
        <f t="shared" si="169"/>
        <v>1000</v>
      </c>
      <c r="AA398" s="153" t="str">
        <f t="shared" si="165"/>
        <v/>
      </c>
      <c r="AD398" s="155" t="str">
        <f t="shared" ref="AD398:AD461" si="174">IF(OR(I398="_",LEFT(I398,4)="KTHT"),"",IF(C398="","",1))</f>
        <v/>
      </c>
      <c r="AI398" s="155">
        <f t="array" ref="AI398">MATCH(MIN(IF($AK$501:$AK$525&gt;=IF(G398&gt;1499,E398+7,E398+5), $AK$501:$AK$525)), $AK$501:$AK$525, 0)</f>
        <v>5</v>
      </c>
      <c r="AK398" s="233"/>
      <c r="AL398" s="233"/>
      <c r="AM398" s="155" t="str">
        <f t="shared" si="166"/>
        <v/>
      </c>
      <c r="AN398" s="155" t="str">
        <f t="shared" si="167"/>
        <v/>
      </c>
      <c r="AX398" s="155" t="str">
        <f t="shared" si="168"/>
        <v/>
      </c>
    </row>
    <row r="399" spans="1:50" s="155" customFormat="1" ht="30" hidden="1" customHeight="1">
      <c r="A399" s="141" t="str">
        <f t="shared" si="158"/>
        <v/>
      </c>
      <c r="B399" s="141" t="str">
        <f t="shared" si="159"/>
        <v/>
      </c>
      <c r="C399" s="157" t="str">
        <f>IF(D399="","",
    IF(ISERR(SEARCH("_",D399)),
        IFERROR(_xlfn.AGGREGATE(14,6,$C$12:C398,1),0)+1,
        IFERROR(
            VALUE(TRIM(MID(SUBSTITUTE(D399,"_",REPT(" ",LEN(D399))), (LEN(D399)-LEN(SUBSTITUTE(D399,"_",""))-1)*LEN(D399)+1, LEN(D399))))
            &amp; "." &amp;
            VALUE(TRIM(RIGHT(SUBSTITUTE(D399,"_",REPT(" ",LEN(D399))),LEN(D399)))),
            "")))</f>
        <v/>
      </c>
      <c r="D399" s="158"/>
      <c r="E399" s="159"/>
      <c r="F399" s="159"/>
      <c r="G399" s="159"/>
      <c r="H399" s="159"/>
      <c r="I399" s="158"/>
      <c r="J399" s="158"/>
      <c r="K399" s="159"/>
      <c r="L399" s="160"/>
      <c r="M399" s="159"/>
      <c r="N399" s="159"/>
      <c r="O399" s="161"/>
      <c r="P399" s="162" t="str">
        <f t="shared" si="160"/>
        <v/>
      </c>
      <c r="Q399" s="163" t="str">
        <f t="shared" si="161"/>
        <v/>
      </c>
      <c r="R399" s="164">
        <f t="shared" si="162"/>
        <v>0</v>
      </c>
      <c r="S399" s="165">
        <f t="shared" si="170"/>
        <v>0</v>
      </c>
      <c r="T399" s="165">
        <f t="shared" si="171"/>
        <v>0</v>
      </c>
      <c r="U399" s="166">
        <f t="shared" si="172"/>
        <v>0</v>
      </c>
      <c r="V399" s="153" t="str">
        <f t="shared" si="163"/>
        <v/>
      </c>
      <c r="W399" s="153" t="str">
        <f t="shared" si="164"/>
        <v/>
      </c>
      <c r="X399" s="244"/>
      <c r="Y399" s="154">
        <f t="shared" si="173"/>
        <v>0</v>
      </c>
      <c r="Z399" s="154" t="str">
        <f t="shared" si="169"/>
        <v>1000</v>
      </c>
      <c r="AA399" s="153" t="str">
        <f t="shared" si="165"/>
        <v/>
      </c>
      <c r="AD399" s="155" t="str">
        <f t="shared" si="174"/>
        <v/>
      </c>
      <c r="AI399" s="155">
        <f t="array" ref="AI399">MATCH(MIN(IF($AK$501:$AK$525&gt;=IF(G399&gt;1499,E399+7,E399+5), $AK$501:$AK$525)), $AK$501:$AK$525, 0)</f>
        <v>5</v>
      </c>
      <c r="AK399" s="233"/>
      <c r="AL399" s="233"/>
      <c r="AM399" s="155" t="str">
        <f t="shared" si="166"/>
        <v/>
      </c>
      <c r="AN399" s="155" t="str">
        <f t="shared" si="167"/>
        <v/>
      </c>
      <c r="AX399" s="155" t="str">
        <f t="shared" si="168"/>
        <v/>
      </c>
    </row>
    <row r="400" spans="1:50" s="155" customFormat="1" ht="30" hidden="1" customHeight="1">
      <c r="A400" s="141" t="str">
        <f t="shared" ref="A400:A463" si="175">IF(W400="IN",$E$6,"")</f>
        <v/>
      </c>
      <c r="B400" s="141" t="str">
        <f t="shared" ref="B400:B463" si="176">IF(W400="IN","Muc "&amp;$E$7,"")</f>
        <v/>
      </c>
      <c r="C400" s="157" t="str">
        <f>IF(D400="","",
    IF(ISERR(SEARCH("_",D400)),
        IFERROR(_xlfn.AGGREGATE(14,6,$C$12:C399,1),0)+1,
        IFERROR(
            VALUE(TRIM(MID(SUBSTITUTE(D400,"_",REPT(" ",LEN(D400))), (LEN(D400)-LEN(SUBSTITUTE(D400,"_",""))-1)*LEN(D400)+1, LEN(D400))))
            &amp; "." &amp;
            VALUE(TRIM(RIGHT(SUBSTITUTE(D400,"_",REPT(" ",LEN(D400))),LEN(D400)))),
            "")))</f>
        <v/>
      </c>
      <c r="D400" s="158"/>
      <c r="E400" s="159"/>
      <c r="F400" s="159"/>
      <c r="G400" s="159"/>
      <c r="H400" s="159"/>
      <c r="I400" s="158"/>
      <c r="J400" s="158"/>
      <c r="K400" s="159"/>
      <c r="L400" s="160"/>
      <c r="M400" s="159"/>
      <c r="N400" s="159"/>
      <c r="O400" s="161"/>
      <c r="P400" s="162" t="str">
        <f t="shared" ref="P400:P463" si="177">IF(AND(LEFT(I400,2)="gỗ",M400&lt;&gt;""),IF(LEFT(RIGHT(IF(E400="","",INDEX($AL$501:$AL$525,VALUE(AI400),1)),3),2)="/4",AM400,AN400)&amp;" "&amp;IF(E400="","",INDEX($AL$501:$AL$525,VALUE(AI400),1)),IF(AND(LEFT(I400,2)="gỗ",M400=""),"loại BC"&amp;" "&amp;IF(E400="","",INDEX($AL$501:$AL$525,VALUE(AI400),1)),""))</f>
        <v/>
      </c>
      <c r="Q400" s="163" t="str">
        <f t="shared" ref="Q400:Q463" si="178">IF(I400="","",IF(LEFT(I400,2)="gỗ","m3","Tấm"))</f>
        <v/>
      </c>
      <c r="R400" s="164">
        <f t="shared" ref="R400:R463" si="179">IF(OR(Q400="Con",Q400="Cụm",Q400="Hệ",Q400="Thanh"),H400,IF(Q400="Tấm",(F400*G400*H400)/(1220*2440),IF(Q400="Md",G400*H400/1000,IF(Q400="M2",F400*G400*H400/10^6,IF(Q400="M3",E400*F400*G400*H400/10^9,0)))))</f>
        <v>0</v>
      </c>
      <c r="S400" s="165">
        <f t="shared" si="170"/>
        <v>0</v>
      </c>
      <c r="T400" s="165">
        <f t="shared" si="171"/>
        <v>0</v>
      </c>
      <c r="U400" s="166">
        <f t="shared" si="172"/>
        <v>0</v>
      </c>
      <c r="V400" s="153" t="str">
        <f t="shared" ref="V400:V463" si="180">IF(W400="IN",$Y$3,"")</f>
        <v/>
      </c>
      <c r="W400" s="153" t="str">
        <f t="shared" ref="W400:W463" si="181">IF(OR(C400&lt;&gt;"",D400&lt;&gt;""),"IN","")</f>
        <v/>
      </c>
      <c r="X400" s="244"/>
      <c r="Y400" s="154">
        <f t="shared" si="173"/>
        <v>0</v>
      </c>
      <c r="Z400" s="154" t="str">
        <f t="shared" si="169"/>
        <v>1000</v>
      </c>
      <c r="AA400" s="153" t="str">
        <f t="shared" ref="AA400:AA463" si="182">IFERROR(MATCH(J400,$J$13:$J$482,0)&amp;",","")</f>
        <v/>
      </c>
      <c r="AD400" s="155" t="str">
        <f t="shared" si="174"/>
        <v/>
      </c>
      <c r="AI400" s="155">
        <f t="array" ref="AI400">MATCH(MIN(IF($AK$501:$AK$525&gt;=IF(G400&gt;1499,E400+7,E400+5), $AK$501:$AK$525)), $AK$501:$AK$525, 0)</f>
        <v>5</v>
      </c>
      <c r="AK400" s="233"/>
      <c r="AL400" s="233"/>
      <c r="AM400" s="155" t="str">
        <f t="shared" ref="AM400:AM463" si="183">IF(M400="","",IF(F400&gt;99,"FAS",IF(LEFT(I400,2)="Gỗ",IF(LEFT(M400,4)="2M2D","loại 1common",IF(AND(G400&gt;1699,LEFT(M400,4)&lt;&gt;"2M2D"),"loại 1common","loại 2common")),"")))</f>
        <v/>
      </c>
      <c r="AN400" s="155" t="str">
        <f t="shared" ref="AN400:AN463" si="184">IF(AM400="","",IF(AM400="loại 1common","loại A",IF(AM400="loại 2common","loại AB","loại FAS")))</f>
        <v/>
      </c>
      <c r="AX400" s="155" t="str">
        <f t="shared" ref="AX400:AX463" si="185">W400</f>
        <v/>
      </c>
    </row>
    <row r="401" spans="1:50" s="155" customFormat="1" ht="30" hidden="1" customHeight="1">
      <c r="A401" s="141" t="str">
        <f t="shared" si="175"/>
        <v/>
      </c>
      <c r="B401" s="141" t="str">
        <f t="shared" si="176"/>
        <v/>
      </c>
      <c r="C401" s="157" t="str">
        <f>IF(D401="","",
    IF(ISERR(SEARCH("_",D401)),
        IFERROR(_xlfn.AGGREGATE(14,6,$C$12:C400,1),0)+1,
        IFERROR(
            VALUE(TRIM(MID(SUBSTITUTE(D401,"_",REPT(" ",LEN(D401))), (LEN(D401)-LEN(SUBSTITUTE(D401,"_",""))-1)*LEN(D401)+1, LEN(D401))))
            &amp; "." &amp;
            VALUE(TRIM(RIGHT(SUBSTITUTE(D401,"_",REPT(" ",LEN(D401))),LEN(D401)))),
            "")))</f>
        <v/>
      </c>
      <c r="D401" s="158"/>
      <c r="E401" s="159"/>
      <c r="F401" s="159"/>
      <c r="G401" s="159"/>
      <c r="H401" s="159"/>
      <c r="I401" s="158"/>
      <c r="J401" s="158"/>
      <c r="K401" s="159"/>
      <c r="L401" s="160"/>
      <c r="M401" s="159"/>
      <c r="N401" s="159"/>
      <c r="O401" s="161"/>
      <c r="P401" s="162" t="str">
        <f t="shared" si="177"/>
        <v/>
      </c>
      <c r="Q401" s="163" t="str">
        <f t="shared" si="178"/>
        <v/>
      </c>
      <c r="R401" s="164">
        <f t="shared" si="179"/>
        <v>0</v>
      </c>
      <c r="S401" s="165">
        <f t="shared" si="170"/>
        <v>0</v>
      </c>
      <c r="T401" s="165">
        <f t="shared" si="171"/>
        <v>0</v>
      </c>
      <c r="U401" s="166">
        <f t="shared" si="172"/>
        <v>0</v>
      </c>
      <c r="V401" s="153" t="str">
        <f t="shared" si="180"/>
        <v/>
      </c>
      <c r="W401" s="153" t="str">
        <f t="shared" si="181"/>
        <v/>
      </c>
      <c r="X401" s="244"/>
      <c r="Y401" s="154">
        <f t="shared" si="173"/>
        <v>0</v>
      </c>
      <c r="Z401" s="154" t="str">
        <f t="shared" si="169"/>
        <v>1000</v>
      </c>
      <c r="AA401" s="153" t="str">
        <f t="shared" si="182"/>
        <v/>
      </c>
      <c r="AD401" s="155" t="str">
        <f t="shared" si="174"/>
        <v/>
      </c>
      <c r="AI401" s="155">
        <f t="array" ref="AI401">MATCH(MIN(IF($AK$501:$AK$525&gt;=IF(G401&gt;1499,E401+7,E401+5), $AK$501:$AK$525)), $AK$501:$AK$525, 0)</f>
        <v>5</v>
      </c>
      <c r="AK401" s="233"/>
      <c r="AL401" s="233"/>
      <c r="AM401" s="155" t="str">
        <f t="shared" si="183"/>
        <v/>
      </c>
      <c r="AN401" s="155" t="str">
        <f t="shared" si="184"/>
        <v/>
      </c>
      <c r="AX401" s="155" t="str">
        <f t="shared" si="185"/>
        <v/>
      </c>
    </row>
    <row r="402" spans="1:50" s="155" customFormat="1" ht="30" hidden="1" customHeight="1">
      <c r="A402" s="141" t="str">
        <f t="shared" si="175"/>
        <v/>
      </c>
      <c r="B402" s="141" t="str">
        <f t="shared" si="176"/>
        <v/>
      </c>
      <c r="C402" s="157" t="str">
        <f>IF(D402="","",
    IF(ISERR(SEARCH("_",D402)),
        IFERROR(_xlfn.AGGREGATE(14,6,$C$12:C401,1),0)+1,
        IFERROR(
            VALUE(TRIM(MID(SUBSTITUTE(D402,"_",REPT(" ",LEN(D402))), (LEN(D402)-LEN(SUBSTITUTE(D402,"_",""))-1)*LEN(D402)+1, LEN(D402))))
            &amp; "." &amp;
            VALUE(TRIM(RIGHT(SUBSTITUTE(D402,"_",REPT(" ",LEN(D402))),LEN(D402)))),
            "")))</f>
        <v/>
      </c>
      <c r="D402" s="158"/>
      <c r="E402" s="159"/>
      <c r="F402" s="159"/>
      <c r="G402" s="159"/>
      <c r="H402" s="159"/>
      <c r="I402" s="158"/>
      <c r="J402" s="158"/>
      <c r="K402" s="159"/>
      <c r="L402" s="160"/>
      <c r="M402" s="159"/>
      <c r="N402" s="159"/>
      <c r="O402" s="161"/>
      <c r="P402" s="162" t="str">
        <f t="shared" si="177"/>
        <v/>
      </c>
      <c r="Q402" s="163" t="str">
        <f t="shared" si="178"/>
        <v/>
      </c>
      <c r="R402" s="164">
        <f t="shared" si="179"/>
        <v>0</v>
      </c>
      <c r="S402" s="165">
        <f t="shared" si="170"/>
        <v>0</v>
      </c>
      <c r="T402" s="165">
        <f t="shared" si="171"/>
        <v>0</v>
      </c>
      <c r="U402" s="166">
        <f t="shared" si="172"/>
        <v>0</v>
      </c>
      <c r="V402" s="153" t="str">
        <f t="shared" si="180"/>
        <v/>
      </c>
      <c r="W402" s="153" t="str">
        <f t="shared" si="181"/>
        <v/>
      </c>
      <c r="X402" s="244"/>
      <c r="Y402" s="154">
        <f t="shared" si="173"/>
        <v>0</v>
      </c>
      <c r="Z402" s="154" t="str">
        <f t="shared" si="169"/>
        <v>1000</v>
      </c>
      <c r="AA402" s="153" t="str">
        <f t="shared" si="182"/>
        <v/>
      </c>
      <c r="AD402" s="155" t="str">
        <f t="shared" si="174"/>
        <v/>
      </c>
      <c r="AI402" s="155">
        <f t="array" ref="AI402">MATCH(MIN(IF($AK$501:$AK$525&gt;=IF(G402&gt;1499,E402+7,E402+5), $AK$501:$AK$525)), $AK$501:$AK$525, 0)</f>
        <v>5</v>
      </c>
      <c r="AK402" s="233"/>
      <c r="AL402" s="233"/>
      <c r="AM402" s="155" t="str">
        <f t="shared" si="183"/>
        <v/>
      </c>
      <c r="AN402" s="155" t="str">
        <f t="shared" si="184"/>
        <v/>
      </c>
      <c r="AX402" s="155" t="str">
        <f t="shared" si="185"/>
        <v/>
      </c>
    </row>
    <row r="403" spans="1:50" s="155" customFormat="1" ht="30" hidden="1" customHeight="1">
      <c r="A403" s="141" t="str">
        <f t="shared" si="175"/>
        <v/>
      </c>
      <c r="B403" s="141" t="str">
        <f t="shared" si="176"/>
        <v/>
      </c>
      <c r="C403" s="157" t="str">
        <f>IF(D403="","",
    IF(ISERR(SEARCH("_",D403)),
        IFERROR(_xlfn.AGGREGATE(14,6,$C$12:C402,1),0)+1,
        IFERROR(
            VALUE(TRIM(MID(SUBSTITUTE(D403,"_",REPT(" ",LEN(D403))), (LEN(D403)-LEN(SUBSTITUTE(D403,"_",""))-1)*LEN(D403)+1, LEN(D403))))
            &amp; "." &amp;
            VALUE(TRIM(RIGHT(SUBSTITUTE(D403,"_",REPT(" ",LEN(D403))),LEN(D403)))),
            "")))</f>
        <v/>
      </c>
      <c r="D403" s="158"/>
      <c r="E403" s="159"/>
      <c r="F403" s="159"/>
      <c r="G403" s="159"/>
      <c r="H403" s="159"/>
      <c r="I403" s="158"/>
      <c r="J403" s="158"/>
      <c r="K403" s="159"/>
      <c r="L403" s="160"/>
      <c r="M403" s="159"/>
      <c r="N403" s="159"/>
      <c r="O403" s="161"/>
      <c r="P403" s="162" t="str">
        <f t="shared" si="177"/>
        <v/>
      </c>
      <c r="Q403" s="163" t="str">
        <f t="shared" si="178"/>
        <v/>
      </c>
      <c r="R403" s="164">
        <f t="shared" si="179"/>
        <v>0</v>
      </c>
      <c r="S403" s="165">
        <f t="shared" si="170"/>
        <v>0</v>
      </c>
      <c r="T403" s="165">
        <f t="shared" si="171"/>
        <v>0</v>
      </c>
      <c r="U403" s="166">
        <f t="shared" si="172"/>
        <v>0</v>
      </c>
      <c r="V403" s="153" t="str">
        <f t="shared" si="180"/>
        <v/>
      </c>
      <c r="W403" s="153" t="str">
        <f t="shared" si="181"/>
        <v/>
      </c>
      <c r="X403" s="244"/>
      <c r="Y403" s="154">
        <f t="shared" si="173"/>
        <v>0</v>
      </c>
      <c r="Z403" s="154" t="str">
        <f t="shared" si="169"/>
        <v>1000</v>
      </c>
      <c r="AA403" s="153" t="str">
        <f t="shared" si="182"/>
        <v/>
      </c>
      <c r="AD403" s="155" t="str">
        <f t="shared" si="174"/>
        <v/>
      </c>
      <c r="AI403" s="155">
        <f t="array" ref="AI403">MATCH(MIN(IF($AK$501:$AK$525&gt;=IF(G403&gt;1499,E403+7,E403+5), $AK$501:$AK$525)), $AK$501:$AK$525, 0)</f>
        <v>5</v>
      </c>
      <c r="AK403" s="233"/>
      <c r="AL403" s="233"/>
      <c r="AM403" s="155" t="str">
        <f t="shared" si="183"/>
        <v/>
      </c>
      <c r="AN403" s="155" t="str">
        <f t="shared" si="184"/>
        <v/>
      </c>
      <c r="AX403" s="155" t="str">
        <f t="shared" si="185"/>
        <v/>
      </c>
    </row>
    <row r="404" spans="1:50" s="155" customFormat="1" ht="30" hidden="1" customHeight="1">
      <c r="A404" s="141" t="str">
        <f t="shared" si="175"/>
        <v/>
      </c>
      <c r="B404" s="141" t="str">
        <f t="shared" si="176"/>
        <v/>
      </c>
      <c r="C404" s="157" t="str">
        <f>IF(D404="","",
    IF(ISERR(SEARCH("_",D404)),
        IFERROR(_xlfn.AGGREGATE(14,6,$C$12:C403,1),0)+1,
        IFERROR(
            VALUE(TRIM(MID(SUBSTITUTE(D404,"_",REPT(" ",LEN(D404))), (LEN(D404)-LEN(SUBSTITUTE(D404,"_",""))-1)*LEN(D404)+1, LEN(D404))))
            &amp; "." &amp;
            VALUE(TRIM(RIGHT(SUBSTITUTE(D404,"_",REPT(" ",LEN(D404))),LEN(D404)))),
            "")))</f>
        <v/>
      </c>
      <c r="D404" s="158"/>
      <c r="E404" s="159"/>
      <c r="F404" s="159"/>
      <c r="G404" s="159"/>
      <c r="H404" s="159"/>
      <c r="I404" s="158"/>
      <c r="J404" s="158"/>
      <c r="K404" s="159"/>
      <c r="L404" s="160"/>
      <c r="M404" s="159"/>
      <c r="N404" s="159"/>
      <c r="O404" s="161"/>
      <c r="P404" s="162" t="str">
        <f t="shared" si="177"/>
        <v/>
      </c>
      <c r="Q404" s="163" t="str">
        <f t="shared" si="178"/>
        <v/>
      </c>
      <c r="R404" s="164">
        <f t="shared" si="179"/>
        <v>0</v>
      </c>
      <c r="S404" s="165">
        <f t="shared" si="170"/>
        <v>0</v>
      </c>
      <c r="T404" s="165">
        <f t="shared" si="171"/>
        <v>0</v>
      </c>
      <c r="U404" s="166">
        <f t="shared" si="172"/>
        <v>0</v>
      </c>
      <c r="V404" s="153" t="str">
        <f t="shared" si="180"/>
        <v/>
      </c>
      <c r="W404" s="153" t="str">
        <f t="shared" si="181"/>
        <v/>
      </c>
      <c r="X404" s="244"/>
      <c r="Y404" s="154">
        <f t="shared" si="173"/>
        <v>0</v>
      </c>
      <c r="Z404" s="154" t="str">
        <f t="shared" si="169"/>
        <v>1000</v>
      </c>
      <c r="AA404" s="153" t="str">
        <f t="shared" si="182"/>
        <v/>
      </c>
      <c r="AD404" s="155" t="str">
        <f t="shared" si="174"/>
        <v/>
      </c>
      <c r="AI404" s="155">
        <f t="array" ref="AI404">MATCH(MIN(IF($AK$501:$AK$525&gt;=IF(G404&gt;1499,E404+7,E404+5), $AK$501:$AK$525)), $AK$501:$AK$525, 0)</f>
        <v>5</v>
      </c>
      <c r="AK404" s="233"/>
      <c r="AL404" s="233"/>
      <c r="AM404" s="155" t="str">
        <f t="shared" si="183"/>
        <v/>
      </c>
      <c r="AN404" s="155" t="str">
        <f t="shared" si="184"/>
        <v/>
      </c>
      <c r="AX404" s="155" t="str">
        <f t="shared" si="185"/>
        <v/>
      </c>
    </row>
    <row r="405" spans="1:50" s="155" customFormat="1" ht="30" hidden="1" customHeight="1">
      <c r="A405" s="141" t="str">
        <f t="shared" si="175"/>
        <v/>
      </c>
      <c r="B405" s="141" t="str">
        <f t="shared" si="176"/>
        <v/>
      </c>
      <c r="C405" s="157" t="str">
        <f>IF(D405="","",
    IF(ISERR(SEARCH("_",D405)),
        IFERROR(_xlfn.AGGREGATE(14,6,$C$12:C404,1),0)+1,
        IFERROR(
            VALUE(TRIM(MID(SUBSTITUTE(D405,"_",REPT(" ",LEN(D405))), (LEN(D405)-LEN(SUBSTITUTE(D405,"_",""))-1)*LEN(D405)+1, LEN(D405))))
            &amp; "." &amp;
            VALUE(TRIM(RIGHT(SUBSTITUTE(D405,"_",REPT(" ",LEN(D405))),LEN(D405)))),
            "")))</f>
        <v/>
      </c>
      <c r="D405" s="158"/>
      <c r="E405" s="159"/>
      <c r="F405" s="159"/>
      <c r="G405" s="159"/>
      <c r="H405" s="159"/>
      <c r="I405" s="158"/>
      <c r="J405" s="158"/>
      <c r="K405" s="159"/>
      <c r="L405" s="160"/>
      <c r="M405" s="159"/>
      <c r="N405" s="159"/>
      <c r="O405" s="161"/>
      <c r="P405" s="162" t="str">
        <f t="shared" si="177"/>
        <v/>
      </c>
      <c r="Q405" s="163" t="str">
        <f t="shared" si="178"/>
        <v/>
      </c>
      <c r="R405" s="164">
        <f t="shared" si="179"/>
        <v>0</v>
      </c>
      <c r="S405" s="165">
        <f t="shared" si="170"/>
        <v>0</v>
      </c>
      <c r="T405" s="165">
        <f t="shared" si="171"/>
        <v>0</v>
      </c>
      <c r="U405" s="166">
        <f t="shared" si="172"/>
        <v>0</v>
      </c>
      <c r="V405" s="153" t="str">
        <f t="shared" si="180"/>
        <v/>
      </c>
      <c r="W405" s="153" t="str">
        <f t="shared" si="181"/>
        <v/>
      </c>
      <c r="X405" s="244"/>
      <c r="Y405" s="154">
        <f t="shared" si="173"/>
        <v>0</v>
      </c>
      <c r="Z405" s="154" t="str">
        <f t="shared" si="169"/>
        <v>1000</v>
      </c>
      <c r="AA405" s="153" t="str">
        <f t="shared" si="182"/>
        <v/>
      </c>
      <c r="AD405" s="155" t="str">
        <f t="shared" si="174"/>
        <v/>
      </c>
      <c r="AI405" s="155">
        <f t="array" ref="AI405">MATCH(MIN(IF($AK$501:$AK$525&gt;=IF(G405&gt;1499,E405+7,E405+5), $AK$501:$AK$525)), $AK$501:$AK$525, 0)</f>
        <v>5</v>
      </c>
      <c r="AK405" s="233"/>
      <c r="AL405" s="233"/>
      <c r="AM405" s="155" t="str">
        <f t="shared" si="183"/>
        <v/>
      </c>
      <c r="AN405" s="155" t="str">
        <f t="shared" si="184"/>
        <v/>
      </c>
      <c r="AX405" s="155" t="str">
        <f t="shared" si="185"/>
        <v/>
      </c>
    </row>
    <row r="406" spans="1:50" s="155" customFormat="1" ht="30" hidden="1" customHeight="1">
      <c r="A406" s="141" t="str">
        <f t="shared" si="175"/>
        <v/>
      </c>
      <c r="B406" s="141" t="str">
        <f t="shared" si="176"/>
        <v/>
      </c>
      <c r="C406" s="157" t="str">
        <f>IF(D406="","",
    IF(ISERR(SEARCH("_",D406)),
        IFERROR(_xlfn.AGGREGATE(14,6,$C$12:C405,1),0)+1,
        IFERROR(
            VALUE(TRIM(MID(SUBSTITUTE(D406,"_",REPT(" ",LEN(D406))), (LEN(D406)-LEN(SUBSTITUTE(D406,"_",""))-1)*LEN(D406)+1, LEN(D406))))
            &amp; "." &amp;
            VALUE(TRIM(RIGHT(SUBSTITUTE(D406,"_",REPT(" ",LEN(D406))),LEN(D406)))),
            "")))</f>
        <v/>
      </c>
      <c r="D406" s="158"/>
      <c r="E406" s="159"/>
      <c r="F406" s="159"/>
      <c r="G406" s="159"/>
      <c r="H406" s="159"/>
      <c r="I406" s="158"/>
      <c r="J406" s="158"/>
      <c r="K406" s="159"/>
      <c r="L406" s="160"/>
      <c r="M406" s="159"/>
      <c r="N406" s="159"/>
      <c r="O406" s="161"/>
      <c r="P406" s="162" t="str">
        <f t="shared" si="177"/>
        <v/>
      </c>
      <c r="Q406" s="163" t="str">
        <f t="shared" si="178"/>
        <v/>
      </c>
      <c r="R406" s="164">
        <f t="shared" si="179"/>
        <v>0</v>
      </c>
      <c r="S406" s="165">
        <f t="shared" si="170"/>
        <v>0</v>
      </c>
      <c r="T406" s="165">
        <f t="shared" si="171"/>
        <v>0</v>
      </c>
      <c r="U406" s="166">
        <f t="shared" si="172"/>
        <v>0</v>
      </c>
      <c r="V406" s="153" t="str">
        <f t="shared" si="180"/>
        <v/>
      </c>
      <c r="W406" s="153" t="str">
        <f t="shared" si="181"/>
        <v/>
      </c>
      <c r="X406" s="244"/>
      <c r="Y406" s="154">
        <f t="shared" si="173"/>
        <v>0</v>
      </c>
      <c r="Z406" s="154" t="str">
        <f t="shared" si="169"/>
        <v>1000</v>
      </c>
      <c r="AA406" s="153" t="str">
        <f t="shared" si="182"/>
        <v/>
      </c>
      <c r="AD406" s="155" t="str">
        <f t="shared" si="174"/>
        <v/>
      </c>
      <c r="AI406" s="155">
        <f t="array" ref="AI406">MATCH(MIN(IF($AK$501:$AK$525&gt;=IF(G406&gt;1499,E406+7,E406+5), $AK$501:$AK$525)), $AK$501:$AK$525, 0)</f>
        <v>5</v>
      </c>
      <c r="AK406" s="233"/>
      <c r="AL406" s="233"/>
      <c r="AM406" s="155" t="str">
        <f t="shared" si="183"/>
        <v/>
      </c>
      <c r="AN406" s="155" t="str">
        <f t="shared" si="184"/>
        <v/>
      </c>
      <c r="AX406" s="155" t="str">
        <f t="shared" si="185"/>
        <v/>
      </c>
    </row>
    <row r="407" spans="1:50" s="155" customFormat="1" ht="30" hidden="1" customHeight="1">
      <c r="A407" s="141" t="str">
        <f t="shared" si="175"/>
        <v/>
      </c>
      <c r="B407" s="141" t="str">
        <f t="shared" si="176"/>
        <v/>
      </c>
      <c r="C407" s="157" t="str">
        <f>IF(D407="","",
    IF(ISERR(SEARCH("_",D407)),
        IFERROR(_xlfn.AGGREGATE(14,6,$C$12:C406,1),0)+1,
        IFERROR(
            VALUE(TRIM(MID(SUBSTITUTE(D407,"_",REPT(" ",LEN(D407))), (LEN(D407)-LEN(SUBSTITUTE(D407,"_",""))-1)*LEN(D407)+1, LEN(D407))))
            &amp; "." &amp;
            VALUE(TRIM(RIGHT(SUBSTITUTE(D407,"_",REPT(" ",LEN(D407))),LEN(D407)))),
            "")))</f>
        <v/>
      </c>
      <c r="D407" s="158"/>
      <c r="E407" s="159"/>
      <c r="F407" s="159"/>
      <c r="G407" s="159"/>
      <c r="H407" s="159"/>
      <c r="I407" s="158"/>
      <c r="J407" s="158"/>
      <c r="K407" s="159"/>
      <c r="L407" s="160"/>
      <c r="M407" s="159"/>
      <c r="N407" s="159"/>
      <c r="O407" s="161"/>
      <c r="P407" s="162" t="str">
        <f t="shared" si="177"/>
        <v/>
      </c>
      <c r="Q407" s="163" t="str">
        <f t="shared" si="178"/>
        <v/>
      </c>
      <c r="R407" s="164">
        <f t="shared" si="179"/>
        <v>0</v>
      </c>
      <c r="S407" s="165">
        <f t="shared" si="170"/>
        <v>0</v>
      </c>
      <c r="T407" s="165">
        <f t="shared" si="171"/>
        <v>0</v>
      </c>
      <c r="U407" s="166">
        <f t="shared" si="172"/>
        <v>0</v>
      </c>
      <c r="V407" s="153" t="str">
        <f t="shared" si="180"/>
        <v/>
      </c>
      <c r="W407" s="153" t="str">
        <f t="shared" si="181"/>
        <v/>
      </c>
      <c r="X407" s="244"/>
      <c r="Y407" s="154">
        <f t="shared" si="173"/>
        <v>0</v>
      </c>
      <c r="Z407" s="154" t="str">
        <f t="shared" si="169"/>
        <v>1000</v>
      </c>
      <c r="AA407" s="153" t="str">
        <f t="shared" si="182"/>
        <v/>
      </c>
      <c r="AD407" s="155" t="str">
        <f t="shared" si="174"/>
        <v/>
      </c>
      <c r="AI407" s="155">
        <f t="array" ref="AI407">MATCH(MIN(IF($AK$501:$AK$525&gt;=IF(G407&gt;1499,E407+7,E407+5), $AK$501:$AK$525)), $AK$501:$AK$525, 0)</f>
        <v>5</v>
      </c>
      <c r="AK407" s="233"/>
      <c r="AL407" s="233"/>
      <c r="AM407" s="155" t="str">
        <f t="shared" si="183"/>
        <v/>
      </c>
      <c r="AN407" s="155" t="str">
        <f t="shared" si="184"/>
        <v/>
      </c>
      <c r="AX407" s="155" t="str">
        <f t="shared" si="185"/>
        <v/>
      </c>
    </row>
    <row r="408" spans="1:50" s="155" customFormat="1" ht="30" hidden="1" customHeight="1">
      <c r="A408" s="141" t="str">
        <f t="shared" si="175"/>
        <v/>
      </c>
      <c r="B408" s="141" t="str">
        <f t="shared" si="176"/>
        <v/>
      </c>
      <c r="C408" s="157" t="str">
        <f>IF(D408="","",
    IF(ISERR(SEARCH("_",D408)),
        IFERROR(_xlfn.AGGREGATE(14,6,$C$12:C407,1),0)+1,
        IFERROR(
            VALUE(TRIM(MID(SUBSTITUTE(D408,"_",REPT(" ",LEN(D408))), (LEN(D408)-LEN(SUBSTITUTE(D408,"_",""))-1)*LEN(D408)+1, LEN(D408))))
            &amp; "." &amp;
            VALUE(TRIM(RIGHT(SUBSTITUTE(D408,"_",REPT(" ",LEN(D408))),LEN(D408)))),
            "")))</f>
        <v/>
      </c>
      <c r="D408" s="158"/>
      <c r="E408" s="159"/>
      <c r="F408" s="159"/>
      <c r="G408" s="159"/>
      <c r="H408" s="159"/>
      <c r="I408" s="158"/>
      <c r="J408" s="158"/>
      <c r="K408" s="159"/>
      <c r="L408" s="160"/>
      <c r="M408" s="159"/>
      <c r="N408" s="159"/>
      <c r="O408" s="161"/>
      <c r="P408" s="162" t="str">
        <f t="shared" si="177"/>
        <v/>
      </c>
      <c r="Q408" s="163" t="str">
        <f t="shared" si="178"/>
        <v/>
      </c>
      <c r="R408" s="164">
        <f t="shared" si="179"/>
        <v>0</v>
      </c>
      <c r="S408" s="165">
        <f t="shared" si="170"/>
        <v>0</v>
      </c>
      <c r="T408" s="165">
        <f t="shared" si="171"/>
        <v>0</v>
      </c>
      <c r="U408" s="166">
        <f t="shared" si="172"/>
        <v>0</v>
      </c>
      <c r="V408" s="153" t="str">
        <f t="shared" si="180"/>
        <v/>
      </c>
      <c r="W408" s="153" t="str">
        <f t="shared" si="181"/>
        <v/>
      </c>
      <c r="X408" s="244"/>
      <c r="Y408" s="154">
        <f t="shared" si="173"/>
        <v>0</v>
      </c>
      <c r="Z408" s="154" t="str">
        <f t="shared" si="169"/>
        <v>1000</v>
      </c>
      <c r="AA408" s="153" t="str">
        <f t="shared" si="182"/>
        <v/>
      </c>
      <c r="AD408" s="155" t="str">
        <f t="shared" si="174"/>
        <v/>
      </c>
      <c r="AI408" s="155">
        <f t="array" ref="AI408">MATCH(MIN(IF($AK$501:$AK$525&gt;=IF(G408&gt;1499,E408+7,E408+5), $AK$501:$AK$525)), $AK$501:$AK$525, 0)</f>
        <v>5</v>
      </c>
      <c r="AK408" s="233"/>
      <c r="AL408" s="233"/>
      <c r="AM408" s="155" t="str">
        <f t="shared" si="183"/>
        <v/>
      </c>
      <c r="AN408" s="155" t="str">
        <f t="shared" si="184"/>
        <v/>
      </c>
      <c r="AX408" s="155" t="str">
        <f t="shared" si="185"/>
        <v/>
      </c>
    </row>
    <row r="409" spans="1:50" s="155" customFormat="1" ht="30" hidden="1" customHeight="1">
      <c r="A409" s="141" t="str">
        <f t="shared" si="175"/>
        <v/>
      </c>
      <c r="B409" s="141" t="str">
        <f t="shared" si="176"/>
        <v/>
      </c>
      <c r="C409" s="157" t="str">
        <f>IF(D409="","",
    IF(ISERR(SEARCH("_",D409)),
        IFERROR(_xlfn.AGGREGATE(14,6,$C$12:C408,1),0)+1,
        IFERROR(
            VALUE(TRIM(MID(SUBSTITUTE(D409,"_",REPT(" ",LEN(D409))), (LEN(D409)-LEN(SUBSTITUTE(D409,"_",""))-1)*LEN(D409)+1, LEN(D409))))
            &amp; "." &amp;
            VALUE(TRIM(RIGHT(SUBSTITUTE(D409,"_",REPT(" ",LEN(D409))),LEN(D409)))),
            "")))</f>
        <v/>
      </c>
      <c r="D409" s="158"/>
      <c r="E409" s="159"/>
      <c r="F409" s="159"/>
      <c r="G409" s="159"/>
      <c r="H409" s="159"/>
      <c r="I409" s="158"/>
      <c r="J409" s="158"/>
      <c r="K409" s="159"/>
      <c r="L409" s="160"/>
      <c r="M409" s="159"/>
      <c r="N409" s="159"/>
      <c r="O409" s="161"/>
      <c r="P409" s="162" t="str">
        <f t="shared" si="177"/>
        <v/>
      </c>
      <c r="Q409" s="163" t="str">
        <f t="shared" si="178"/>
        <v/>
      </c>
      <c r="R409" s="164">
        <f t="shared" si="179"/>
        <v>0</v>
      </c>
      <c r="S409" s="165">
        <f t="shared" si="170"/>
        <v>0</v>
      </c>
      <c r="T409" s="165">
        <f t="shared" si="171"/>
        <v>0</v>
      </c>
      <c r="U409" s="166">
        <f t="shared" si="172"/>
        <v>0</v>
      </c>
      <c r="V409" s="153" t="str">
        <f t="shared" si="180"/>
        <v/>
      </c>
      <c r="W409" s="153" t="str">
        <f t="shared" si="181"/>
        <v/>
      </c>
      <c r="X409" s="244"/>
      <c r="Y409" s="154">
        <f t="shared" si="173"/>
        <v>0</v>
      </c>
      <c r="Z409" s="154" t="str">
        <f t="shared" si="169"/>
        <v>1000</v>
      </c>
      <c r="AA409" s="153" t="str">
        <f t="shared" si="182"/>
        <v/>
      </c>
      <c r="AD409" s="155" t="str">
        <f t="shared" si="174"/>
        <v/>
      </c>
      <c r="AI409" s="155">
        <f t="array" ref="AI409">MATCH(MIN(IF($AK$501:$AK$525&gt;=IF(G409&gt;1499,E409+7,E409+5), $AK$501:$AK$525)), $AK$501:$AK$525, 0)</f>
        <v>5</v>
      </c>
      <c r="AK409" s="233"/>
      <c r="AL409" s="233"/>
      <c r="AM409" s="155" t="str">
        <f t="shared" si="183"/>
        <v/>
      </c>
      <c r="AN409" s="155" t="str">
        <f t="shared" si="184"/>
        <v/>
      </c>
      <c r="AX409" s="155" t="str">
        <f t="shared" si="185"/>
        <v/>
      </c>
    </row>
    <row r="410" spans="1:50" s="155" customFormat="1" ht="30" hidden="1" customHeight="1">
      <c r="A410" s="141" t="str">
        <f t="shared" si="175"/>
        <v/>
      </c>
      <c r="B410" s="141" t="str">
        <f t="shared" si="176"/>
        <v/>
      </c>
      <c r="C410" s="157" t="str">
        <f>IF(D410="","",
    IF(ISERR(SEARCH("_",D410)),
        IFERROR(_xlfn.AGGREGATE(14,6,$C$12:C409,1),0)+1,
        IFERROR(
            VALUE(TRIM(MID(SUBSTITUTE(D410,"_",REPT(" ",LEN(D410))), (LEN(D410)-LEN(SUBSTITUTE(D410,"_",""))-1)*LEN(D410)+1, LEN(D410))))
            &amp; "." &amp;
            VALUE(TRIM(RIGHT(SUBSTITUTE(D410,"_",REPT(" ",LEN(D410))),LEN(D410)))),
            "")))</f>
        <v/>
      </c>
      <c r="D410" s="158"/>
      <c r="E410" s="159"/>
      <c r="F410" s="159"/>
      <c r="G410" s="159"/>
      <c r="H410" s="159"/>
      <c r="I410" s="158"/>
      <c r="J410" s="158"/>
      <c r="K410" s="159"/>
      <c r="L410" s="160"/>
      <c r="M410" s="159"/>
      <c r="N410" s="159"/>
      <c r="O410" s="161"/>
      <c r="P410" s="162" t="str">
        <f t="shared" si="177"/>
        <v/>
      </c>
      <c r="Q410" s="163" t="str">
        <f t="shared" si="178"/>
        <v/>
      </c>
      <c r="R410" s="164">
        <f t="shared" si="179"/>
        <v>0</v>
      </c>
      <c r="S410" s="165">
        <f t="shared" si="170"/>
        <v>0</v>
      </c>
      <c r="T410" s="165">
        <f t="shared" si="171"/>
        <v>0</v>
      </c>
      <c r="U410" s="166">
        <f t="shared" si="172"/>
        <v>0</v>
      </c>
      <c r="V410" s="153" t="str">
        <f t="shared" si="180"/>
        <v/>
      </c>
      <c r="W410" s="153" t="str">
        <f t="shared" si="181"/>
        <v/>
      </c>
      <c r="X410" s="244"/>
      <c r="Y410" s="154">
        <f t="shared" si="173"/>
        <v>0</v>
      </c>
      <c r="Z410" s="154" t="str">
        <f t="shared" si="169"/>
        <v>1000</v>
      </c>
      <c r="AA410" s="153" t="str">
        <f t="shared" si="182"/>
        <v/>
      </c>
      <c r="AD410" s="155" t="str">
        <f t="shared" si="174"/>
        <v/>
      </c>
      <c r="AI410" s="155">
        <f t="array" ref="AI410">MATCH(MIN(IF($AK$501:$AK$525&gt;=IF(G410&gt;1499,E410+7,E410+5), $AK$501:$AK$525)), $AK$501:$AK$525, 0)</f>
        <v>5</v>
      </c>
      <c r="AK410" s="233"/>
      <c r="AL410" s="233"/>
      <c r="AM410" s="155" t="str">
        <f t="shared" si="183"/>
        <v/>
      </c>
      <c r="AN410" s="155" t="str">
        <f t="shared" si="184"/>
        <v/>
      </c>
      <c r="AX410" s="155" t="str">
        <f t="shared" si="185"/>
        <v/>
      </c>
    </row>
    <row r="411" spans="1:50" s="155" customFormat="1" ht="30" hidden="1" customHeight="1">
      <c r="A411" s="141" t="str">
        <f t="shared" si="175"/>
        <v/>
      </c>
      <c r="B411" s="141" t="str">
        <f t="shared" si="176"/>
        <v/>
      </c>
      <c r="C411" s="157" t="str">
        <f>IF(D411="","",
    IF(ISERR(SEARCH("_",D411)),
        IFERROR(_xlfn.AGGREGATE(14,6,$C$12:C410,1),0)+1,
        IFERROR(
            VALUE(TRIM(MID(SUBSTITUTE(D411,"_",REPT(" ",LEN(D411))), (LEN(D411)-LEN(SUBSTITUTE(D411,"_",""))-1)*LEN(D411)+1, LEN(D411))))
            &amp; "." &amp;
            VALUE(TRIM(RIGHT(SUBSTITUTE(D411,"_",REPT(" ",LEN(D411))),LEN(D411)))),
            "")))</f>
        <v/>
      </c>
      <c r="D411" s="158"/>
      <c r="E411" s="159"/>
      <c r="F411" s="159"/>
      <c r="G411" s="159"/>
      <c r="H411" s="159"/>
      <c r="I411" s="158"/>
      <c r="J411" s="158"/>
      <c r="K411" s="159"/>
      <c r="L411" s="160"/>
      <c r="M411" s="159"/>
      <c r="N411" s="159"/>
      <c r="O411" s="161"/>
      <c r="P411" s="162" t="str">
        <f t="shared" si="177"/>
        <v/>
      </c>
      <c r="Q411" s="163" t="str">
        <f t="shared" si="178"/>
        <v/>
      </c>
      <c r="R411" s="164">
        <f t="shared" si="179"/>
        <v>0</v>
      </c>
      <c r="S411" s="165">
        <f t="shared" si="170"/>
        <v>0</v>
      </c>
      <c r="T411" s="165">
        <f t="shared" si="171"/>
        <v>0</v>
      </c>
      <c r="U411" s="166">
        <f t="shared" si="172"/>
        <v>0</v>
      </c>
      <c r="V411" s="153" t="str">
        <f t="shared" si="180"/>
        <v/>
      </c>
      <c r="W411" s="153" t="str">
        <f t="shared" si="181"/>
        <v/>
      </c>
      <c r="X411" s="244"/>
      <c r="Y411" s="154">
        <f t="shared" si="173"/>
        <v>0</v>
      </c>
      <c r="Z411" s="154" t="str">
        <f t="shared" si="169"/>
        <v>1000</v>
      </c>
      <c r="AA411" s="153" t="str">
        <f t="shared" si="182"/>
        <v/>
      </c>
      <c r="AD411" s="155" t="str">
        <f t="shared" si="174"/>
        <v/>
      </c>
      <c r="AI411" s="155">
        <f t="array" ref="AI411">MATCH(MIN(IF($AK$501:$AK$525&gt;=IF(G411&gt;1499,E411+7,E411+5), $AK$501:$AK$525)), $AK$501:$AK$525, 0)</f>
        <v>5</v>
      </c>
      <c r="AK411" s="233"/>
      <c r="AL411" s="233"/>
      <c r="AM411" s="155" t="str">
        <f t="shared" si="183"/>
        <v/>
      </c>
      <c r="AN411" s="155" t="str">
        <f t="shared" si="184"/>
        <v/>
      </c>
      <c r="AX411" s="155" t="str">
        <f t="shared" si="185"/>
        <v/>
      </c>
    </row>
    <row r="412" spans="1:50" s="155" customFormat="1" ht="30" hidden="1" customHeight="1">
      <c r="A412" s="141" t="str">
        <f t="shared" si="175"/>
        <v/>
      </c>
      <c r="B412" s="141" t="str">
        <f t="shared" si="176"/>
        <v/>
      </c>
      <c r="C412" s="157" t="str">
        <f>IF(D412="","",
    IF(ISERR(SEARCH("_",D412)),
        IFERROR(_xlfn.AGGREGATE(14,6,$C$12:C411,1),0)+1,
        IFERROR(
            VALUE(TRIM(MID(SUBSTITUTE(D412,"_",REPT(" ",LEN(D412))), (LEN(D412)-LEN(SUBSTITUTE(D412,"_",""))-1)*LEN(D412)+1, LEN(D412))))
            &amp; "." &amp;
            VALUE(TRIM(RIGHT(SUBSTITUTE(D412,"_",REPT(" ",LEN(D412))),LEN(D412)))),
            "")))</f>
        <v/>
      </c>
      <c r="D412" s="158"/>
      <c r="E412" s="159"/>
      <c r="F412" s="159"/>
      <c r="G412" s="159"/>
      <c r="H412" s="159"/>
      <c r="I412" s="158"/>
      <c r="J412" s="158"/>
      <c r="K412" s="159"/>
      <c r="L412" s="160"/>
      <c r="M412" s="159"/>
      <c r="N412" s="159"/>
      <c r="O412" s="161"/>
      <c r="P412" s="162" t="str">
        <f t="shared" si="177"/>
        <v/>
      </c>
      <c r="Q412" s="163" t="str">
        <f t="shared" si="178"/>
        <v/>
      </c>
      <c r="R412" s="164">
        <f t="shared" si="179"/>
        <v>0</v>
      </c>
      <c r="S412" s="165">
        <f t="shared" si="170"/>
        <v>0</v>
      </c>
      <c r="T412" s="165">
        <f t="shared" si="171"/>
        <v>0</v>
      </c>
      <c r="U412" s="166">
        <f t="shared" si="172"/>
        <v>0</v>
      </c>
      <c r="V412" s="153" t="str">
        <f t="shared" si="180"/>
        <v/>
      </c>
      <c r="W412" s="153" t="str">
        <f t="shared" si="181"/>
        <v/>
      </c>
      <c r="X412" s="244"/>
      <c r="Y412" s="154">
        <f t="shared" si="173"/>
        <v>0</v>
      </c>
      <c r="Z412" s="154" t="str">
        <f t="shared" si="169"/>
        <v>1000</v>
      </c>
      <c r="AA412" s="153" t="str">
        <f t="shared" si="182"/>
        <v/>
      </c>
      <c r="AD412" s="155" t="str">
        <f t="shared" si="174"/>
        <v/>
      </c>
      <c r="AI412" s="155">
        <f t="array" ref="AI412">MATCH(MIN(IF($AK$501:$AK$525&gt;=IF(G412&gt;1499,E412+7,E412+5), $AK$501:$AK$525)), $AK$501:$AK$525, 0)</f>
        <v>5</v>
      </c>
      <c r="AK412" s="233"/>
      <c r="AL412" s="233"/>
      <c r="AM412" s="155" t="str">
        <f t="shared" si="183"/>
        <v/>
      </c>
      <c r="AN412" s="155" t="str">
        <f t="shared" si="184"/>
        <v/>
      </c>
      <c r="AX412" s="155" t="str">
        <f t="shared" si="185"/>
        <v/>
      </c>
    </row>
    <row r="413" spans="1:50" s="155" customFormat="1" ht="30" hidden="1" customHeight="1">
      <c r="A413" s="141" t="str">
        <f t="shared" si="175"/>
        <v/>
      </c>
      <c r="B413" s="141" t="str">
        <f t="shared" si="176"/>
        <v/>
      </c>
      <c r="C413" s="157" t="str">
        <f>IF(D413="","",
    IF(ISERR(SEARCH("_",D413)),
        IFERROR(_xlfn.AGGREGATE(14,6,$C$12:C412,1),0)+1,
        IFERROR(
            VALUE(TRIM(MID(SUBSTITUTE(D413,"_",REPT(" ",LEN(D413))), (LEN(D413)-LEN(SUBSTITUTE(D413,"_",""))-1)*LEN(D413)+1, LEN(D413))))
            &amp; "." &amp;
            VALUE(TRIM(RIGHT(SUBSTITUTE(D413,"_",REPT(" ",LEN(D413))),LEN(D413)))),
            "")))</f>
        <v/>
      </c>
      <c r="D413" s="158"/>
      <c r="E413" s="159"/>
      <c r="F413" s="159"/>
      <c r="G413" s="159"/>
      <c r="H413" s="159"/>
      <c r="I413" s="158"/>
      <c r="J413" s="158"/>
      <c r="K413" s="159"/>
      <c r="L413" s="160"/>
      <c r="M413" s="159"/>
      <c r="N413" s="159"/>
      <c r="O413" s="161"/>
      <c r="P413" s="162" t="str">
        <f t="shared" si="177"/>
        <v/>
      </c>
      <c r="Q413" s="163" t="str">
        <f t="shared" si="178"/>
        <v/>
      </c>
      <c r="R413" s="164">
        <f t="shared" si="179"/>
        <v>0</v>
      </c>
      <c r="S413" s="165">
        <f t="shared" si="170"/>
        <v>0</v>
      </c>
      <c r="T413" s="165">
        <f t="shared" si="171"/>
        <v>0</v>
      </c>
      <c r="U413" s="166">
        <f t="shared" si="172"/>
        <v>0</v>
      </c>
      <c r="V413" s="153" t="str">
        <f t="shared" si="180"/>
        <v/>
      </c>
      <c r="W413" s="153" t="str">
        <f t="shared" si="181"/>
        <v/>
      </c>
      <c r="X413" s="244"/>
      <c r="Y413" s="154">
        <f t="shared" si="173"/>
        <v>0</v>
      </c>
      <c r="Z413" s="154" t="str">
        <f t="shared" si="169"/>
        <v>1000</v>
      </c>
      <c r="AA413" s="153" t="str">
        <f t="shared" si="182"/>
        <v/>
      </c>
      <c r="AD413" s="155" t="str">
        <f t="shared" si="174"/>
        <v/>
      </c>
      <c r="AI413" s="155">
        <f t="array" ref="AI413">MATCH(MIN(IF($AK$501:$AK$525&gt;=IF(G413&gt;1499,E413+7,E413+5), $AK$501:$AK$525)), $AK$501:$AK$525, 0)</f>
        <v>5</v>
      </c>
      <c r="AK413" s="233"/>
      <c r="AL413" s="233"/>
      <c r="AM413" s="155" t="str">
        <f t="shared" si="183"/>
        <v/>
      </c>
      <c r="AN413" s="155" t="str">
        <f t="shared" si="184"/>
        <v/>
      </c>
      <c r="AX413" s="155" t="str">
        <f t="shared" si="185"/>
        <v/>
      </c>
    </row>
    <row r="414" spans="1:50" s="155" customFormat="1" ht="30" hidden="1" customHeight="1">
      <c r="A414" s="141" t="str">
        <f t="shared" si="175"/>
        <v/>
      </c>
      <c r="B414" s="141" t="str">
        <f t="shared" si="176"/>
        <v/>
      </c>
      <c r="C414" s="157" t="str">
        <f>IF(D414="","",
    IF(ISERR(SEARCH("_",D414)),
        IFERROR(_xlfn.AGGREGATE(14,6,$C$12:C413,1),0)+1,
        IFERROR(
            VALUE(TRIM(MID(SUBSTITUTE(D414,"_",REPT(" ",LEN(D414))), (LEN(D414)-LEN(SUBSTITUTE(D414,"_",""))-1)*LEN(D414)+1, LEN(D414))))
            &amp; "." &amp;
            VALUE(TRIM(RIGHT(SUBSTITUTE(D414,"_",REPT(" ",LEN(D414))),LEN(D414)))),
            "")))</f>
        <v/>
      </c>
      <c r="D414" s="158"/>
      <c r="E414" s="159"/>
      <c r="F414" s="159"/>
      <c r="G414" s="159"/>
      <c r="H414" s="159"/>
      <c r="I414" s="158"/>
      <c r="J414" s="158"/>
      <c r="K414" s="159"/>
      <c r="L414" s="160"/>
      <c r="M414" s="159"/>
      <c r="N414" s="159"/>
      <c r="O414" s="161"/>
      <c r="P414" s="162" t="str">
        <f t="shared" si="177"/>
        <v/>
      </c>
      <c r="Q414" s="163" t="str">
        <f t="shared" si="178"/>
        <v/>
      </c>
      <c r="R414" s="164">
        <f t="shared" si="179"/>
        <v>0</v>
      </c>
      <c r="S414" s="165">
        <f t="shared" si="170"/>
        <v>0</v>
      </c>
      <c r="T414" s="165">
        <f t="shared" si="171"/>
        <v>0</v>
      </c>
      <c r="U414" s="166">
        <f t="shared" si="172"/>
        <v>0</v>
      </c>
      <c r="V414" s="153" t="str">
        <f t="shared" si="180"/>
        <v/>
      </c>
      <c r="W414" s="153" t="str">
        <f t="shared" si="181"/>
        <v/>
      </c>
      <c r="X414" s="244"/>
      <c r="Y414" s="154">
        <f t="shared" si="173"/>
        <v>0</v>
      </c>
      <c r="Z414" s="154" t="str">
        <f t="shared" si="169"/>
        <v>1000</v>
      </c>
      <c r="AA414" s="153" t="str">
        <f t="shared" si="182"/>
        <v/>
      </c>
      <c r="AD414" s="155" t="str">
        <f t="shared" si="174"/>
        <v/>
      </c>
      <c r="AI414" s="155">
        <f t="array" ref="AI414">MATCH(MIN(IF($AK$501:$AK$525&gt;=IF(G414&gt;1499,E414+7,E414+5), $AK$501:$AK$525)), $AK$501:$AK$525, 0)</f>
        <v>5</v>
      </c>
      <c r="AK414" s="233"/>
      <c r="AL414" s="233"/>
      <c r="AM414" s="155" t="str">
        <f t="shared" si="183"/>
        <v/>
      </c>
      <c r="AN414" s="155" t="str">
        <f t="shared" si="184"/>
        <v/>
      </c>
      <c r="AX414" s="155" t="str">
        <f t="shared" si="185"/>
        <v/>
      </c>
    </row>
    <row r="415" spans="1:50" s="155" customFormat="1" ht="30" hidden="1" customHeight="1">
      <c r="A415" s="141" t="str">
        <f t="shared" si="175"/>
        <v/>
      </c>
      <c r="B415" s="141" t="str">
        <f t="shared" si="176"/>
        <v/>
      </c>
      <c r="C415" s="157" t="str">
        <f>IF(D415="","",
    IF(ISERR(SEARCH("_",D415)),
        IFERROR(_xlfn.AGGREGATE(14,6,$C$12:C414,1),0)+1,
        IFERROR(
            VALUE(TRIM(MID(SUBSTITUTE(D415,"_",REPT(" ",LEN(D415))), (LEN(D415)-LEN(SUBSTITUTE(D415,"_",""))-1)*LEN(D415)+1, LEN(D415))))
            &amp; "." &amp;
            VALUE(TRIM(RIGHT(SUBSTITUTE(D415,"_",REPT(" ",LEN(D415))),LEN(D415)))),
            "")))</f>
        <v/>
      </c>
      <c r="D415" s="158"/>
      <c r="E415" s="159"/>
      <c r="F415" s="159"/>
      <c r="G415" s="159"/>
      <c r="H415" s="159"/>
      <c r="I415" s="158"/>
      <c r="J415" s="158"/>
      <c r="K415" s="159"/>
      <c r="L415" s="160"/>
      <c r="M415" s="159"/>
      <c r="N415" s="159"/>
      <c r="O415" s="161"/>
      <c r="P415" s="162" t="str">
        <f t="shared" si="177"/>
        <v/>
      </c>
      <c r="Q415" s="163" t="str">
        <f t="shared" si="178"/>
        <v/>
      </c>
      <c r="R415" s="164">
        <f t="shared" si="179"/>
        <v>0</v>
      </c>
      <c r="S415" s="165">
        <f t="shared" si="170"/>
        <v>0</v>
      </c>
      <c r="T415" s="165">
        <f t="shared" si="171"/>
        <v>0</v>
      </c>
      <c r="U415" s="166">
        <f t="shared" si="172"/>
        <v>0</v>
      </c>
      <c r="V415" s="153" t="str">
        <f t="shared" si="180"/>
        <v/>
      </c>
      <c r="W415" s="153" t="str">
        <f t="shared" si="181"/>
        <v/>
      </c>
      <c r="X415" s="244"/>
      <c r="Y415" s="154">
        <f t="shared" si="173"/>
        <v>0</v>
      </c>
      <c r="Z415" s="154" t="str">
        <f t="shared" si="169"/>
        <v>1000</v>
      </c>
      <c r="AA415" s="153" t="str">
        <f t="shared" si="182"/>
        <v/>
      </c>
      <c r="AD415" s="155" t="str">
        <f t="shared" si="174"/>
        <v/>
      </c>
      <c r="AI415" s="155">
        <f t="array" ref="AI415">MATCH(MIN(IF($AK$501:$AK$525&gt;=IF(G415&gt;1499,E415+7,E415+5), $AK$501:$AK$525)), $AK$501:$AK$525, 0)</f>
        <v>5</v>
      </c>
      <c r="AK415" s="233"/>
      <c r="AL415" s="233"/>
      <c r="AM415" s="155" t="str">
        <f t="shared" si="183"/>
        <v/>
      </c>
      <c r="AN415" s="155" t="str">
        <f t="shared" si="184"/>
        <v/>
      </c>
      <c r="AX415" s="155" t="str">
        <f t="shared" si="185"/>
        <v/>
      </c>
    </row>
    <row r="416" spans="1:50" s="155" customFormat="1" ht="30" hidden="1" customHeight="1">
      <c r="A416" s="141" t="str">
        <f t="shared" si="175"/>
        <v/>
      </c>
      <c r="B416" s="141" t="str">
        <f t="shared" si="176"/>
        <v/>
      </c>
      <c r="C416" s="157" t="str">
        <f>IF(D416="","",
    IF(ISERR(SEARCH("_",D416)),
        IFERROR(_xlfn.AGGREGATE(14,6,$C$12:C415,1),0)+1,
        IFERROR(
            VALUE(TRIM(MID(SUBSTITUTE(D416,"_",REPT(" ",LEN(D416))), (LEN(D416)-LEN(SUBSTITUTE(D416,"_",""))-1)*LEN(D416)+1, LEN(D416))))
            &amp; "." &amp;
            VALUE(TRIM(RIGHT(SUBSTITUTE(D416,"_",REPT(" ",LEN(D416))),LEN(D416)))),
            "")))</f>
        <v/>
      </c>
      <c r="D416" s="158"/>
      <c r="E416" s="159"/>
      <c r="F416" s="159"/>
      <c r="G416" s="159"/>
      <c r="H416" s="159"/>
      <c r="I416" s="158"/>
      <c r="J416" s="158"/>
      <c r="K416" s="159"/>
      <c r="L416" s="160"/>
      <c r="M416" s="159"/>
      <c r="N416" s="159"/>
      <c r="O416" s="161"/>
      <c r="P416" s="162" t="str">
        <f t="shared" si="177"/>
        <v/>
      </c>
      <c r="Q416" s="163" t="str">
        <f t="shared" si="178"/>
        <v/>
      </c>
      <c r="R416" s="164">
        <f t="shared" si="179"/>
        <v>0</v>
      </c>
      <c r="S416" s="165">
        <f t="shared" si="170"/>
        <v>0</v>
      </c>
      <c r="T416" s="165">
        <f t="shared" si="171"/>
        <v>0</v>
      </c>
      <c r="U416" s="166">
        <f t="shared" si="172"/>
        <v>0</v>
      </c>
      <c r="V416" s="153" t="str">
        <f t="shared" si="180"/>
        <v/>
      </c>
      <c r="W416" s="153" t="str">
        <f t="shared" si="181"/>
        <v/>
      </c>
      <c r="X416" s="244"/>
      <c r="Y416" s="154">
        <f t="shared" si="173"/>
        <v>0</v>
      </c>
      <c r="Z416" s="154" t="str">
        <f t="shared" si="169"/>
        <v>1000</v>
      </c>
      <c r="AA416" s="153" t="str">
        <f t="shared" si="182"/>
        <v/>
      </c>
      <c r="AD416" s="155" t="str">
        <f t="shared" si="174"/>
        <v/>
      </c>
      <c r="AI416" s="155">
        <f t="array" ref="AI416">MATCH(MIN(IF($AK$501:$AK$525&gt;=IF(G416&gt;1499,E416+7,E416+5), $AK$501:$AK$525)), $AK$501:$AK$525, 0)</f>
        <v>5</v>
      </c>
      <c r="AK416" s="233"/>
      <c r="AL416" s="233"/>
      <c r="AM416" s="155" t="str">
        <f t="shared" si="183"/>
        <v/>
      </c>
      <c r="AN416" s="155" t="str">
        <f t="shared" si="184"/>
        <v/>
      </c>
      <c r="AX416" s="155" t="str">
        <f t="shared" si="185"/>
        <v/>
      </c>
    </row>
    <row r="417" spans="1:50" s="155" customFormat="1" ht="30" hidden="1" customHeight="1">
      <c r="A417" s="141" t="str">
        <f t="shared" si="175"/>
        <v/>
      </c>
      <c r="B417" s="141" t="str">
        <f t="shared" si="176"/>
        <v/>
      </c>
      <c r="C417" s="157" t="str">
        <f>IF(D417="","",
    IF(ISERR(SEARCH("_",D417)),
        IFERROR(_xlfn.AGGREGATE(14,6,$C$12:C416,1),0)+1,
        IFERROR(
            VALUE(TRIM(MID(SUBSTITUTE(D417,"_",REPT(" ",LEN(D417))), (LEN(D417)-LEN(SUBSTITUTE(D417,"_",""))-1)*LEN(D417)+1, LEN(D417))))
            &amp; "." &amp;
            VALUE(TRIM(RIGHT(SUBSTITUTE(D417,"_",REPT(" ",LEN(D417))),LEN(D417)))),
            "")))</f>
        <v/>
      </c>
      <c r="D417" s="158"/>
      <c r="E417" s="159"/>
      <c r="F417" s="159"/>
      <c r="G417" s="159"/>
      <c r="H417" s="159"/>
      <c r="I417" s="158"/>
      <c r="J417" s="158"/>
      <c r="K417" s="159"/>
      <c r="L417" s="160"/>
      <c r="M417" s="159"/>
      <c r="N417" s="159"/>
      <c r="O417" s="161"/>
      <c r="P417" s="162" t="str">
        <f t="shared" si="177"/>
        <v/>
      </c>
      <c r="Q417" s="163" t="str">
        <f t="shared" si="178"/>
        <v/>
      </c>
      <c r="R417" s="164">
        <f t="shared" si="179"/>
        <v>0</v>
      </c>
      <c r="S417" s="165">
        <f t="shared" si="170"/>
        <v>0</v>
      </c>
      <c r="T417" s="165">
        <f t="shared" si="171"/>
        <v>0</v>
      </c>
      <c r="U417" s="166">
        <f t="shared" si="172"/>
        <v>0</v>
      </c>
      <c r="V417" s="153" t="str">
        <f t="shared" si="180"/>
        <v/>
      </c>
      <c r="W417" s="153" t="str">
        <f t="shared" si="181"/>
        <v/>
      </c>
      <c r="X417" s="244"/>
      <c r="Y417" s="154">
        <f t="shared" si="173"/>
        <v>0</v>
      </c>
      <c r="Z417" s="154" t="str">
        <f t="shared" si="169"/>
        <v>1000</v>
      </c>
      <c r="AA417" s="153" t="str">
        <f t="shared" si="182"/>
        <v/>
      </c>
      <c r="AD417" s="155" t="str">
        <f t="shared" si="174"/>
        <v/>
      </c>
      <c r="AI417" s="155">
        <f t="array" ref="AI417">MATCH(MIN(IF($AK$501:$AK$525&gt;=IF(G417&gt;1499,E417+7,E417+5), $AK$501:$AK$525)), $AK$501:$AK$525, 0)</f>
        <v>5</v>
      </c>
      <c r="AK417" s="233"/>
      <c r="AL417" s="233"/>
      <c r="AM417" s="155" t="str">
        <f t="shared" si="183"/>
        <v/>
      </c>
      <c r="AN417" s="155" t="str">
        <f t="shared" si="184"/>
        <v/>
      </c>
      <c r="AX417" s="155" t="str">
        <f t="shared" si="185"/>
        <v/>
      </c>
    </row>
    <row r="418" spans="1:50" s="155" customFormat="1" ht="30" hidden="1" customHeight="1">
      <c r="A418" s="141" t="str">
        <f t="shared" si="175"/>
        <v/>
      </c>
      <c r="B418" s="141" t="str">
        <f t="shared" si="176"/>
        <v/>
      </c>
      <c r="C418" s="157" t="str">
        <f>IF(D418="","",
    IF(ISERR(SEARCH("_",D418)),
        IFERROR(_xlfn.AGGREGATE(14,6,$C$12:C417,1),0)+1,
        IFERROR(
            VALUE(TRIM(MID(SUBSTITUTE(D418,"_",REPT(" ",LEN(D418))), (LEN(D418)-LEN(SUBSTITUTE(D418,"_",""))-1)*LEN(D418)+1, LEN(D418))))
            &amp; "." &amp;
            VALUE(TRIM(RIGHT(SUBSTITUTE(D418,"_",REPT(" ",LEN(D418))),LEN(D418)))),
            "")))</f>
        <v/>
      </c>
      <c r="D418" s="158"/>
      <c r="E418" s="159"/>
      <c r="F418" s="159"/>
      <c r="G418" s="159"/>
      <c r="H418" s="159"/>
      <c r="I418" s="158"/>
      <c r="J418" s="158"/>
      <c r="K418" s="159"/>
      <c r="L418" s="160"/>
      <c r="M418" s="159"/>
      <c r="N418" s="159"/>
      <c r="O418" s="161"/>
      <c r="P418" s="162" t="str">
        <f t="shared" si="177"/>
        <v/>
      </c>
      <c r="Q418" s="163" t="str">
        <f t="shared" si="178"/>
        <v/>
      </c>
      <c r="R418" s="164">
        <f t="shared" si="179"/>
        <v>0</v>
      </c>
      <c r="S418" s="165">
        <f t="shared" si="170"/>
        <v>0</v>
      </c>
      <c r="T418" s="165">
        <f t="shared" si="171"/>
        <v>0</v>
      </c>
      <c r="U418" s="166">
        <f t="shared" si="172"/>
        <v>0</v>
      </c>
      <c r="V418" s="153" t="str">
        <f t="shared" si="180"/>
        <v/>
      </c>
      <c r="W418" s="153" t="str">
        <f t="shared" si="181"/>
        <v/>
      </c>
      <c r="X418" s="244"/>
      <c r="Y418" s="154">
        <f t="shared" si="173"/>
        <v>0</v>
      </c>
      <c r="Z418" s="154" t="str">
        <f t="shared" si="169"/>
        <v>1000</v>
      </c>
      <c r="AA418" s="153" t="str">
        <f t="shared" si="182"/>
        <v/>
      </c>
      <c r="AD418" s="155" t="str">
        <f t="shared" si="174"/>
        <v/>
      </c>
      <c r="AI418" s="155">
        <f t="array" ref="AI418">MATCH(MIN(IF($AK$501:$AK$525&gt;=IF(G418&gt;1499,E418+7,E418+5), $AK$501:$AK$525)), $AK$501:$AK$525, 0)</f>
        <v>5</v>
      </c>
      <c r="AK418" s="233"/>
      <c r="AL418" s="233"/>
      <c r="AM418" s="155" t="str">
        <f t="shared" si="183"/>
        <v/>
      </c>
      <c r="AN418" s="155" t="str">
        <f t="shared" si="184"/>
        <v/>
      </c>
      <c r="AX418" s="155" t="str">
        <f t="shared" si="185"/>
        <v/>
      </c>
    </row>
    <row r="419" spans="1:50" s="155" customFormat="1" ht="30" hidden="1" customHeight="1">
      <c r="A419" s="141" t="str">
        <f t="shared" si="175"/>
        <v/>
      </c>
      <c r="B419" s="141" t="str">
        <f t="shared" si="176"/>
        <v/>
      </c>
      <c r="C419" s="157" t="str">
        <f>IF(D419="","",
    IF(ISERR(SEARCH("_",D419)),
        IFERROR(_xlfn.AGGREGATE(14,6,$C$12:C418,1),0)+1,
        IFERROR(
            VALUE(TRIM(MID(SUBSTITUTE(D419,"_",REPT(" ",LEN(D419))), (LEN(D419)-LEN(SUBSTITUTE(D419,"_",""))-1)*LEN(D419)+1, LEN(D419))))
            &amp; "." &amp;
            VALUE(TRIM(RIGHT(SUBSTITUTE(D419,"_",REPT(" ",LEN(D419))),LEN(D419)))),
            "")))</f>
        <v/>
      </c>
      <c r="D419" s="158"/>
      <c r="E419" s="159"/>
      <c r="F419" s="159"/>
      <c r="G419" s="159"/>
      <c r="H419" s="159"/>
      <c r="I419" s="158"/>
      <c r="J419" s="158"/>
      <c r="K419" s="159"/>
      <c r="L419" s="160"/>
      <c r="M419" s="159"/>
      <c r="N419" s="159"/>
      <c r="O419" s="161"/>
      <c r="P419" s="162" t="str">
        <f t="shared" si="177"/>
        <v/>
      </c>
      <c r="Q419" s="163" t="str">
        <f t="shared" si="178"/>
        <v/>
      </c>
      <c r="R419" s="164">
        <f t="shared" si="179"/>
        <v>0</v>
      </c>
      <c r="S419" s="165">
        <f t="shared" si="170"/>
        <v>0</v>
      </c>
      <c r="T419" s="165">
        <f t="shared" si="171"/>
        <v>0</v>
      </c>
      <c r="U419" s="166">
        <f t="shared" si="172"/>
        <v>0</v>
      </c>
      <c r="V419" s="153" t="str">
        <f t="shared" si="180"/>
        <v/>
      </c>
      <c r="W419" s="153" t="str">
        <f t="shared" si="181"/>
        <v/>
      </c>
      <c r="X419" s="244"/>
      <c r="Y419" s="154">
        <f t="shared" si="173"/>
        <v>0</v>
      </c>
      <c r="Z419" s="154" t="str">
        <f t="shared" si="169"/>
        <v>1000</v>
      </c>
      <c r="AA419" s="153" t="str">
        <f t="shared" si="182"/>
        <v/>
      </c>
      <c r="AD419" s="155" t="str">
        <f t="shared" si="174"/>
        <v/>
      </c>
      <c r="AI419" s="155">
        <f t="array" ref="AI419">MATCH(MIN(IF($AK$501:$AK$525&gt;=IF(G419&gt;1499,E419+7,E419+5), $AK$501:$AK$525)), $AK$501:$AK$525, 0)</f>
        <v>5</v>
      </c>
      <c r="AK419" s="233"/>
      <c r="AL419" s="233"/>
      <c r="AM419" s="155" t="str">
        <f t="shared" si="183"/>
        <v/>
      </c>
      <c r="AN419" s="155" t="str">
        <f t="shared" si="184"/>
        <v/>
      </c>
      <c r="AX419" s="155" t="str">
        <f t="shared" si="185"/>
        <v/>
      </c>
    </row>
    <row r="420" spans="1:50" s="155" customFormat="1" ht="30" hidden="1" customHeight="1">
      <c r="A420" s="141" t="str">
        <f t="shared" si="175"/>
        <v/>
      </c>
      <c r="B420" s="141" t="str">
        <f t="shared" si="176"/>
        <v/>
      </c>
      <c r="C420" s="157" t="str">
        <f>IF(D420="","",
    IF(ISERR(SEARCH("_",D420)),
        IFERROR(_xlfn.AGGREGATE(14,6,$C$12:C419,1),0)+1,
        IFERROR(
            VALUE(TRIM(MID(SUBSTITUTE(D420,"_",REPT(" ",LEN(D420))), (LEN(D420)-LEN(SUBSTITUTE(D420,"_",""))-1)*LEN(D420)+1, LEN(D420))))
            &amp; "." &amp;
            VALUE(TRIM(RIGHT(SUBSTITUTE(D420,"_",REPT(" ",LEN(D420))),LEN(D420)))),
            "")))</f>
        <v/>
      </c>
      <c r="D420" s="158"/>
      <c r="E420" s="159"/>
      <c r="F420" s="159"/>
      <c r="G420" s="159"/>
      <c r="H420" s="159"/>
      <c r="I420" s="158"/>
      <c r="J420" s="158"/>
      <c r="K420" s="159"/>
      <c r="L420" s="160"/>
      <c r="M420" s="159"/>
      <c r="N420" s="159"/>
      <c r="O420" s="161"/>
      <c r="P420" s="162" t="str">
        <f t="shared" si="177"/>
        <v/>
      </c>
      <c r="Q420" s="163" t="str">
        <f t="shared" si="178"/>
        <v/>
      </c>
      <c r="R420" s="164">
        <f t="shared" si="179"/>
        <v>0</v>
      </c>
      <c r="S420" s="165">
        <f t="shared" si="170"/>
        <v>0</v>
      </c>
      <c r="T420" s="165">
        <f t="shared" si="171"/>
        <v>0</v>
      </c>
      <c r="U420" s="166">
        <f t="shared" si="172"/>
        <v>0</v>
      </c>
      <c r="V420" s="153" t="str">
        <f t="shared" si="180"/>
        <v/>
      </c>
      <c r="W420" s="153" t="str">
        <f t="shared" si="181"/>
        <v/>
      </c>
      <c r="X420" s="244"/>
      <c r="Y420" s="154">
        <f t="shared" si="173"/>
        <v>0</v>
      </c>
      <c r="Z420" s="154" t="str">
        <f t="shared" si="169"/>
        <v>1000</v>
      </c>
      <c r="AA420" s="153" t="str">
        <f t="shared" si="182"/>
        <v/>
      </c>
      <c r="AD420" s="155" t="str">
        <f t="shared" si="174"/>
        <v/>
      </c>
      <c r="AI420" s="155">
        <f t="array" ref="AI420">MATCH(MIN(IF($AK$501:$AK$525&gt;=IF(G420&gt;1499,E420+7,E420+5), $AK$501:$AK$525)), $AK$501:$AK$525, 0)</f>
        <v>5</v>
      </c>
      <c r="AK420" s="233"/>
      <c r="AL420" s="233"/>
      <c r="AM420" s="155" t="str">
        <f t="shared" si="183"/>
        <v/>
      </c>
      <c r="AN420" s="155" t="str">
        <f t="shared" si="184"/>
        <v/>
      </c>
      <c r="AX420" s="155" t="str">
        <f t="shared" si="185"/>
        <v/>
      </c>
    </row>
    <row r="421" spans="1:50" s="155" customFormat="1" ht="30" hidden="1" customHeight="1">
      <c r="A421" s="141" t="str">
        <f t="shared" si="175"/>
        <v/>
      </c>
      <c r="B421" s="141" t="str">
        <f t="shared" si="176"/>
        <v/>
      </c>
      <c r="C421" s="157" t="str">
        <f>IF(D421="","",
    IF(ISERR(SEARCH("_",D421)),
        IFERROR(_xlfn.AGGREGATE(14,6,$C$12:C420,1),0)+1,
        IFERROR(
            VALUE(TRIM(MID(SUBSTITUTE(D421,"_",REPT(" ",LEN(D421))), (LEN(D421)-LEN(SUBSTITUTE(D421,"_",""))-1)*LEN(D421)+1, LEN(D421))))
            &amp; "." &amp;
            VALUE(TRIM(RIGHT(SUBSTITUTE(D421,"_",REPT(" ",LEN(D421))),LEN(D421)))),
            "")))</f>
        <v/>
      </c>
      <c r="D421" s="158"/>
      <c r="E421" s="159"/>
      <c r="F421" s="159"/>
      <c r="G421" s="159"/>
      <c r="H421" s="159"/>
      <c r="I421" s="158"/>
      <c r="J421" s="158"/>
      <c r="K421" s="159"/>
      <c r="L421" s="160"/>
      <c r="M421" s="159"/>
      <c r="N421" s="159"/>
      <c r="O421" s="161"/>
      <c r="P421" s="162" t="str">
        <f t="shared" si="177"/>
        <v/>
      </c>
      <c r="Q421" s="163" t="str">
        <f t="shared" si="178"/>
        <v/>
      </c>
      <c r="R421" s="164">
        <f t="shared" si="179"/>
        <v>0</v>
      </c>
      <c r="S421" s="165">
        <f t="shared" si="170"/>
        <v>0</v>
      </c>
      <c r="T421" s="165">
        <f t="shared" si="171"/>
        <v>0</v>
      </c>
      <c r="U421" s="166">
        <f t="shared" si="172"/>
        <v>0</v>
      </c>
      <c r="V421" s="153" t="str">
        <f t="shared" si="180"/>
        <v/>
      </c>
      <c r="W421" s="153" t="str">
        <f t="shared" si="181"/>
        <v/>
      </c>
      <c r="X421" s="244"/>
      <c r="Y421" s="154">
        <f t="shared" si="173"/>
        <v>0</v>
      </c>
      <c r="Z421" s="154" t="str">
        <f t="shared" si="169"/>
        <v>1000</v>
      </c>
      <c r="AA421" s="153" t="str">
        <f t="shared" si="182"/>
        <v/>
      </c>
      <c r="AD421" s="155" t="str">
        <f t="shared" si="174"/>
        <v/>
      </c>
      <c r="AI421" s="155">
        <f t="array" ref="AI421">MATCH(MIN(IF($AK$501:$AK$525&gt;=IF(G421&gt;1499,E421+7,E421+5), $AK$501:$AK$525)), $AK$501:$AK$525, 0)</f>
        <v>5</v>
      </c>
      <c r="AK421" s="233"/>
      <c r="AL421" s="233"/>
      <c r="AM421" s="155" t="str">
        <f t="shared" si="183"/>
        <v/>
      </c>
      <c r="AN421" s="155" t="str">
        <f t="shared" si="184"/>
        <v/>
      </c>
      <c r="AX421" s="155" t="str">
        <f t="shared" si="185"/>
        <v/>
      </c>
    </row>
    <row r="422" spans="1:50" s="155" customFormat="1" ht="30" hidden="1" customHeight="1">
      <c r="A422" s="141" t="str">
        <f t="shared" si="175"/>
        <v/>
      </c>
      <c r="B422" s="141" t="str">
        <f t="shared" si="176"/>
        <v/>
      </c>
      <c r="C422" s="157" t="str">
        <f>IF(D422="","",
    IF(ISERR(SEARCH("_",D422)),
        IFERROR(_xlfn.AGGREGATE(14,6,$C$12:C421,1),0)+1,
        IFERROR(
            VALUE(TRIM(MID(SUBSTITUTE(D422,"_",REPT(" ",LEN(D422))), (LEN(D422)-LEN(SUBSTITUTE(D422,"_",""))-1)*LEN(D422)+1, LEN(D422))))
            &amp; "." &amp;
            VALUE(TRIM(RIGHT(SUBSTITUTE(D422,"_",REPT(" ",LEN(D422))),LEN(D422)))),
            "")))</f>
        <v/>
      </c>
      <c r="D422" s="158"/>
      <c r="E422" s="159"/>
      <c r="F422" s="159"/>
      <c r="G422" s="159"/>
      <c r="H422" s="159"/>
      <c r="I422" s="158"/>
      <c r="J422" s="158"/>
      <c r="K422" s="159"/>
      <c r="L422" s="160"/>
      <c r="M422" s="159"/>
      <c r="N422" s="159"/>
      <c r="O422" s="161"/>
      <c r="P422" s="162" t="str">
        <f t="shared" si="177"/>
        <v/>
      </c>
      <c r="Q422" s="163" t="str">
        <f t="shared" si="178"/>
        <v/>
      </c>
      <c r="R422" s="164">
        <f t="shared" si="179"/>
        <v>0</v>
      </c>
      <c r="S422" s="165">
        <f t="shared" si="170"/>
        <v>0</v>
      </c>
      <c r="T422" s="165">
        <f t="shared" si="171"/>
        <v>0</v>
      </c>
      <c r="U422" s="166">
        <f t="shared" si="172"/>
        <v>0</v>
      </c>
      <c r="V422" s="153" t="str">
        <f t="shared" si="180"/>
        <v/>
      </c>
      <c r="W422" s="153" t="str">
        <f t="shared" si="181"/>
        <v/>
      </c>
      <c r="X422" s="244"/>
      <c r="Y422" s="154">
        <f t="shared" si="173"/>
        <v>0</v>
      </c>
      <c r="Z422" s="154" t="str">
        <f t="shared" si="169"/>
        <v>1000</v>
      </c>
      <c r="AA422" s="153" t="str">
        <f t="shared" si="182"/>
        <v/>
      </c>
      <c r="AD422" s="155" t="str">
        <f t="shared" si="174"/>
        <v/>
      </c>
      <c r="AI422" s="155">
        <f t="array" ref="AI422">MATCH(MIN(IF($AK$501:$AK$525&gt;=IF(G422&gt;1499,E422+7,E422+5), $AK$501:$AK$525)), $AK$501:$AK$525, 0)</f>
        <v>5</v>
      </c>
      <c r="AK422" s="233"/>
      <c r="AL422" s="233"/>
      <c r="AM422" s="155" t="str">
        <f t="shared" si="183"/>
        <v/>
      </c>
      <c r="AN422" s="155" t="str">
        <f t="shared" si="184"/>
        <v/>
      </c>
      <c r="AX422" s="155" t="str">
        <f t="shared" si="185"/>
        <v/>
      </c>
    </row>
    <row r="423" spans="1:50" s="155" customFormat="1" ht="30" hidden="1" customHeight="1">
      <c r="A423" s="141" t="str">
        <f t="shared" si="175"/>
        <v/>
      </c>
      <c r="B423" s="141" t="str">
        <f t="shared" si="176"/>
        <v/>
      </c>
      <c r="C423" s="157" t="str">
        <f>IF(D423="","",
    IF(ISERR(SEARCH("_",D423)),
        IFERROR(_xlfn.AGGREGATE(14,6,$C$12:C422,1),0)+1,
        IFERROR(
            VALUE(TRIM(MID(SUBSTITUTE(D423,"_",REPT(" ",LEN(D423))), (LEN(D423)-LEN(SUBSTITUTE(D423,"_",""))-1)*LEN(D423)+1, LEN(D423))))
            &amp; "." &amp;
            VALUE(TRIM(RIGHT(SUBSTITUTE(D423,"_",REPT(" ",LEN(D423))),LEN(D423)))),
            "")))</f>
        <v/>
      </c>
      <c r="D423" s="158"/>
      <c r="E423" s="159"/>
      <c r="F423" s="159"/>
      <c r="G423" s="159"/>
      <c r="H423" s="159"/>
      <c r="I423" s="158"/>
      <c r="J423" s="158"/>
      <c r="K423" s="159"/>
      <c r="L423" s="160"/>
      <c r="M423" s="159"/>
      <c r="N423" s="159"/>
      <c r="O423" s="161"/>
      <c r="P423" s="162" t="str">
        <f t="shared" si="177"/>
        <v/>
      </c>
      <c r="Q423" s="163" t="str">
        <f t="shared" si="178"/>
        <v/>
      </c>
      <c r="R423" s="164">
        <f t="shared" si="179"/>
        <v>0</v>
      </c>
      <c r="S423" s="165">
        <f t="shared" si="170"/>
        <v>0</v>
      </c>
      <c r="T423" s="165">
        <f t="shared" si="171"/>
        <v>0</v>
      </c>
      <c r="U423" s="166">
        <f t="shared" si="172"/>
        <v>0</v>
      </c>
      <c r="V423" s="153" t="str">
        <f t="shared" si="180"/>
        <v/>
      </c>
      <c r="W423" s="153" t="str">
        <f t="shared" si="181"/>
        <v/>
      </c>
      <c r="X423" s="244"/>
      <c r="Y423" s="154">
        <f t="shared" si="173"/>
        <v>0</v>
      </c>
      <c r="Z423" s="154" t="str">
        <f t="shared" si="169"/>
        <v>1000</v>
      </c>
      <c r="AA423" s="153" t="str">
        <f t="shared" si="182"/>
        <v/>
      </c>
      <c r="AD423" s="155" t="str">
        <f t="shared" si="174"/>
        <v/>
      </c>
      <c r="AI423" s="155">
        <f t="array" ref="AI423">MATCH(MIN(IF($AK$501:$AK$525&gt;=IF(G423&gt;1499,E423+7,E423+5), $AK$501:$AK$525)), $AK$501:$AK$525, 0)</f>
        <v>5</v>
      </c>
      <c r="AK423" s="233"/>
      <c r="AL423" s="233"/>
      <c r="AM423" s="155" t="str">
        <f t="shared" si="183"/>
        <v/>
      </c>
      <c r="AN423" s="155" t="str">
        <f t="shared" si="184"/>
        <v/>
      </c>
      <c r="AX423" s="155" t="str">
        <f t="shared" si="185"/>
        <v/>
      </c>
    </row>
    <row r="424" spans="1:50" s="155" customFormat="1" ht="30" hidden="1" customHeight="1">
      <c r="A424" s="141" t="str">
        <f t="shared" si="175"/>
        <v/>
      </c>
      <c r="B424" s="141" t="str">
        <f t="shared" si="176"/>
        <v/>
      </c>
      <c r="C424" s="157" t="str">
        <f>IF(D424="","",
    IF(ISERR(SEARCH("_",D424)),
        IFERROR(_xlfn.AGGREGATE(14,6,$C$12:C423,1),0)+1,
        IFERROR(
            VALUE(TRIM(MID(SUBSTITUTE(D424,"_",REPT(" ",LEN(D424))), (LEN(D424)-LEN(SUBSTITUTE(D424,"_",""))-1)*LEN(D424)+1, LEN(D424))))
            &amp; "." &amp;
            VALUE(TRIM(RIGHT(SUBSTITUTE(D424,"_",REPT(" ",LEN(D424))),LEN(D424)))),
            "")))</f>
        <v/>
      </c>
      <c r="D424" s="158"/>
      <c r="E424" s="159"/>
      <c r="F424" s="159"/>
      <c r="G424" s="159"/>
      <c r="H424" s="159"/>
      <c r="I424" s="158"/>
      <c r="J424" s="158"/>
      <c r="K424" s="159"/>
      <c r="L424" s="160"/>
      <c r="M424" s="159"/>
      <c r="N424" s="159"/>
      <c r="O424" s="161"/>
      <c r="P424" s="162" t="str">
        <f t="shared" si="177"/>
        <v/>
      </c>
      <c r="Q424" s="163" t="str">
        <f t="shared" si="178"/>
        <v/>
      </c>
      <c r="R424" s="164">
        <f t="shared" si="179"/>
        <v>0</v>
      </c>
      <c r="S424" s="165">
        <f t="shared" si="170"/>
        <v>0</v>
      </c>
      <c r="T424" s="165">
        <f t="shared" si="171"/>
        <v>0</v>
      </c>
      <c r="U424" s="166">
        <f t="shared" si="172"/>
        <v>0</v>
      </c>
      <c r="V424" s="153" t="str">
        <f t="shared" si="180"/>
        <v/>
      </c>
      <c r="W424" s="153" t="str">
        <f t="shared" si="181"/>
        <v/>
      </c>
      <c r="X424" s="244"/>
      <c r="Y424" s="154">
        <f t="shared" si="173"/>
        <v>0</v>
      </c>
      <c r="Z424" s="154" t="str">
        <f t="shared" si="169"/>
        <v>1000</v>
      </c>
      <c r="AA424" s="153" t="str">
        <f t="shared" si="182"/>
        <v/>
      </c>
      <c r="AD424" s="155" t="str">
        <f t="shared" si="174"/>
        <v/>
      </c>
      <c r="AI424" s="155">
        <f t="array" ref="AI424">MATCH(MIN(IF($AK$501:$AK$525&gt;=IF(G424&gt;1499,E424+7,E424+5), $AK$501:$AK$525)), $AK$501:$AK$525, 0)</f>
        <v>5</v>
      </c>
      <c r="AK424" s="233"/>
      <c r="AL424" s="233"/>
      <c r="AM424" s="155" t="str">
        <f t="shared" si="183"/>
        <v/>
      </c>
      <c r="AN424" s="155" t="str">
        <f t="shared" si="184"/>
        <v/>
      </c>
      <c r="AX424" s="155" t="str">
        <f t="shared" si="185"/>
        <v/>
      </c>
    </row>
    <row r="425" spans="1:50" s="155" customFormat="1" ht="30" hidden="1" customHeight="1">
      <c r="A425" s="141" t="str">
        <f t="shared" si="175"/>
        <v/>
      </c>
      <c r="B425" s="141" t="str">
        <f t="shared" si="176"/>
        <v/>
      </c>
      <c r="C425" s="157" t="str">
        <f>IF(D425="","",
    IF(ISERR(SEARCH("_",D425)),
        IFERROR(_xlfn.AGGREGATE(14,6,$C$12:C424,1),0)+1,
        IFERROR(
            VALUE(TRIM(MID(SUBSTITUTE(D425,"_",REPT(" ",LEN(D425))), (LEN(D425)-LEN(SUBSTITUTE(D425,"_",""))-1)*LEN(D425)+1, LEN(D425))))
            &amp; "." &amp;
            VALUE(TRIM(RIGHT(SUBSTITUTE(D425,"_",REPT(" ",LEN(D425))),LEN(D425)))),
            "")))</f>
        <v/>
      </c>
      <c r="D425" s="158"/>
      <c r="E425" s="159"/>
      <c r="F425" s="159"/>
      <c r="G425" s="159"/>
      <c r="H425" s="159"/>
      <c r="I425" s="158"/>
      <c r="J425" s="158"/>
      <c r="K425" s="159"/>
      <c r="L425" s="160"/>
      <c r="M425" s="159"/>
      <c r="N425" s="159"/>
      <c r="O425" s="161"/>
      <c r="P425" s="162" t="str">
        <f t="shared" si="177"/>
        <v/>
      </c>
      <c r="Q425" s="163" t="str">
        <f t="shared" si="178"/>
        <v/>
      </c>
      <c r="R425" s="164">
        <f t="shared" si="179"/>
        <v>0</v>
      </c>
      <c r="S425" s="165">
        <f t="shared" si="170"/>
        <v>0</v>
      </c>
      <c r="T425" s="165">
        <f t="shared" si="171"/>
        <v>0</v>
      </c>
      <c r="U425" s="166">
        <f t="shared" si="172"/>
        <v>0</v>
      </c>
      <c r="V425" s="153" t="str">
        <f t="shared" si="180"/>
        <v/>
      </c>
      <c r="W425" s="153" t="str">
        <f t="shared" si="181"/>
        <v/>
      </c>
      <c r="X425" s="244"/>
      <c r="Y425" s="154">
        <f t="shared" si="173"/>
        <v>0</v>
      </c>
      <c r="Z425" s="154" t="str">
        <f t="shared" si="169"/>
        <v>1000</v>
      </c>
      <c r="AA425" s="153" t="str">
        <f t="shared" si="182"/>
        <v/>
      </c>
      <c r="AD425" s="155" t="str">
        <f t="shared" si="174"/>
        <v/>
      </c>
      <c r="AI425" s="155">
        <f t="array" ref="AI425">MATCH(MIN(IF($AK$501:$AK$525&gt;=IF(G425&gt;1499,E425+7,E425+5), $AK$501:$AK$525)), $AK$501:$AK$525, 0)</f>
        <v>5</v>
      </c>
      <c r="AK425" s="233"/>
      <c r="AL425" s="233"/>
      <c r="AM425" s="155" t="str">
        <f t="shared" si="183"/>
        <v/>
      </c>
      <c r="AN425" s="155" t="str">
        <f t="shared" si="184"/>
        <v/>
      </c>
      <c r="AX425" s="155" t="str">
        <f t="shared" si="185"/>
        <v/>
      </c>
    </row>
    <row r="426" spans="1:50" s="155" customFormat="1" ht="30" hidden="1" customHeight="1">
      <c r="A426" s="141" t="str">
        <f t="shared" si="175"/>
        <v/>
      </c>
      <c r="B426" s="141" t="str">
        <f t="shared" si="176"/>
        <v/>
      </c>
      <c r="C426" s="157" t="str">
        <f>IF(D426="","",
    IF(ISERR(SEARCH("_",D426)),
        IFERROR(_xlfn.AGGREGATE(14,6,$C$12:C425,1),0)+1,
        IFERROR(
            VALUE(TRIM(MID(SUBSTITUTE(D426,"_",REPT(" ",LEN(D426))), (LEN(D426)-LEN(SUBSTITUTE(D426,"_",""))-1)*LEN(D426)+1, LEN(D426))))
            &amp; "." &amp;
            VALUE(TRIM(RIGHT(SUBSTITUTE(D426,"_",REPT(" ",LEN(D426))),LEN(D426)))),
            "")))</f>
        <v/>
      </c>
      <c r="D426" s="158"/>
      <c r="E426" s="159"/>
      <c r="F426" s="159"/>
      <c r="G426" s="159"/>
      <c r="H426" s="159"/>
      <c r="I426" s="158"/>
      <c r="J426" s="158"/>
      <c r="K426" s="159"/>
      <c r="L426" s="160"/>
      <c r="M426" s="159"/>
      <c r="N426" s="159"/>
      <c r="O426" s="161"/>
      <c r="P426" s="162" t="str">
        <f t="shared" si="177"/>
        <v/>
      </c>
      <c r="Q426" s="163" t="str">
        <f t="shared" si="178"/>
        <v/>
      </c>
      <c r="R426" s="164">
        <f t="shared" si="179"/>
        <v>0</v>
      </c>
      <c r="S426" s="165">
        <f t="shared" si="170"/>
        <v>0</v>
      </c>
      <c r="T426" s="165">
        <f t="shared" si="171"/>
        <v>0</v>
      </c>
      <c r="U426" s="166">
        <f t="shared" si="172"/>
        <v>0</v>
      </c>
      <c r="V426" s="153" t="str">
        <f t="shared" si="180"/>
        <v/>
      </c>
      <c r="W426" s="153" t="str">
        <f t="shared" si="181"/>
        <v/>
      </c>
      <c r="X426" s="244"/>
      <c r="Y426" s="154">
        <f t="shared" si="173"/>
        <v>0</v>
      </c>
      <c r="Z426" s="154" t="str">
        <f t="shared" si="169"/>
        <v>1000</v>
      </c>
      <c r="AA426" s="153" t="str">
        <f t="shared" si="182"/>
        <v/>
      </c>
      <c r="AD426" s="155" t="str">
        <f t="shared" si="174"/>
        <v/>
      </c>
      <c r="AI426" s="155">
        <f t="array" ref="AI426">MATCH(MIN(IF($AK$501:$AK$525&gt;=IF(G426&gt;1499,E426+7,E426+5), $AK$501:$AK$525)), $AK$501:$AK$525, 0)</f>
        <v>5</v>
      </c>
      <c r="AK426" s="233"/>
      <c r="AL426" s="233"/>
      <c r="AM426" s="155" t="str">
        <f t="shared" si="183"/>
        <v/>
      </c>
      <c r="AN426" s="155" t="str">
        <f t="shared" si="184"/>
        <v/>
      </c>
      <c r="AX426" s="155" t="str">
        <f t="shared" si="185"/>
        <v/>
      </c>
    </row>
    <row r="427" spans="1:50" s="155" customFormat="1" ht="30" hidden="1" customHeight="1">
      <c r="A427" s="141" t="str">
        <f t="shared" si="175"/>
        <v/>
      </c>
      <c r="B427" s="141" t="str">
        <f t="shared" si="176"/>
        <v/>
      </c>
      <c r="C427" s="157" t="str">
        <f>IF(D427="","",
    IF(ISERR(SEARCH("_",D427)),
        IFERROR(_xlfn.AGGREGATE(14,6,$C$12:C426,1),0)+1,
        IFERROR(
            VALUE(TRIM(MID(SUBSTITUTE(D427,"_",REPT(" ",LEN(D427))), (LEN(D427)-LEN(SUBSTITUTE(D427,"_",""))-1)*LEN(D427)+1, LEN(D427))))
            &amp; "." &amp;
            VALUE(TRIM(RIGHT(SUBSTITUTE(D427,"_",REPT(" ",LEN(D427))),LEN(D427)))),
            "")))</f>
        <v/>
      </c>
      <c r="D427" s="158"/>
      <c r="E427" s="159"/>
      <c r="F427" s="159"/>
      <c r="G427" s="159"/>
      <c r="H427" s="159"/>
      <c r="I427" s="158"/>
      <c r="J427" s="158"/>
      <c r="K427" s="159"/>
      <c r="L427" s="160"/>
      <c r="M427" s="159"/>
      <c r="N427" s="159"/>
      <c r="O427" s="161"/>
      <c r="P427" s="162" t="str">
        <f t="shared" si="177"/>
        <v/>
      </c>
      <c r="Q427" s="163" t="str">
        <f t="shared" si="178"/>
        <v/>
      </c>
      <c r="R427" s="164">
        <f t="shared" si="179"/>
        <v>0</v>
      </c>
      <c r="S427" s="165">
        <f t="shared" si="170"/>
        <v>0</v>
      </c>
      <c r="T427" s="165">
        <f t="shared" si="171"/>
        <v>0</v>
      </c>
      <c r="U427" s="166">
        <f t="shared" si="172"/>
        <v>0</v>
      </c>
      <c r="V427" s="153" t="str">
        <f t="shared" si="180"/>
        <v/>
      </c>
      <c r="W427" s="153" t="str">
        <f t="shared" si="181"/>
        <v/>
      </c>
      <c r="X427" s="244"/>
      <c r="Y427" s="154">
        <f t="shared" si="173"/>
        <v>0</v>
      </c>
      <c r="Z427" s="154" t="str">
        <f t="shared" si="169"/>
        <v>1000</v>
      </c>
      <c r="AA427" s="153" t="str">
        <f t="shared" si="182"/>
        <v/>
      </c>
      <c r="AD427" s="155" t="str">
        <f t="shared" si="174"/>
        <v/>
      </c>
      <c r="AI427" s="155">
        <f t="array" ref="AI427">MATCH(MIN(IF($AK$501:$AK$525&gt;=IF(G427&gt;1499,E427+7,E427+5), $AK$501:$AK$525)), $AK$501:$AK$525, 0)</f>
        <v>5</v>
      </c>
      <c r="AK427" s="233"/>
      <c r="AL427" s="233"/>
      <c r="AM427" s="155" t="str">
        <f t="shared" si="183"/>
        <v/>
      </c>
      <c r="AN427" s="155" t="str">
        <f t="shared" si="184"/>
        <v/>
      </c>
      <c r="AX427" s="155" t="str">
        <f t="shared" si="185"/>
        <v/>
      </c>
    </row>
    <row r="428" spans="1:50" s="155" customFormat="1" ht="30" hidden="1" customHeight="1">
      <c r="A428" s="141" t="str">
        <f t="shared" si="175"/>
        <v/>
      </c>
      <c r="B428" s="141" t="str">
        <f t="shared" si="176"/>
        <v/>
      </c>
      <c r="C428" s="157" t="str">
        <f>IF(D428="","",
    IF(ISERR(SEARCH("_",D428)),
        IFERROR(_xlfn.AGGREGATE(14,6,$C$12:C427,1),0)+1,
        IFERROR(
            VALUE(TRIM(MID(SUBSTITUTE(D428,"_",REPT(" ",LEN(D428))), (LEN(D428)-LEN(SUBSTITUTE(D428,"_",""))-1)*LEN(D428)+1, LEN(D428))))
            &amp; "." &amp;
            VALUE(TRIM(RIGHT(SUBSTITUTE(D428,"_",REPT(" ",LEN(D428))),LEN(D428)))),
            "")))</f>
        <v/>
      </c>
      <c r="D428" s="158"/>
      <c r="E428" s="159"/>
      <c r="F428" s="159"/>
      <c r="G428" s="159"/>
      <c r="H428" s="159"/>
      <c r="I428" s="158"/>
      <c r="J428" s="158"/>
      <c r="K428" s="159"/>
      <c r="L428" s="160"/>
      <c r="M428" s="159"/>
      <c r="N428" s="159"/>
      <c r="O428" s="161"/>
      <c r="P428" s="162" t="str">
        <f t="shared" si="177"/>
        <v/>
      </c>
      <c r="Q428" s="163" t="str">
        <f t="shared" si="178"/>
        <v/>
      </c>
      <c r="R428" s="164">
        <f t="shared" si="179"/>
        <v>0</v>
      </c>
      <c r="S428" s="165">
        <f t="shared" si="170"/>
        <v>0</v>
      </c>
      <c r="T428" s="165">
        <f t="shared" si="171"/>
        <v>0</v>
      </c>
      <c r="U428" s="166">
        <f t="shared" si="172"/>
        <v>0</v>
      </c>
      <c r="V428" s="153" t="str">
        <f t="shared" si="180"/>
        <v/>
      </c>
      <c r="W428" s="153" t="str">
        <f t="shared" si="181"/>
        <v/>
      </c>
      <c r="X428" s="244"/>
      <c r="Y428" s="154">
        <f t="shared" si="173"/>
        <v>0</v>
      </c>
      <c r="Z428" s="154" t="str">
        <f t="shared" si="169"/>
        <v>1000</v>
      </c>
      <c r="AA428" s="153" t="str">
        <f t="shared" si="182"/>
        <v/>
      </c>
      <c r="AD428" s="155" t="str">
        <f t="shared" si="174"/>
        <v/>
      </c>
      <c r="AI428" s="155">
        <f t="array" ref="AI428">MATCH(MIN(IF($AK$501:$AK$525&gt;=IF(G428&gt;1499,E428+7,E428+5), $AK$501:$AK$525)), $AK$501:$AK$525, 0)</f>
        <v>5</v>
      </c>
      <c r="AK428" s="233"/>
      <c r="AL428" s="233"/>
      <c r="AM428" s="155" t="str">
        <f t="shared" si="183"/>
        <v/>
      </c>
      <c r="AN428" s="155" t="str">
        <f t="shared" si="184"/>
        <v/>
      </c>
      <c r="AX428" s="155" t="str">
        <f t="shared" si="185"/>
        <v/>
      </c>
    </row>
    <row r="429" spans="1:50" s="155" customFormat="1" ht="30" hidden="1" customHeight="1">
      <c r="A429" s="141" t="str">
        <f t="shared" si="175"/>
        <v/>
      </c>
      <c r="B429" s="141" t="str">
        <f t="shared" si="176"/>
        <v/>
      </c>
      <c r="C429" s="157" t="str">
        <f>IF(D429="","",
    IF(ISERR(SEARCH("_",D429)),
        IFERROR(_xlfn.AGGREGATE(14,6,$C$12:C428,1),0)+1,
        IFERROR(
            VALUE(TRIM(MID(SUBSTITUTE(D429,"_",REPT(" ",LEN(D429))), (LEN(D429)-LEN(SUBSTITUTE(D429,"_",""))-1)*LEN(D429)+1, LEN(D429))))
            &amp; "." &amp;
            VALUE(TRIM(RIGHT(SUBSTITUTE(D429,"_",REPT(" ",LEN(D429))),LEN(D429)))),
            "")))</f>
        <v/>
      </c>
      <c r="D429" s="158"/>
      <c r="E429" s="159"/>
      <c r="F429" s="159"/>
      <c r="G429" s="159"/>
      <c r="H429" s="159"/>
      <c r="I429" s="158"/>
      <c r="J429" s="158"/>
      <c r="K429" s="159"/>
      <c r="L429" s="160"/>
      <c r="M429" s="159"/>
      <c r="N429" s="159"/>
      <c r="O429" s="161"/>
      <c r="P429" s="162" t="str">
        <f t="shared" si="177"/>
        <v/>
      </c>
      <c r="Q429" s="163" t="str">
        <f t="shared" si="178"/>
        <v/>
      </c>
      <c r="R429" s="164">
        <f t="shared" si="179"/>
        <v>0</v>
      </c>
      <c r="S429" s="165">
        <f t="shared" si="170"/>
        <v>0</v>
      </c>
      <c r="T429" s="165">
        <f t="shared" si="171"/>
        <v>0</v>
      </c>
      <c r="U429" s="166">
        <f t="shared" si="172"/>
        <v>0</v>
      </c>
      <c r="V429" s="153" t="str">
        <f t="shared" si="180"/>
        <v/>
      </c>
      <c r="W429" s="153" t="str">
        <f t="shared" si="181"/>
        <v/>
      </c>
      <c r="X429" s="244"/>
      <c r="Y429" s="154">
        <f t="shared" si="173"/>
        <v>0</v>
      </c>
      <c r="Z429" s="154" t="str">
        <f t="shared" si="169"/>
        <v>1000</v>
      </c>
      <c r="AA429" s="153" t="str">
        <f t="shared" si="182"/>
        <v/>
      </c>
      <c r="AD429" s="155" t="str">
        <f t="shared" si="174"/>
        <v/>
      </c>
      <c r="AI429" s="155">
        <f t="array" ref="AI429">MATCH(MIN(IF($AK$501:$AK$525&gt;=IF(G429&gt;1499,E429+7,E429+5), $AK$501:$AK$525)), $AK$501:$AK$525, 0)</f>
        <v>5</v>
      </c>
      <c r="AK429" s="233"/>
      <c r="AL429" s="233"/>
      <c r="AM429" s="155" t="str">
        <f t="shared" si="183"/>
        <v/>
      </c>
      <c r="AN429" s="155" t="str">
        <f t="shared" si="184"/>
        <v/>
      </c>
      <c r="AX429" s="155" t="str">
        <f t="shared" si="185"/>
        <v/>
      </c>
    </row>
    <row r="430" spans="1:50" s="155" customFormat="1" ht="30" hidden="1" customHeight="1">
      <c r="A430" s="141" t="str">
        <f t="shared" si="175"/>
        <v/>
      </c>
      <c r="B430" s="141" t="str">
        <f t="shared" si="176"/>
        <v/>
      </c>
      <c r="C430" s="157" t="str">
        <f>IF(D430="","",
    IF(ISERR(SEARCH("_",D430)),
        IFERROR(_xlfn.AGGREGATE(14,6,$C$12:C429,1),0)+1,
        IFERROR(
            VALUE(TRIM(MID(SUBSTITUTE(D430,"_",REPT(" ",LEN(D430))), (LEN(D430)-LEN(SUBSTITUTE(D430,"_",""))-1)*LEN(D430)+1, LEN(D430))))
            &amp; "." &amp;
            VALUE(TRIM(RIGHT(SUBSTITUTE(D430,"_",REPT(" ",LEN(D430))),LEN(D430)))),
            "")))</f>
        <v/>
      </c>
      <c r="D430" s="158"/>
      <c r="E430" s="159"/>
      <c r="F430" s="159"/>
      <c r="G430" s="159"/>
      <c r="H430" s="159"/>
      <c r="I430" s="158"/>
      <c r="J430" s="158"/>
      <c r="K430" s="159"/>
      <c r="L430" s="160"/>
      <c r="M430" s="159"/>
      <c r="N430" s="159"/>
      <c r="O430" s="161"/>
      <c r="P430" s="162" t="str">
        <f t="shared" si="177"/>
        <v/>
      </c>
      <c r="Q430" s="163" t="str">
        <f t="shared" si="178"/>
        <v/>
      </c>
      <c r="R430" s="164">
        <f t="shared" si="179"/>
        <v>0</v>
      </c>
      <c r="S430" s="165">
        <f t="shared" si="170"/>
        <v>0</v>
      </c>
      <c r="T430" s="165">
        <f t="shared" si="171"/>
        <v>0</v>
      </c>
      <c r="U430" s="166">
        <f t="shared" si="172"/>
        <v>0</v>
      </c>
      <c r="V430" s="153" t="str">
        <f t="shared" si="180"/>
        <v/>
      </c>
      <c r="W430" s="153" t="str">
        <f t="shared" si="181"/>
        <v/>
      </c>
      <c r="X430" s="244"/>
      <c r="Y430" s="154">
        <f t="shared" si="173"/>
        <v>0</v>
      </c>
      <c r="Z430" s="154" t="str">
        <f t="shared" si="169"/>
        <v>1000</v>
      </c>
      <c r="AA430" s="153" t="str">
        <f t="shared" si="182"/>
        <v/>
      </c>
      <c r="AD430" s="155" t="str">
        <f t="shared" si="174"/>
        <v/>
      </c>
      <c r="AI430" s="155">
        <f t="array" ref="AI430">MATCH(MIN(IF($AK$501:$AK$525&gt;=IF(G430&gt;1499,E430+7,E430+5), $AK$501:$AK$525)), $AK$501:$AK$525, 0)</f>
        <v>5</v>
      </c>
      <c r="AK430" s="233"/>
      <c r="AL430" s="233"/>
      <c r="AM430" s="155" t="str">
        <f t="shared" si="183"/>
        <v/>
      </c>
      <c r="AN430" s="155" t="str">
        <f t="shared" si="184"/>
        <v/>
      </c>
      <c r="AX430" s="155" t="str">
        <f t="shared" si="185"/>
        <v/>
      </c>
    </row>
    <row r="431" spans="1:50" s="155" customFormat="1" ht="30" hidden="1" customHeight="1">
      <c r="A431" s="141" t="str">
        <f t="shared" si="175"/>
        <v/>
      </c>
      <c r="B431" s="141" t="str">
        <f t="shared" si="176"/>
        <v/>
      </c>
      <c r="C431" s="157" t="str">
        <f>IF(D431="","",
    IF(ISERR(SEARCH("_",D431)),
        IFERROR(_xlfn.AGGREGATE(14,6,$C$12:C430,1),0)+1,
        IFERROR(
            VALUE(TRIM(MID(SUBSTITUTE(D431,"_",REPT(" ",LEN(D431))), (LEN(D431)-LEN(SUBSTITUTE(D431,"_",""))-1)*LEN(D431)+1, LEN(D431))))
            &amp; "." &amp;
            VALUE(TRIM(RIGHT(SUBSTITUTE(D431,"_",REPT(" ",LEN(D431))),LEN(D431)))),
            "")))</f>
        <v/>
      </c>
      <c r="D431" s="158"/>
      <c r="E431" s="159"/>
      <c r="F431" s="159"/>
      <c r="G431" s="159"/>
      <c r="H431" s="159"/>
      <c r="I431" s="158"/>
      <c r="J431" s="158"/>
      <c r="K431" s="159"/>
      <c r="L431" s="160"/>
      <c r="M431" s="159"/>
      <c r="N431" s="159"/>
      <c r="O431" s="161"/>
      <c r="P431" s="162" t="str">
        <f t="shared" si="177"/>
        <v/>
      </c>
      <c r="Q431" s="163" t="str">
        <f t="shared" si="178"/>
        <v/>
      </c>
      <c r="R431" s="164">
        <f t="shared" si="179"/>
        <v>0</v>
      </c>
      <c r="S431" s="165">
        <f t="shared" si="170"/>
        <v>0</v>
      </c>
      <c r="T431" s="165">
        <f t="shared" si="171"/>
        <v>0</v>
      </c>
      <c r="U431" s="166">
        <f t="shared" si="172"/>
        <v>0</v>
      </c>
      <c r="V431" s="153" t="str">
        <f t="shared" si="180"/>
        <v/>
      </c>
      <c r="W431" s="153" t="str">
        <f t="shared" si="181"/>
        <v/>
      </c>
      <c r="X431" s="244"/>
      <c r="Y431" s="154">
        <f t="shared" si="173"/>
        <v>0</v>
      </c>
      <c r="Z431" s="154" t="str">
        <f t="shared" si="169"/>
        <v>1000</v>
      </c>
      <c r="AA431" s="153" t="str">
        <f t="shared" si="182"/>
        <v/>
      </c>
      <c r="AD431" s="155" t="str">
        <f t="shared" si="174"/>
        <v/>
      </c>
      <c r="AI431" s="155">
        <f t="array" ref="AI431">MATCH(MIN(IF($AK$501:$AK$525&gt;=IF(G431&gt;1499,E431+7,E431+5), $AK$501:$AK$525)), $AK$501:$AK$525, 0)</f>
        <v>5</v>
      </c>
      <c r="AK431" s="233"/>
      <c r="AL431" s="233"/>
      <c r="AM431" s="155" t="str">
        <f t="shared" si="183"/>
        <v/>
      </c>
      <c r="AN431" s="155" t="str">
        <f t="shared" si="184"/>
        <v/>
      </c>
      <c r="AX431" s="155" t="str">
        <f t="shared" si="185"/>
        <v/>
      </c>
    </row>
    <row r="432" spans="1:50" s="155" customFormat="1" ht="30" hidden="1" customHeight="1">
      <c r="A432" s="141" t="str">
        <f t="shared" si="175"/>
        <v/>
      </c>
      <c r="B432" s="141" t="str">
        <f t="shared" si="176"/>
        <v/>
      </c>
      <c r="C432" s="157" t="str">
        <f>IF(D432="","",
    IF(ISERR(SEARCH("_",D432)),
        IFERROR(_xlfn.AGGREGATE(14,6,$C$12:C431,1),0)+1,
        IFERROR(
            VALUE(TRIM(MID(SUBSTITUTE(D432,"_",REPT(" ",LEN(D432))), (LEN(D432)-LEN(SUBSTITUTE(D432,"_",""))-1)*LEN(D432)+1, LEN(D432))))
            &amp; "." &amp;
            VALUE(TRIM(RIGHT(SUBSTITUTE(D432,"_",REPT(" ",LEN(D432))),LEN(D432)))),
            "")))</f>
        <v/>
      </c>
      <c r="D432" s="158"/>
      <c r="E432" s="159"/>
      <c r="F432" s="159"/>
      <c r="G432" s="159"/>
      <c r="H432" s="159"/>
      <c r="I432" s="158"/>
      <c r="J432" s="158"/>
      <c r="K432" s="159"/>
      <c r="L432" s="160"/>
      <c r="M432" s="159"/>
      <c r="N432" s="159"/>
      <c r="O432" s="161"/>
      <c r="P432" s="162" t="str">
        <f t="shared" si="177"/>
        <v/>
      </c>
      <c r="Q432" s="163" t="str">
        <f t="shared" si="178"/>
        <v/>
      </c>
      <c r="R432" s="164">
        <f t="shared" si="179"/>
        <v>0</v>
      </c>
      <c r="S432" s="165">
        <f t="shared" si="170"/>
        <v>0</v>
      </c>
      <c r="T432" s="165">
        <f t="shared" si="171"/>
        <v>0</v>
      </c>
      <c r="U432" s="166">
        <f t="shared" si="172"/>
        <v>0</v>
      </c>
      <c r="V432" s="153" t="str">
        <f t="shared" si="180"/>
        <v/>
      </c>
      <c r="W432" s="153" t="str">
        <f t="shared" si="181"/>
        <v/>
      </c>
      <c r="X432" s="244"/>
      <c r="Y432" s="154">
        <f t="shared" si="173"/>
        <v>0</v>
      </c>
      <c r="Z432" s="154" t="str">
        <f t="shared" si="169"/>
        <v>1000</v>
      </c>
      <c r="AA432" s="153" t="str">
        <f t="shared" si="182"/>
        <v/>
      </c>
      <c r="AD432" s="155" t="str">
        <f t="shared" si="174"/>
        <v/>
      </c>
      <c r="AI432" s="155">
        <f t="array" ref="AI432">MATCH(MIN(IF($AK$501:$AK$525&gt;=IF(G432&gt;1499,E432+7,E432+5), $AK$501:$AK$525)), $AK$501:$AK$525, 0)</f>
        <v>5</v>
      </c>
      <c r="AK432" s="233"/>
      <c r="AL432" s="233"/>
      <c r="AM432" s="155" t="str">
        <f t="shared" si="183"/>
        <v/>
      </c>
      <c r="AN432" s="155" t="str">
        <f t="shared" si="184"/>
        <v/>
      </c>
      <c r="AX432" s="155" t="str">
        <f t="shared" si="185"/>
        <v/>
      </c>
    </row>
    <row r="433" spans="1:50" s="155" customFormat="1" ht="30" hidden="1" customHeight="1">
      <c r="A433" s="141" t="str">
        <f t="shared" si="175"/>
        <v/>
      </c>
      <c r="B433" s="141" t="str">
        <f t="shared" si="176"/>
        <v/>
      </c>
      <c r="C433" s="157" t="str">
        <f>IF(D433="","",
    IF(ISERR(SEARCH("_",D433)),
        IFERROR(_xlfn.AGGREGATE(14,6,$C$12:C432,1),0)+1,
        IFERROR(
            VALUE(TRIM(MID(SUBSTITUTE(D433,"_",REPT(" ",LEN(D433))), (LEN(D433)-LEN(SUBSTITUTE(D433,"_",""))-1)*LEN(D433)+1, LEN(D433))))
            &amp; "." &amp;
            VALUE(TRIM(RIGHT(SUBSTITUTE(D433,"_",REPT(" ",LEN(D433))),LEN(D433)))),
            "")))</f>
        <v/>
      </c>
      <c r="D433" s="158"/>
      <c r="E433" s="159"/>
      <c r="F433" s="159"/>
      <c r="G433" s="159"/>
      <c r="H433" s="159"/>
      <c r="I433" s="158"/>
      <c r="J433" s="158"/>
      <c r="K433" s="159"/>
      <c r="L433" s="160"/>
      <c r="M433" s="159"/>
      <c r="N433" s="159"/>
      <c r="O433" s="161"/>
      <c r="P433" s="162" t="str">
        <f t="shared" si="177"/>
        <v/>
      </c>
      <c r="Q433" s="163" t="str">
        <f t="shared" si="178"/>
        <v/>
      </c>
      <c r="R433" s="164">
        <f t="shared" si="179"/>
        <v>0</v>
      </c>
      <c r="S433" s="165">
        <f t="shared" si="170"/>
        <v>0</v>
      </c>
      <c r="T433" s="165">
        <f t="shared" si="171"/>
        <v>0</v>
      </c>
      <c r="U433" s="166">
        <f t="shared" si="172"/>
        <v>0</v>
      </c>
      <c r="V433" s="153" t="str">
        <f t="shared" si="180"/>
        <v/>
      </c>
      <c r="W433" s="153" t="str">
        <f t="shared" si="181"/>
        <v/>
      </c>
      <c r="X433" s="244"/>
      <c r="Y433" s="154">
        <f t="shared" si="173"/>
        <v>0</v>
      </c>
      <c r="Z433" s="154" t="str">
        <f t="shared" si="169"/>
        <v>1000</v>
      </c>
      <c r="AA433" s="153" t="str">
        <f t="shared" si="182"/>
        <v/>
      </c>
      <c r="AD433" s="155" t="str">
        <f t="shared" si="174"/>
        <v/>
      </c>
      <c r="AI433" s="155">
        <f t="array" ref="AI433">MATCH(MIN(IF($AK$501:$AK$525&gt;=IF(G433&gt;1499,E433+7,E433+5), $AK$501:$AK$525)), $AK$501:$AK$525, 0)</f>
        <v>5</v>
      </c>
      <c r="AK433" s="233"/>
      <c r="AL433" s="233"/>
      <c r="AM433" s="155" t="str">
        <f t="shared" si="183"/>
        <v/>
      </c>
      <c r="AN433" s="155" t="str">
        <f t="shared" si="184"/>
        <v/>
      </c>
      <c r="AX433" s="155" t="str">
        <f t="shared" si="185"/>
        <v/>
      </c>
    </row>
    <row r="434" spans="1:50" s="155" customFormat="1" ht="30" hidden="1" customHeight="1">
      <c r="A434" s="141" t="str">
        <f t="shared" si="175"/>
        <v/>
      </c>
      <c r="B434" s="141" t="str">
        <f t="shared" si="176"/>
        <v/>
      </c>
      <c r="C434" s="157" t="str">
        <f>IF(D434="","",
    IF(ISERR(SEARCH("_",D434)),
        IFERROR(_xlfn.AGGREGATE(14,6,$C$12:C433,1),0)+1,
        IFERROR(
            VALUE(TRIM(MID(SUBSTITUTE(D434,"_",REPT(" ",LEN(D434))), (LEN(D434)-LEN(SUBSTITUTE(D434,"_",""))-1)*LEN(D434)+1, LEN(D434))))
            &amp; "." &amp;
            VALUE(TRIM(RIGHT(SUBSTITUTE(D434,"_",REPT(" ",LEN(D434))),LEN(D434)))),
            "")))</f>
        <v/>
      </c>
      <c r="D434" s="158"/>
      <c r="E434" s="159"/>
      <c r="F434" s="159"/>
      <c r="G434" s="159"/>
      <c r="H434" s="159"/>
      <c r="I434" s="158"/>
      <c r="J434" s="158"/>
      <c r="K434" s="159"/>
      <c r="L434" s="160"/>
      <c r="M434" s="159"/>
      <c r="N434" s="159"/>
      <c r="O434" s="161"/>
      <c r="P434" s="162" t="str">
        <f t="shared" si="177"/>
        <v/>
      </c>
      <c r="Q434" s="163" t="str">
        <f t="shared" si="178"/>
        <v/>
      </c>
      <c r="R434" s="164">
        <f t="shared" si="179"/>
        <v>0</v>
      </c>
      <c r="S434" s="165">
        <f t="shared" si="170"/>
        <v>0</v>
      </c>
      <c r="T434" s="165">
        <f t="shared" si="171"/>
        <v>0</v>
      </c>
      <c r="U434" s="166">
        <f t="shared" si="172"/>
        <v>0</v>
      </c>
      <c r="V434" s="153" t="str">
        <f t="shared" si="180"/>
        <v/>
      </c>
      <c r="W434" s="153" t="str">
        <f t="shared" si="181"/>
        <v/>
      </c>
      <c r="X434" s="244"/>
      <c r="Y434" s="154">
        <f t="shared" si="173"/>
        <v>0</v>
      </c>
      <c r="Z434" s="154" t="str">
        <f t="shared" si="169"/>
        <v>1000</v>
      </c>
      <c r="AA434" s="153" t="str">
        <f t="shared" si="182"/>
        <v/>
      </c>
      <c r="AD434" s="155" t="str">
        <f t="shared" si="174"/>
        <v/>
      </c>
      <c r="AI434" s="155">
        <f t="array" ref="AI434">MATCH(MIN(IF($AK$501:$AK$525&gt;=IF(G434&gt;1499,E434+7,E434+5), $AK$501:$AK$525)), $AK$501:$AK$525, 0)</f>
        <v>5</v>
      </c>
      <c r="AK434" s="233"/>
      <c r="AL434" s="233"/>
      <c r="AM434" s="155" t="str">
        <f t="shared" si="183"/>
        <v/>
      </c>
      <c r="AN434" s="155" t="str">
        <f t="shared" si="184"/>
        <v/>
      </c>
      <c r="AX434" s="155" t="str">
        <f t="shared" si="185"/>
        <v/>
      </c>
    </row>
    <row r="435" spans="1:50" s="155" customFormat="1" ht="30" hidden="1" customHeight="1">
      <c r="A435" s="141" t="str">
        <f t="shared" si="175"/>
        <v/>
      </c>
      <c r="B435" s="141" t="str">
        <f t="shared" si="176"/>
        <v/>
      </c>
      <c r="C435" s="157" t="str">
        <f>IF(D435="","",
    IF(ISERR(SEARCH("_",D435)),
        IFERROR(_xlfn.AGGREGATE(14,6,$C$12:C434,1),0)+1,
        IFERROR(
            VALUE(TRIM(MID(SUBSTITUTE(D435,"_",REPT(" ",LEN(D435))), (LEN(D435)-LEN(SUBSTITUTE(D435,"_",""))-1)*LEN(D435)+1, LEN(D435))))
            &amp; "." &amp;
            VALUE(TRIM(RIGHT(SUBSTITUTE(D435,"_",REPT(" ",LEN(D435))),LEN(D435)))),
            "")))</f>
        <v/>
      </c>
      <c r="D435" s="158"/>
      <c r="E435" s="159"/>
      <c r="F435" s="159"/>
      <c r="G435" s="159"/>
      <c r="H435" s="159"/>
      <c r="I435" s="158"/>
      <c r="J435" s="158"/>
      <c r="K435" s="159"/>
      <c r="L435" s="160"/>
      <c r="M435" s="159"/>
      <c r="N435" s="159"/>
      <c r="O435" s="161"/>
      <c r="P435" s="162" t="str">
        <f t="shared" si="177"/>
        <v/>
      </c>
      <c r="Q435" s="163" t="str">
        <f t="shared" si="178"/>
        <v/>
      </c>
      <c r="R435" s="164">
        <f t="shared" si="179"/>
        <v>0</v>
      </c>
      <c r="S435" s="165">
        <f t="shared" si="170"/>
        <v>0</v>
      </c>
      <c r="T435" s="165">
        <f t="shared" si="171"/>
        <v>0</v>
      </c>
      <c r="U435" s="166">
        <f t="shared" si="172"/>
        <v>0</v>
      </c>
      <c r="V435" s="153" t="str">
        <f t="shared" si="180"/>
        <v/>
      </c>
      <c r="W435" s="153" t="str">
        <f t="shared" si="181"/>
        <v/>
      </c>
      <c r="X435" s="244"/>
      <c r="Y435" s="154">
        <f t="shared" si="173"/>
        <v>0</v>
      </c>
      <c r="Z435" s="154" t="str">
        <f t="shared" si="169"/>
        <v>1000</v>
      </c>
      <c r="AA435" s="153" t="str">
        <f t="shared" si="182"/>
        <v/>
      </c>
      <c r="AD435" s="155" t="str">
        <f t="shared" si="174"/>
        <v/>
      </c>
      <c r="AI435" s="155">
        <f t="array" ref="AI435">MATCH(MIN(IF($AK$501:$AK$525&gt;=IF(G435&gt;1499,E435+7,E435+5), $AK$501:$AK$525)), $AK$501:$AK$525, 0)</f>
        <v>5</v>
      </c>
      <c r="AK435" s="233"/>
      <c r="AL435" s="233"/>
      <c r="AM435" s="155" t="str">
        <f t="shared" si="183"/>
        <v/>
      </c>
      <c r="AN435" s="155" t="str">
        <f t="shared" si="184"/>
        <v/>
      </c>
      <c r="AX435" s="155" t="str">
        <f t="shared" si="185"/>
        <v/>
      </c>
    </row>
    <row r="436" spans="1:50" s="155" customFormat="1" ht="30" hidden="1" customHeight="1">
      <c r="A436" s="141" t="str">
        <f t="shared" si="175"/>
        <v/>
      </c>
      <c r="B436" s="141" t="str">
        <f t="shared" si="176"/>
        <v/>
      </c>
      <c r="C436" s="157" t="str">
        <f>IF(D436="","",
    IF(ISERR(SEARCH("_",D436)),
        IFERROR(_xlfn.AGGREGATE(14,6,$C$12:C435,1),0)+1,
        IFERROR(
            VALUE(TRIM(MID(SUBSTITUTE(D436,"_",REPT(" ",LEN(D436))), (LEN(D436)-LEN(SUBSTITUTE(D436,"_",""))-1)*LEN(D436)+1, LEN(D436))))
            &amp; "." &amp;
            VALUE(TRIM(RIGHT(SUBSTITUTE(D436,"_",REPT(" ",LEN(D436))),LEN(D436)))),
            "")))</f>
        <v/>
      </c>
      <c r="D436" s="158"/>
      <c r="E436" s="159"/>
      <c r="F436" s="159"/>
      <c r="G436" s="159"/>
      <c r="H436" s="159"/>
      <c r="I436" s="158"/>
      <c r="J436" s="158"/>
      <c r="K436" s="159"/>
      <c r="L436" s="160"/>
      <c r="M436" s="159"/>
      <c r="N436" s="159"/>
      <c r="O436" s="161"/>
      <c r="P436" s="162" t="str">
        <f t="shared" si="177"/>
        <v/>
      </c>
      <c r="Q436" s="163" t="str">
        <f t="shared" si="178"/>
        <v/>
      </c>
      <c r="R436" s="164">
        <f t="shared" si="179"/>
        <v>0</v>
      </c>
      <c r="S436" s="165">
        <f t="shared" si="170"/>
        <v>0</v>
      </c>
      <c r="T436" s="165">
        <f t="shared" si="171"/>
        <v>0</v>
      </c>
      <c r="U436" s="166">
        <f t="shared" si="172"/>
        <v>0</v>
      </c>
      <c r="V436" s="153" t="str">
        <f t="shared" si="180"/>
        <v/>
      </c>
      <c r="W436" s="153" t="str">
        <f t="shared" si="181"/>
        <v/>
      </c>
      <c r="X436" s="244"/>
      <c r="Y436" s="154">
        <f t="shared" si="173"/>
        <v>0</v>
      </c>
      <c r="Z436" s="154" t="str">
        <f t="shared" si="169"/>
        <v>1000</v>
      </c>
      <c r="AA436" s="153" t="str">
        <f t="shared" si="182"/>
        <v/>
      </c>
      <c r="AD436" s="155" t="str">
        <f t="shared" si="174"/>
        <v/>
      </c>
      <c r="AI436" s="155">
        <f t="array" ref="AI436">MATCH(MIN(IF($AK$501:$AK$525&gt;=IF(G436&gt;1499,E436+7,E436+5), $AK$501:$AK$525)), $AK$501:$AK$525, 0)</f>
        <v>5</v>
      </c>
      <c r="AK436" s="233"/>
      <c r="AL436" s="233"/>
      <c r="AM436" s="155" t="str">
        <f t="shared" si="183"/>
        <v/>
      </c>
      <c r="AN436" s="155" t="str">
        <f t="shared" si="184"/>
        <v/>
      </c>
      <c r="AX436" s="155" t="str">
        <f t="shared" si="185"/>
        <v/>
      </c>
    </row>
    <row r="437" spans="1:50" s="155" customFormat="1" ht="30" hidden="1" customHeight="1">
      <c r="A437" s="141" t="str">
        <f t="shared" si="175"/>
        <v/>
      </c>
      <c r="B437" s="141" t="str">
        <f t="shared" si="176"/>
        <v/>
      </c>
      <c r="C437" s="157" t="str">
        <f>IF(D437="","",
    IF(ISERR(SEARCH("_",D437)),
        IFERROR(_xlfn.AGGREGATE(14,6,$C$12:C436,1),0)+1,
        IFERROR(
            VALUE(TRIM(MID(SUBSTITUTE(D437,"_",REPT(" ",LEN(D437))), (LEN(D437)-LEN(SUBSTITUTE(D437,"_",""))-1)*LEN(D437)+1, LEN(D437))))
            &amp; "." &amp;
            VALUE(TRIM(RIGHT(SUBSTITUTE(D437,"_",REPT(" ",LEN(D437))),LEN(D437)))),
            "")))</f>
        <v/>
      </c>
      <c r="D437" s="158"/>
      <c r="E437" s="159"/>
      <c r="F437" s="159"/>
      <c r="G437" s="159"/>
      <c r="H437" s="159"/>
      <c r="I437" s="158"/>
      <c r="J437" s="158"/>
      <c r="K437" s="159"/>
      <c r="L437" s="160"/>
      <c r="M437" s="159"/>
      <c r="N437" s="159"/>
      <c r="O437" s="161"/>
      <c r="P437" s="162" t="str">
        <f t="shared" si="177"/>
        <v/>
      </c>
      <c r="Q437" s="163" t="str">
        <f t="shared" si="178"/>
        <v/>
      </c>
      <c r="R437" s="164">
        <f t="shared" si="179"/>
        <v>0</v>
      </c>
      <c r="S437" s="165">
        <f t="shared" si="170"/>
        <v>0</v>
      </c>
      <c r="T437" s="165">
        <f t="shared" si="171"/>
        <v>0</v>
      </c>
      <c r="U437" s="166">
        <f t="shared" si="172"/>
        <v>0</v>
      </c>
      <c r="V437" s="153" t="str">
        <f t="shared" si="180"/>
        <v/>
      </c>
      <c r="W437" s="153" t="str">
        <f t="shared" si="181"/>
        <v/>
      </c>
      <c r="X437" s="244"/>
      <c r="Y437" s="154">
        <f t="shared" si="173"/>
        <v>0</v>
      </c>
      <c r="Z437" s="154" t="str">
        <f t="shared" si="169"/>
        <v>1000</v>
      </c>
      <c r="AA437" s="153" t="str">
        <f t="shared" si="182"/>
        <v/>
      </c>
      <c r="AD437" s="155" t="str">
        <f t="shared" si="174"/>
        <v/>
      </c>
      <c r="AI437" s="155">
        <f t="array" ref="AI437">MATCH(MIN(IF($AK$501:$AK$525&gt;=IF(G437&gt;1499,E437+7,E437+5), $AK$501:$AK$525)), $AK$501:$AK$525, 0)</f>
        <v>5</v>
      </c>
      <c r="AK437" s="233"/>
      <c r="AL437" s="233"/>
      <c r="AM437" s="155" t="str">
        <f t="shared" si="183"/>
        <v/>
      </c>
      <c r="AN437" s="155" t="str">
        <f t="shared" si="184"/>
        <v/>
      </c>
      <c r="AX437" s="155" t="str">
        <f t="shared" si="185"/>
        <v/>
      </c>
    </row>
    <row r="438" spans="1:50" s="155" customFormat="1" ht="30" hidden="1" customHeight="1">
      <c r="A438" s="141" t="str">
        <f t="shared" si="175"/>
        <v/>
      </c>
      <c r="B438" s="141" t="str">
        <f t="shared" si="176"/>
        <v/>
      </c>
      <c r="C438" s="157" t="str">
        <f>IF(D438="","",
    IF(ISERR(SEARCH("_",D438)),
        IFERROR(_xlfn.AGGREGATE(14,6,$C$12:C437,1),0)+1,
        IFERROR(
            VALUE(TRIM(MID(SUBSTITUTE(D438,"_",REPT(" ",LEN(D438))), (LEN(D438)-LEN(SUBSTITUTE(D438,"_",""))-1)*LEN(D438)+1, LEN(D438))))
            &amp; "." &amp;
            VALUE(TRIM(RIGHT(SUBSTITUTE(D438,"_",REPT(" ",LEN(D438))),LEN(D438)))),
            "")))</f>
        <v/>
      </c>
      <c r="D438" s="158"/>
      <c r="E438" s="159"/>
      <c r="F438" s="159"/>
      <c r="G438" s="159"/>
      <c r="H438" s="159"/>
      <c r="I438" s="158"/>
      <c r="J438" s="158"/>
      <c r="K438" s="159"/>
      <c r="L438" s="160"/>
      <c r="M438" s="159"/>
      <c r="N438" s="159"/>
      <c r="O438" s="161"/>
      <c r="P438" s="162" t="str">
        <f t="shared" si="177"/>
        <v/>
      </c>
      <c r="Q438" s="163" t="str">
        <f t="shared" si="178"/>
        <v/>
      </c>
      <c r="R438" s="164">
        <f t="shared" si="179"/>
        <v>0</v>
      </c>
      <c r="S438" s="165">
        <f t="shared" si="170"/>
        <v>0</v>
      </c>
      <c r="T438" s="165">
        <f t="shared" si="171"/>
        <v>0</v>
      </c>
      <c r="U438" s="166">
        <f t="shared" si="172"/>
        <v>0</v>
      </c>
      <c r="V438" s="153" t="str">
        <f t="shared" si="180"/>
        <v/>
      </c>
      <c r="W438" s="153" t="str">
        <f t="shared" si="181"/>
        <v/>
      </c>
      <c r="X438" s="244"/>
      <c r="Y438" s="154">
        <f t="shared" si="173"/>
        <v>0</v>
      </c>
      <c r="Z438" s="154" t="str">
        <f t="shared" si="169"/>
        <v>1000</v>
      </c>
      <c r="AA438" s="153" t="str">
        <f t="shared" si="182"/>
        <v/>
      </c>
      <c r="AD438" s="155" t="str">
        <f t="shared" si="174"/>
        <v/>
      </c>
      <c r="AI438" s="155">
        <f t="array" ref="AI438">MATCH(MIN(IF($AK$501:$AK$525&gt;=IF(G438&gt;1499,E438+7,E438+5), $AK$501:$AK$525)), $AK$501:$AK$525, 0)</f>
        <v>5</v>
      </c>
      <c r="AK438" s="233"/>
      <c r="AL438" s="233"/>
      <c r="AM438" s="155" t="str">
        <f t="shared" si="183"/>
        <v/>
      </c>
      <c r="AN438" s="155" t="str">
        <f t="shared" si="184"/>
        <v/>
      </c>
      <c r="AX438" s="155" t="str">
        <f t="shared" si="185"/>
        <v/>
      </c>
    </row>
    <row r="439" spans="1:50" s="155" customFormat="1" ht="30" hidden="1" customHeight="1">
      <c r="A439" s="141" t="str">
        <f t="shared" si="175"/>
        <v/>
      </c>
      <c r="B439" s="141" t="str">
        <f t="shared" si="176"/>
        <v/>
      </c>
      <c r="C439" s="157" t="str">
        <f>IF(D439="","",
    IF(ISERR(SEARCH("_",D439)),
        IFERROR(_xlfn.AGGREGATE(14,6,$C$12:C438,1),0)+1,
        IFERROR(
            VALUE(TRIM(MID(SUBSTITUTE(D439,"_",REPT(" ",LEN(D439))), (LEN(D439)-LEN(SUBSTITUTE(D439,"_",""))-1)*LEN(D439)+1, LEN(D439))))
            &amp; "." &amp;
            VALUE(TRIM(RIGHT(SUBSTITUTE(D439,"_",REPT(" ",LEN(D439))),LEN(D439)))),
            "")))</f>
        <v/>
      </c>
      <c r="D439" s="158"/>
      <c r="E439" s="159"/>
      <c r="F439" s="159"/>
      <c r="G439" s="159"/>
      <c r="H439" s="159"/>
      <c r="I439" s="158"/>
      <c r="J439" s="158"/>
      <c r="K439" s="159"/>
      <c r="L439" s="160"/>
      <c r="M439" s="159"/>
      <c r="N439" s="159"/>
      <c r="O439" s="161"/>
      <c r="P439" s="162" t="str">
        <f t="shared" si="177"/>
        <v/>
      </c>
      <c r="Q439" s="163" t="str">
        <f t="shared" si="178"/>
        <v/>
      </c>
      <c r="R439" s="164">
        <f t="shared" si="179"/>
        <v>0</v>
      </c>
      <c r="S439" s="165">
        <f t="shared" si="170"/>
        <v>0</v>
      </c>
      <c r="T439" s="165">
        <f t="shared" si="171"/>
        <v>0</v>
      </c>
      <c r="U439" s="166">
        <f t="shared" si="172"/>
        <v>0</v>
      </c>
      <c r="V439" s="153" t="str">
        <f t="shared" si="180"/>
        <v/>
      </c>
      <c r="W439" s="153" t="str">
        <f t="shared" si="181"/>
        <v/>
      </c>
      <c r="X439" s="244"/>
      <c r="Y439" s="154">
        <f t="shared" si="173"/>
        <v>0</v>
      </c>
      <c r="Z439" s="154" t="str">
        <f t="shared" si="169"/>
        <v>1000</v>
      </c>
      <c r="AA439" s="153" t="str">
        <f t="shared" si="182"/>
        <v/>
      </c>
      <c r="AD439" s="155" t="str">
        <f t="shared" si="174"/>
        <v/>
      </c>
      <c r="AI439" s="155">
        <f t="array" ref="AI439">MATCH(MIN(IF($AK$501:$AK$525&gt;=IF(G439&gt;1499,E439+7,E439+5), $AK$501:$AK$525)), $AK$501:$AK$525, 0)</f>
        <v>5</v>
      </c>
      <c r="AK439" s="233"/>
      <c r="AL439" s="233"/>
      <c r="AM439" s="155" t="str">
        <f t="shared" si="183"/>
        <v/>
      </c>
      <c r="AN439" s="155" t="str">
        <f t="shared" si="184"/>
        <v/>
      </c>
      <c r="AX439" s="155" t="str">
        <f t="shared" si="185"/>
        <v/>
      </c>
    </row>
    <row r="440" spans="1:50" s="155" customFormat="1" ht="30" hidden="1" customHeight="1">
      <c r="A440" s="141" t="str">
        <f t="shared" si="175"/>
        <v/>
      </c>
      <c r="B440" s="141" t="str">
        <f t="shared" si="176"/>
        <v/>
      </c>
      <c r="C440" s="157" t="str">
        <f>IF(D440="","",
    IF(ISERR(SEARCH("_",D440)),
        IFERROR(_xlfn.AGGREGATE(14,6,$C$12:C439,1),0)+1,
        IFERROR(
            VALUE(TRIM(MID(SUBSTITUTE(D440,"_",REPT(" ",LEN(D440))), (LEN(D440)-LEN(SUBSTITUTE(D440,"_",""))-1)*LEN(D440)+1, LEN(D440))))
            &amp; "." &amp;
            VALUE(TRIM(RIGHT(SUBSTITUTE(D440,"_",REPT(" ",LEN(D440))),LEN(D440)))),
            "")))</f>
        <v/>
      </c>
      <c r="D440" s="158"/>
      <c r="E440" s="159"/>
      <c r="F440" s="159"/>
      <c r="G440" s="159"/>
      <c r="H440" s="159"/>
      <c r="I440" s="158"/>
      <c r="J440" s="158"/>
      <c r="K440" s="159"/>
      <c r="L440" s="160"/>
      <c r="M440" s="159"/>
      <c r="N440" s="159"/>
      <c r="O440" s="161"/>
      <c r="P440" s="162" t="str">
        <f t="shared" si="177"/>
        <v/>
      </c>
      <c r="Q440" s="163" t="str">
        <f t="shared" si="178"/>
        <v/>
      </c>
      <c r="R440" s="164">
        <f t="shared" si="179"/>
        <v>0</v>
      </c>
      <c r="S440" s="165">
        <f t="shared" si="170"/>
        <v>0</v>
      </c>
      <c r="T440" s="165">
        <f t="shared" si="171"/>
        <v>0</v>
      </c>
      <c r="U440" s="166">
        <f t="shared" si="172"/>
        <v>0</v>
      </c>
      <c r="V440" s="153" t="str">
        <f t="shared" si="180"/>
        <v/>
      </c>
      <c r="W440" s="153" t="str">
        <f t="shared" si="181"/>
        <v/>
      </c>
      <c r="X440" s="244"/>
      <c r="Y440" s="154">
        <f t="shared" si="173"/>
        <v>0</v>
      </c>
      <c r="Z440" s="154" t="str">
        <f t="shared" si="169"/>
        <v>1000</v>
      </c>
      <c r="AA440" s="153" t="str">
        <f t="shared" si="182"/>
        <v/>
      </c>
      <c r="AD440" s="155" t="str">
        <f t="shared" si="174"/>
        <v/>
      </c>
      <c r="AI440" s="155">
        <f t="array" ref="AI440">MATCH(MIN(IF($AK$501:$AK$525&gt;=IF(G440&gt;1499,E440+7,E440+5), $AK$501:$AK$525)), $AK$501:$AK$525, 0)</f>
        <v>5</v>
      </c>
      <c r="AK440" s="233"/>
      <c r="AL440" s="233"/>
      <c r="AM440" s="155" t="str">
        <f t="shared" si="183"/>
        <v/>
      </c>
      <c r="AN440" s="155" t="str">
        <f t="shared" si="184"/>
        <v/>
      </c>
      <c r="AX440" s="155" t="str">
        <f t="shared" si="185"/>
        <v/>
      </c>
    </row>
    <row r="441" spans="1:50" s="155" customFormat="1" ht="30" hidden="1" customHeight="1">
      <c r="A441" s="141" t="str">
        <f t="shared" si="175"/>
        <v/>
      </c>
      <c r="B441" s="141" t="str">
        <f t="shared" si="176"/>
        <v/>
      </c>
      <c r="C441" s="157" t="str">
        <f>IF(D441="","",
    IF(ISERR(SEARCH("_",D441)),
        IFERROR(_xlfn.AGGREGATE(14,6,$C$12:C440,1),0)+1,
        IFERROR(
            VALUE(TRIM(MID(SUBSTITUTE(D441,"_",REPT(" ",LEN(D441))), (LEN(D441)-LEN(SUBSTITUTE(D441,"_",""))-1)*LEN(D441)+1, LEN(D441))))
            &amp; "." &amp;
            VALUE(TRIM(RIGHT(SUBSTITUTE(D441,"_",REPT(" ",LEN(D441))),LEN(D441)))),
            "")))</f>
        <v/>
      </c>
      <c r="D441" s="158"/>
      <c r="E441" s="159"/>
      <c r="F441" s="159"/>
      <c r="G441" s="159"/>
      <c r="H441" s="159"/>
      <c r="I441" s="158"/>
      <c r="J441" s="158"/>
      <c r="K441" s="159"/>
      <c r="L441" s="160"/>
      <c r="M441" s="159"/>
      <c r="N441" s="159"/>
      <c r="O441" s="161"/>
      <c r="P441" s="162" t="str">
        <f t="shared" si="177"/>
        <v/>
      </c>
      <c r="Q441" s="163" t="str">
        <f t="shared" si="178"/>
        <v/>
      </c>
      <c r="R441" s="164">
        <f t="shared" si="179"/>
        <v>0</v>
      </c>
      <c r="S441" s="165">
        <f t="shared" si="170"/>
        <v>0</v>
      </c>
      <c r="T441" s="165">
        <f t="shared" si="171"/>
        <v>0</v>
      </c>
      <c r="U441" s="166">
        <f t="shared" si="172"/>
        <v>0</v>
      </c>
      <c r="V441" s="153" t="str">
        <f t="shared" si="180"/>
        <v/>
      </c>
      <c r="W441" s="153" t="str">
        <f t="shared" si="181"/>
        <v/>
      </c>
      <c r="X441" s="244"/>
      <c r="Y441" s="154">
        <f t="shared" si="173"/>
        <v>0</v>
      </c>
      <c r="Z441" s="154" t="str">
        <f t="shared" si="169"/>
        <v>1000</v>
      </c>
      <c r="AA441" s="153" t="str">
        <f t="shared" si="182"/>
        <v/>
      </c>
      <c r="AD441" s="155" t="str">
        <f t="shared" si="174"/>
        <v/>
      </c>
      <c r="AI441" s="155">
        <f t="array" ref="AI441">MATCH(MIN(IF($AK$501:$AK$525&gt;=IF(G441&gt;1499,E441+7,E441+5), $AK$501:$AK$525)), $AK$501:$AK$525, 0)</f>
        <v>5</v>
      </c>
      <c r="AK441" s="233"/>
      <c r="AL441" s="233"/>
      <c r="AM441" s="155" t="str">
        <f t="shared" si="183"/>
        <v/>
      </c>
      <c r="AN441" s="155" t="str">
        <f t="shared" si="184"/>
        <v/>
      </c>
      <c r="AX441" s="155" t="str">
        <f t="shared" si="185"/>
        <v/>
      </c>
    </row>
    <row r="442" spans="1:50" s="155" customFormat="1" ht="30" hidden="1" customHeight="1">
      <c r="A442" s="141" t="str">
        <f t="shared" si="175"/>
        <v/>
      </c>
      <c r="B442" s="141" t="str">
        <f t="shared" si="176"/>
        <v/>
      </c>
      <c r="C442" s="157" t="str">
        <f>IF(D442="","",
    IF(ISERR(SEARCH("_",D442)),
        IFERROR(_xlfn.AGGREGATE(14,6,$C$12:C441,1),0)+1,
        IFERROR(
            VALUE(TRIM(MID(SUBSTITUTE(D442,"_",REPT(" ",LEN(D442))), (LEN(D442)-LEN(SUBSTITUTE(D442,"_",""))-1)*LEN(D442)+1, LEN(D442))))
            &amp; "." &amp;
            VALUE(TRIM(RIGHT(SUBSTITUTE(D442,"_",REPT(" ",LEN(D442))),LEN(D442)))),
            "")))</f>
        <v/>
      </c>
      <c r="D442" s="158"/>
      <c r="E442" s="159"/>
      <c r="F442" s="159"/>
      <c r="G442" s="159"/>
      <c r="H442" s="159"/>
      <c r="I442" s="158"/>
      <c r="J442" s="158"/>
      <c r="K442" s="159"/>
      <c r="L442" s="160"/>
      <c r="M442" s="159"/>
      <c r="N442" s="159"/>
      <c r="O442" s="161"/>
      <c r="P442" s="162" t="str">
        <f t="shared" si="177"/>
        <v/>
      </c>
      <c r="Q442" s="163" t="str">
        <f t="shared" si="178"/>
        <v/>
      </c>
      <c r="R442" s="164">
        <f t="shared" si="179"/>
        <v>0</v>
      </c>
      <c r="S442" s="165">
        <f t="shared" si="170"/>
        <v>0</v>
      </c>
      <c r="T442" s="165">
        <f t="shared" si="171"/>
        <v>0</v>
      </c>
      <c r="U442" s="166">
        <f t="shared" si="172"/>
        <v>0</v>
      </c>
      <c r="V442" s="153" t="str">
        <f t="shared" si="180"/>
        <v/>
      </c>
      <c r="W442" s="153" t="str">
        <f t="shared" si="181"/>
        <v/>
      </c>
      <c r="X442" s="244"/>
      <c r="Y442" s="154">
        <f t="shared" si="173"/>
        <v>0</v>
      </c>
      <c r="Z442" s="154" t="str">
        <f t="shared" si="169"/>
        <v>1000</v>
      </c>
      <c r="AA442" s="153" t="str">
        <f t="shared" si="182"/>
        <v/>
      </c>
      <c r="AD442" s="155" t="str">
        <f t="shared" si="174"/>
        <v/>
      </c>
      <c r="AI442" s="155">
        <f t="array" ref="AI442">MATCH(MIN(IF($AK$501:$AK$525&gt;=IF(G442&gt;1499,E442+7,E442+5), $AK$501:$AK$525)), $AK$501:$AK$525, 0)</f>
        <v>5</v>
      </c>
      <c r="AK442" s="233"/>
      <c r="AL442" s="233"/>
      <c r="AM442" s="155" t="str">
        <f t="shared" si="183"/>
        <v/>
      </c>
      <c r="AN442" s="155" t="str">
        <f t="shared" si="184"/>
        <v/>
      </c>
      <c r="AX442" s="155" t="str">
        <f t="shared" si="185"/>
        <v/>
      </c>
    </row>
    <row r="443" spans="1:50" s="155" customFormat="1" ht="30" hidden="1" customHeight="1">
      <c r="A443" s="141" t="str">
        <f t="shared" si="175"/>
        <v/>
      </c>
      <c r="B443" s="141" t="str">
        <f t="shared" si="176"/>
        <v/>
      </c>
      <c r="C443" s="157" t="str">
        <f>IF(D443="","",
    IF(ISERR(SEARCH("_",D443)),
        IFERROR(_xlfn.AGGREGATE(14,6,$C$12:C442,1),0)+1,
        IFERROR(
            VALUE(TRIM(MID(SUBSTITUTE(D443,"_",REPT(" ",LEN(D443))), (LEN(D443)-LEN(SUBSTITUTE(D443,"_",""))-1)*LEN(D443)+1, LEN(D443))))
            &amp; "." &amp;
            VALUE(TRIM(RIGHT(SUBSTITUTE(D443,"_",REPT(" ",LEN(D443))),LEN(D443)))),
            "")))</f>
        <v/>
      </c>
      <c r="D443" s="158"/>
      <c r="E443" s="159"/>
      <c r="F443" s="159"/>
      <c r="G443" s="159"/>
      <c r="H443" s="159"/>
      <c r="I443" s="158"/>
      <c r="J443" s="158"/>
      <c r="K443" s="159"/>
      <c r="L443" s="160"/>
      <c r="M443" s="159"/>
      <c r="N443" s="159"/>
      <c r="O443" s="161"/>
      <c r="P443" s="162" t="str">
        <f t="shared" si="177"/>
        <v/>
      </c>
      <c r="Q443" s="163" t="str">
        <f t="shared" si="178"/>
        <v/>
      </c>
      <c r="R443" s="164">
        <f t="shared" si="179"/>
        <v>0</v>
      </c>
      <c r="S443" s="165">
        <f t="shared" si="170"/>
        <v>0</v>
      </c>
      <c r="T443" s="165">
        <f t="shared" si="171"/>
        <v>0</v>
      </c>
      <c r="U443" s="166">
        <f t="shared" si="172"/>
        <v>0</v>
      </c>
      <c r="V443" s="153" t="str">
        <f t="shared" si="180"/>
        <v/>
      </c>
      <c r="W443" s="153" t="str">
        <f t="shared" si="181"/>
        <v/>
      </c>
      <c r="X443" s="244"/>
      <c r="Y443" s="154">
        <f t="shared" si="173"/>
        <v>0</v>
      </c>
      <c r="Z443" s="154" t="str">
        <f t="shared" si="169"/>
        <v>1000</v>
      </c>
      <c r="AA443" s="153" t="str">
        <f t="shared" si="182"/>
        <v/>
      </c>
      <c r="AD443" s="155" t="str">
        <f t="shared" si="174"/>
        <v/>
      </c>
      <c r="AI443" s="155">
        <f t="array" ref="AI443">MATCH(MIN(IF($AK$501:$AK$525&gt;=IF(G443&gt;1499,E443+7,E443+5), $AK$501:$AK$525)), $AK$501:$AK$525, 0)</f>
        <v>5</v>
      </c>
      <c r="AK443" s="233"/>
      <c r="AL443" s="233"/>
      <c r="AM443" s="155" t="str">
        <f t="shared" si="183"/>
        <v/>
      </c>
      <c r="AN443" s="155" t="str">
        <f t="shared" si="184"/>
        <v/>
      </c>
      <c r="AX443" s="155" t="str">
        <f t="shared" si="185"/>
        <v/>
      </c>
    </row>
    <row r="444" spans="1:50" s="155" customFormat="1" ht="30" hidden="1" customHeight="1">
      <c r="A444" s="141" t="str">
        <f t="shared" si="175"/>
        <v/>
      </c>
      <c r="B444" s="141" t="str">
        <f t="shared" si="176"/>
        <v/>
      </c>
      <c r="C444" s="157" t="str">
        <f>IF(D444="","",
    IF(ISERR(SEARCH("_",D444)),
        IFERROR(_xlfn.AGGREGATE(14,6,$C$12:C443,1),0)+1,
        IFERROR(
            VALUE(TRIM(MID(SUBSTITUTE(D444,"_",REPT(" ",LEN(D444))), (LEN(D444)-LEN(SUBSTITUTE(D444,"_",""))-1)*LEN(D444)+1, LEN(D444))))
            &amp; "." &amp;
            VALUE(TRIM(RIGHT(SUBSTITUTE(D444,"_",REPT(" ",LEN(D444))),LEN(D444)))),
            "")))</f>
        <v/>
      </c>
      <c r="D444" s="158"/>
      <c r="E444" s="159"/>
      <c r="F444" s="159"/>
      <c r="G444" s="159"/>
      <c r="H444" s="159"/>
      <c r="I444" s="158"/>
      <c r="J444" s="158"/>
      <c r="K444" s="159"/>
      <c r="L444" s="160"/>
      <c r="M444" s="159"/>
      <c r="N444" s="159"/>
      <c r="O444" s="161"/>
      <c r="P444" s="162" t="str">
        <f t="shared" si="177"/>
        <v/>
      </c>
      <c r="Q444" s="163" t="str">
        <f t="shared" si="178"/>
        <v/>
      </c>
      <c r="R444" s="164">
        <f t="shared" si="179"/>
        <v>0</v>
      </c>
      <c r="S444" s="165">
        <f t="shared" si="170"/>
        <v>0</v>
      </c>
      <c r="T444" s="165">
        <f t="shared" si="171"/>
        <v>0</v>
      </c>
      <c r="U444" s="166">
        <f t="shared" si="172"/>
        <v>0</v>
      </c>
      <c r="V444" s="153" t="str">
        <f t="shared" si="180"/>
        <v/>
      </c>
      <c r="W444" s="153" t="str">
        <f t="shared" si="181"/>
        <v/>
      </c>
      <c r="X444" s="244"/>
      <c r="Y444" s="154">
        <f t="shared" si="173"/>
        <v>0</v>
      </c>
      <c r="Z444" s="154" t="str">
        <f t="shared" si="169"/>
        <v>1000</v>
      </c>
      <c r="AA444" s="153" t="str">
        <f t="shared" si="182"/>
        <v/>
      </c>
      <c r="AD444" s="155" t="str">
        <f t="shared" si="174"/>
        <v/>
      </c>
      <c r="AI444" s="155">
        <f t="array" ref="AI444">MATCH(MIN(IF($AK$501:$AK$525&gt;=IF(G444&gt;1499,E444+7,E444+5), $AK$501:$AK$525)), $AK$501:$AK$525, 0)</f>
        <v>5</v>
      </c>
      <c r="AK444" s="233"/>
      <c r="AL444" s="233"/>
      <c r="AM444" s="155" t="str">
        <f t="shared" si="183"/>
        <v/>
      </c>
      <c r="AN444" s="155" t="str">
        <f t="shared" si="184"/>
        <v/>
      </c>
      <c r="AX444" s="155" t="str">
        <f t="shared" si="185"/>
        <v/>
      </c>
    </row>
    <row r="445" spans="1:50" s="155" customFormat="1" ht="30" hidden="1" customHeight="1">
      <c r="A445" s="141" t="str">
        <f t="shared" si="175"/>
        <v/>
      </c>
      <c r="B445" s="141" t="str">
        <f t="shared" si="176"/>
        <v/>
      </c>
      <c r="C445" s="157" t="str">
        <f>IF(D445="","",
    IF(ISERR(SEARCH("_",D445)),
        IFERROR(_xlfn.AGGREGATE(14,6,$C$12:C444,1),0)+1,
        IFERROR(
            VALUE(TRIM(MID(SUBSTITUTE(D445,"_",REPT(" ",LEN(D445))), (LEN(D445)-LEN(SUBSTITUTE(D445,"_",""))-1)*LEN(D445)+1, LEN(D445))))
            &amp; "." &amp;
            VALUE(TRIM(RIGHT(SUBSTITUTE(D445,"_",REPT(" ",LEN(D445))),LEN(D445)))),
            "")))</f>
        <v/>
      </c>
      <c r="D445" s="158"/>
      <c r="E445" s="159"/>
      <c r="F445" s="159"/>
      <c r="G445" s="159"/>
      <c r="H445" s="159"/>
      <c r="I445" s="158"/>
      <c r="J445" s="158"/>
      <c r="K445" s="159"/>
      <c r="L445" s="160"/>
      <c r="M445" s="159"/>
      <c r="N445" s="159"/>
      <c r="O445" s="161"/>
      <c r="P445" s="162" t="str">
        <f t="shared" si="177"/>
        <v/>
      </c>
      <c r="Q445" s="163" t="str">
        <f t="shared" si="178"/>
        <v/>
      </c>
      <c r="R445" s="164">
        <f t="shared" si="179"/>
        <v>0</v>
      </c>
      <c r="S445" s="165">
        <f t="shared" si="170"/>
        <v>0</v>
      </c>
      <c r="T445" s="165">
        <f t="shared" si="171"/>
        <v>0</v>
      </c>
      <c r="U445" s="166">
        <f t="shared" si="172"/>
        <v>0</v>
      </c>
      <c r="V445" s="153" t="str">
        <f t="shared" si="180"/>
        <v/>
      </c>
      <c r="W445" s="153" t="str">
        <f t="shared" si="181"/>
        <v/>
      </c>
      <c r="X445" s="244"/>
      <c r="Y445" s="154">
        <f t="shared" si="173"/>
        <v>0</v>
      </c>
      <c r="Z445" s="154" t="str">
        <f t="shared" si="169"/>
        <v>1000</v>
      </c>
      <c r="AA445" s="153" t="str">
        <f t="shared" si="182"/>
        <v/>
      </c>
      <c r="AD445" s="155" t="str">
        <f t="shared" si="174"/>
        <v/>
      </c>
      <c r="AI445" s="155">
        <f t="array" ref="AI445">MATCH(MIN(IF($AK$501:$AK$525&gt;=IF(G445&gt;1499,E445+7,E445+5), $AK$501:$AK$525)), $AK$501:$AK$525, 0)</f>
        <v>5</v>
      </c>
      <c r="AK445" s="233"/>
      <c r="AL445" s="233"/>
      <c r="AM445" s="155" t="str">
        <f t="shared" si="183"/>
        <v/>
      </c>
      <c r="AN445" s="155" t="str">
        <f t="shared" si="184"/>
        <v/>
      </c>
      <c r="AX445" s="155" t="str">
        <f t="shared" si="185"/>
        <v/>
      </c>
    </row>
    <row r="446" spans="1:50" s="155" customFormat="1" ht="30" hidden="1" customHeight="1">
      <c r="A446" s="141" t="str">
        <f t="shared" si="175"/>
        <v/>
      </c>
      <c r="B446" s="141" t="str">
        <f t="shared" si="176"/>
        <v/>
      </c>
      <c r="C446" s="157" t="str">
        <f>IF(D446="","",
    IF(ISERR(SEARCH("_",D446)),
        IFERROR(_xlfn.AGGREGATE(14,6,$C$12:C445,1),0)+1,
        IFERROR(
            VALUE(TRIM(MID(SUBSTITUTE(D446,"_",REPT(" ",LEN(D446))), (LEN(D446)-LEN(SUBSTITUTE(D446,"_",""))-1)*LEN(D446)+1, LEN(D446))))
            &amp; "." &amp;
            VALUE(TRIM(RIGHT(SUBSTITUTE(D446,"_",REPT(" ",LEN(D446))),LEN(D446)))),
            "")))</f>
        <v/>
      </c>
      <c r="D446" s="158"/>
      <c r="E446" s="159"/>
      <c r="F446" s="159"/>
      <c r="G446" s="159"/>
      <c r="H446" s="159"/>
      <c r="I446" s="158"/>
      <c r="J446" s="158"/>
      <c r="K446" s="159"/>
      <c r="L446" s="160"/>
      <c r="M446" s="159"/>
      <c r="N446" s="159"/>
      <c r="O446" s="161"/>
      <c r="P446" s="162" t="str">
        <f t="shared" si="177"/>
        <v/>
      </c>
      <c r="Q446" s="163" t="str">
        <f t="shared" si="178"/>
        <v/>
      </c>
      <c r="R446" s="164">
        <f t="shared" si="179"/>
        <v>0</v>
      </c>
      <c r="S446" s="165">
        <f t="shared" si="170"/>
        <v>0</v>
      </c>
      <c r="T446" s="165">
        <f t="shared" si="171"/>
        <v>0</v>
      </c>
      <c r="U446" s="166">
        <f t="shared" si="172"/>
        <v>0</v>
      </c>
      <c r="V446" s="153" t="str">
        <f t="shared" si="180"/>
        <v/>
      </c>
      <c r="W446" s="153" t="str">
        <f t="shared" si="181"/>
        <v/>
      </c>
      <c r="X446" s="244"/>
      <c r="Y446" s="154">
        <f t="shared" si="173"/>
        <v>0</v>
      </c>
      <c r="Z446" s="154" t="str">
        <f t="shared" si="169"/>
        <v>1000</v>
      </c>
      <c r="AA446" s="153" t="str">
        <f t="shared" si="182"/>
        <v/>
      </c>
      <c r="AD446" s="155" t="str">
        <f t="shared" si="174"/>
        <v/>
      </c>
      <c r="AI446" s="155">
        <f t="array" ref="AI446">MATCH(MIN(IF($AK$501:$AK$525&gt;=IF(G446&gt;1499,E446+7,E446+5), $AK$501:$AK$525)), $AK$501:$AK$525, 0)</f>
        <v>5</v>
      </c>
      <c r="AK446" s="233"/>
      <c r="AL446" s="233"/>
      <c r="AM446" s="155" t="str">
        <f t="shared" si="183"/>
        <v/>
      </c>
      <c r="AN446" s="155" t="str">
        <f t="shared" si="184"/>
        <v/>
      </c>
      <c r="AX446" s="155" t="str">
        <f t="shared" si="185"/>
        <v/>
      </c>
    </row>
    <row r="447" spans="1:50" s="155" customFormat="1" ht="30" hidden="1" customHeight="1">
      <c r="A447" s="141" t="str">
        <f t="shared" si="175"/>
        <v/>
      </c>
      <c r="B447" s="141" t="str">
        <f t="shared" si="176"/>
        <v/>
      </c>
      <c r="C447" s="157" t="str">
        <f>IF(D447="","",
    IF(ISERR(SEARCH("_",D447)),
        IFERROR(_xlfn.AGGREGATE(14,6,$C$12:C446,1),0)+1,
        IFERROR(
            VALUE(TRIM(MID(SUBSTITUTE(D447,"_",REPT(" ",LEN(D447))), (LEN(D447)-LEN(SUBSTITUTE(D447,"_",""))-1)*LEN(D447)+1, LEN(D447))))
            &amp; "." &amp;
            VALUE(TRIM(RIGHT(SUBSTITUTE(D447,"_",REPT(" ",LEN(D447))),LEN(D447)))),
            "")))</f>
        <v/>
      </c>
      <c r="D447" s="158"/>
      <c r="E447" s="159"/>
      <c r="F447" s="159"/>
      <c r="G447" s="159"/>
      <c r="H447" s="159"/>
      <c r="I447" s="158"/>
      <c r="J447" s="158"/>
      <c r="K447" s="159"/>
      <c r="L447" s="160"/>
      <c r="M447" s="159"/>
      <c r="N447" s="159"/>
      <c r="O447" s="161"/>
      <c r="P447" s="162" t="str">
        <f t="shared" si="177"/>
        <v/>
      </c>
      <c r="Q447" s="163" t="str">
        <f t="shared" si="178"/>
        <v/>
      </c>
      <c r="R447" s="164">
        <f t="shared" si="179"/>
        <v>0</v>
      </c>
      <c r="S447" s="165">
        <f t="shared" si="170"/>
        <v>0</v>
      </c>
      <c r="T447" s="165">
        <f t="shared" si="171"/>
        <v>0</v>
      </c>
      <c r="U447" s="166">
        <f t="shared" si="172"/>
        <v>0</v>
      </c>
      <c r="V447" s="153" t="str">
        <f t="shared" si="180"/>
        <v/>
      </c>
      <c r="W447" s="153" t="str">
        <f t="shared" si="181"/>
        <v/>
      </c>
      <c r="X447" s="244"/>
      <c r="Y447" s="154">
        <f t="shared" si="173"/>
        <v>0</v>
      </c>
      <c r="Z447" s="154" t="str">
        <f t="shared" si="169"/>
        <v>1000</v>
      </c>
      <c r="AA447" s="153" t="str">
        <f t="shared" si="182"/>
        <v/>
      </c>
      <c r="AD447" s="155" t="str">
        <f t="shared" si="174"/>
        <v/>
      </c>
      <c r="AI447" s="155">
        <f t="array" ref="AI447">MATCH(MIN(IF($AK$501:$AK$525&gt;=IF(G447&gt;1499,E447+7,E447+5), $AK$501:$AK$525)), $AK$501:$AK$525, 0)</f>
        <v>5</v>
      </c>
      <c r="AK447" s="233"/>
      <c r="AL447" s="233"/>
      <c r="AM447" s="155" t="str">
        <f t="shared" si="183"/>
        <v/>
      </c>
      <c r="AN447" s="155" t="str">
        <f t="shared" si="184"/>
        <v/>
      </c>
      <c r="AX447" s="155" t="str">
        <f t="shared" si="185"/>
        <v/>
      </c>
    </row>
    <row r="448" spans="1:50" s="155" customFormat="1" ht="30" hidden="1" customHeight="1">
      <c r="A448" s="141" t="str">
        <f t="shared" si="175"/>
        <v/>
      </c>
      <c r="B448" s="141" t="str">
        <f t="shared" si="176"/>
        <v/>
      </c>
      <c r="C448" s="157" t="str">
        <f>IF(D448="","",
    IF(ISERR(SEARCH("_",D448)),
        IFERROR(_xlfn.AGGREGATE(14,6,$C$12:C447,1),0)+1,
        IFERROR(
            VALUE(TRIM(MID(SUBSTITUTE(D448,"_",REPT(" ",LEN(D448))), (LEN(D448)-LEN(SUBSTITUTE(D448,"_",""))-1)*LEN(D448)+1, LEN(D448))))
            &amp; "." &amp;
            VALUE(TRIM(RIGHT(SUBSTITUTE(D448,"_",REPT(" ",LEN(D448))),LEN(D448)))),
            "")))</f>
        <v/>
      </c>
      <c r="D448" s="158"/>
      <c r="E448" s="159"/>
      <c r="F448" s="159"/>
      <c r="G448" s="159"/>
      <c r="H448" s="159"/>
      <c r="I448" s="158"/>
      <c r="J448" s="158"/>
      <c r="K448" s="159"/>
      <c r="L448" s="160"/>
      <c r="M448" s="159"/>
      <c r="N448" s="159"/>
      <c r="O448" s="161"/>
      <c r="P448" s="162" t="str">
        <f t="shared" si="177"/>
        <v/>
      </c>
      <c r="Q448" s="163" t="str">
        <f t="shared" si="178"/>
        <v/>
      </c>
      <c r="R448" s="164">
        <f t="shared" si="179"/>
        <v>0</v>
      </c>
      <c r="S448" s="165">
        <f t="shared" si="170"/>
        <v>0</v>
      </c>
      <c r="T448" s="165">
        <f t="shared" si="171"/>
        <v>0</v>
      </c>
      <c r="U448" s="166">
        <f t="shared" si="172"/>
        <v>0</v>
      </c>
      <c r="V448" s="153" t="str">
        <f t="shared" si="180"/>
        <v/>
      </c>
      <c r="W448" s="153" t="str">
        <f t="shared" si="181"/>
        <v/>
      </c>
      <c r="X448" s="244"/>
      <c r="Y448" s="154">
        <f t="shared" si="173"/>
        <v>0</v>
      </c>
      <c r="Z448" s="154" t="str">
        <f t="shared" si="169"/>
        <v>1000</v>
      </c>
      <c r="AA448" s="153" t="str">
        <f t="shared" si="182"/>
        <v/>
      </c>
      <c r="AD448" s="155" t="str">
        <f t="shared" si="174"/>
        <v/>
      </c>
      <c r="AI448" s="155">
        <f t="array" ref="AI448">MATCH(MIN(IF($AK$501:$AK$525&gt;=IF(G448&gt;1499,E448+7,E448+5), $AK$501:$AK$525)), $AK$501:$AK$525, 0)</f>
        <v>5</v>
      </c>
      <c r="AK448" s="233"/>
      <c r="AL448" s="233"/>
      <c r="AM448" s="155" t="str">
        <f t="shared" si="183"/>
        <v/>
      </c>
      <c r="AN448" s="155" t="str">
        <f t="shared" si="184"/>
        <v/>
      </c>
      <c r="AX448" s="155" t="str">
        <f t="shared" si="185"/>
        <v/>
      </c>
    </row>
    <row r="449" spans="1:50" s="155" customFormat="1" ht="30" hidden="1" customHeight="1">
      <c r="A449" s="141" t="str">
        <f t="shared" si="175"/>
        <v/>
      </c>
      <c r="B449" s="141" t="str">
        <f t="shared" si="176"/>
        <v/>
      </c>
      <c r="C449" s="157" t="str">
        <f>IF(D449="","",
    IF(ISERR(SEARCH("_",D449)),
        IFERROR(_xlfn.AGGREGATE(14,6,$C$12:C448,1),0)+1,
        IFERROR(
            VALUE(TRIM(MID(SUBSTITUTE(D449,"_",REPT(" ",LEN(D449))), (LEN(D449)-LEN(SUBSTITUTE(D449,"_",""))-1)*LEN(D449)+1, LEN(D449))))
            &amp; "." &amp;
            VALUE(TRIM(RIGHT(SUBSTITUTE(D449,"_",REPT(" ",LEN(D449))),LEN(D449)))),
            "")))</f>
        <v/>
      </c>
      <c r="D449" s="158"/>
      <c r="E449" s="159"/>
      <c r="F449" s="159"/>
      <c r="G449" s="159"/>
      <c r="H449" s="159"/>
      <c r="I449" s="158"/>
      <c r="J449" s="158"/>
      <c r="K449" s="159"/>
      <c r="L449" s="160"/>
      <c r="M449" s="159"/>
      <c r="N449" s="159"/>
      <c r="O449" s="161"/>
      <c r="P449" s="162" t="str">
        <f t="shared" si="177"/>
        <v/>
      </c>
      <c r="Q449" s="163" t="str">
        <f t="shared" si="178"/>
        <v/>
      </c>
      <c r="R449" s="164">
        <f t="shared" si="179"/>
        <v>0</v>
      </c>
      <c r="S449" s="165">
        <f t="shared" si="170"/>
        <v>0</v>
      </c>
      <c r="T449" s="165">
        <f t="shared" si="171"/>
        <v>0</v>
      </c>
      <c r="U449" s="166">
        <f t="shared" si="172"/>
        <v>0</v>
      </c>
      <c r="V449" s="153" t="str">
        <f t="shared" si="180"/>
        <v/>
      </c>
      <c r="W449" s="153" t="str">
        <f t="shared" si="181"/>
        <v/>
      </c>
      <c r="X449" s="244"/>
      <c r="Y449" s="154">
        <f t="shared" si="173"/>
        <v>0</v>
      </c>
      <c r="Z449" s="154" t="str">
        <f t="shared" si="169"/>
        <v>1000</v>
      </c>
      <c r="AA449" s="153" t="str">
        <f t="shared" si="182"/>
        <v/>
      </c>
      <c r="AD449" s="155" t="str">
        <f t="shared" si="174"/>
        <v/>
      </c>
      <c r="AI449" s="155">
        <f t="array" ref="AI449">MATCH(MIN(IF($AK$501:$AK$525&gt;=IF(G449&gt;1499,E449+7,E449+5), $AK$501:$AK$525)), $AK$501:$AK$525, 0)</f>
        <v>5</v>
      </c>
      <c r="AK449" s="233"/>
      <c r="AL449" s="233"/>
      <c r="AM449" s="155" t="str">
        <f t="shared" si="183"/>
        <v/>
      </c>
      <c r="AN449" s="155" t="str">
        <f t="shared" si="184"/>
        <v/>
      </c>
      <c r="AX449" s="155" t="str">
        <f t="shared" si="185"/>
        <v/>
      </c>
    </row>
    <row r="450" spans="1:50" s="155" customFormat="1" ht="30" hidden="1" customHeight="1">
      <c r="A450" s="141" t="str">
        <f t="shared" si="175"/>
        <v/>
      </c>
      <c r="B450" s="141" t="str">
        <f t="shared" si="176"/>
        <v/>
      </c>
      <c r="C450" s="157" t="str">
        <f>IF(D450="","",
    IF(ISERR(SEARCH("_",D450)),
        IFERROR(_xlfn.AGGREGATE(14,6,$C$12:C449,1),0)+1,
        IFERROR(
            VALUE(TRIM(MID(SUBSTITUTE(D450,"_",REPT(" ",LEN(D450))), (LEN(D450)-LEN(SUBSTITUTE(D450,"_",""))-1)*LEN(D450)+1, LEN(D450))))
            &amp; "." &amp;
            VALUE(TRIM(RIGHT(SUBSTITUTE(D450,"_",REPT(" ",LEN(D450))),LEN(D450)))),
            "")))</f>
        <v/>
      </c>
      <c r="D450" s="158"/>
      <c r="E450" s="159"/>
      <c r="F450" s="159"/>
      <c r="G450" s="159"/>
      <c r="H450" s="159"/>
      <c r="I450" s="158"/>
      <c r="J450" s="158"/>
      <c r="K450" s="159"/>
      <c r="L450" s="160"/>
      <c r="M450" s="159"/>
      <c r="N450" s="159"/>
      <c r="O450" s="161"/>
      <c r="P450" s="162" t="str">
        <f t="shared" si="177"/>
        <v/>
      </c>
      <c r="Q450" s="163" t="str">
        <f t="shared" si="178"/>
        <v/>
      </c>
      <c r="R450" s="164">
        <f t="shared" si="179"/>
        <v>0</v>
      </c>
      <c r="S450" s="165">
        <f t="shared" si="170"/>
        <v>0</v>
      </c>
      <c r="T450" s="165">
        <f t="shared" si="171"/>
        <v>0</v>
      </c>
      <c r="U450" s="166">
        <f t="shared" si="172"/>
        <v>0</v>
      </c>
      <c r="V450" s="153" t="str">
        <f t="shared" si="180"/>
        <v/>
      </c>
      <c r="W450" s="153" t="str">
        <f t="shared" si="181"/>
        <v/>
      </c>
      <c r="X450" s="244"/>
      <c r="Y450" s="154">
        <f t="shared" si="173"/>
        <v>0</v>
      </c>
      <c r="Z450" s="154" t="str">
        <f t="shared" si="169"/>
        <v>1000</v>
      </c>
      <c r="AA450" s="153" t="str">
        <f t="shared" si="182"/>
        <v/>
      </c>
      <c r="AD450" s="155" t="str">
        <f t="shared" si="174"/>
        <v/>
      </c>
      <c r="AI450" s="155">
        <f t="array" ref="AI450">MATCH(MIN(IF($AK$501:$AK$525&gt;=IF(G450&gt;1499,E450+7,E450+5), $AK$501:$AK$525)), $AK$501:$AK$525, 0)</f>
        <v>5</v>
      </c>
      <c r="AK450" s="233"/>
      <c r="AL450" s="233"/>
      <c r="AM450" s="155" t="str">
        <f t="shared" si="183"/>
        <v/>
      </c>
      <c r="AN450" s="155" t="str">
        <f t="shared" si="184"/>
        <v/>
      </c>
      <c r="AX450" s="155" t="str">
        <f t="shared" si="185"/>
        <v/>
      </c>
    </row>
    <row r="451" spans="1:50" s="155" customFormat="1" ht="30" hidden="1" customHeight="1">
      <c r="A451" s="141" t="str">
        <f t="shared" si="175"/>
        <v/>
      </c>
      <c r="B451" s="141" t="str">
        <f t="shared" si="176"/>
        <v/>
      </c>
      <c r="C451" s="157" t="str">
        <f>IF(D451="","",
    IF(ISERR(SEARCH("_",D451)),
        IFERROR(_xlfn.AGGREGATE(14,6,$C$12:C450,1),0)+1,
        IFERROR(
            VALUE(TRIM(MID(SUBSTITUTE(D451,"_",REPT(" ",LEN(D451))), (LEN(D451)-LEN(SUBSTITUTE(D451,"_",""))-1)*LEN(D451)+1, LEN(D451))))
            &amp; "." &amp;
            VALUE(TRIM(RIGHT(SUBSTITUTE(D451,"_",REPT(" ",LEN(D451))),LEN(D451)))),
            "")))</f>
        <v/>
      </c>
      <c r="D451" s="158"/>
      <c r="E451" s="159"/>
      <c r="F451" s="159"/>
      <c r="G451" s="159"/>
      <c r="H451" s="159"/>
      <c r="I451" s="158"/>
      <c r="J451" s="158"/>
      <c r="K451" s="159"/>
      <c r="L451" s="160"/>
      <c r="M451" s="159"/>
      <c r="N451" s="159"/>
      <c r="O451" s="161"/>
      <c r="P451" s="162" t="str">
        <f t="shared" si="177"/>
        <v/>
      </c>
      <c r="Q451" s="163" t="str">
        <f t="shared" si="178"/>
        <v/>
      </c>
      <c r="R451" s="164">
        <f t="shared" si="179"/>
        <v>0</v>
      </c>
      <c r="S451" s="165">
        <f t="shared" si="170"/>
        <v>0</v>
      </c>
      <c r="T451" s="165">
        <f t="shared" si="171"/>
        <v>0</v>
      </c>
      <c r="U451" s="166">
        <f t="shared" si="172"/>
        <v>0</v>
      </c>
      <c r="V451" s="153" t="str">
        <f t="shared" si="180"/>
        <v/>
      </c>
      <c r="W451" s="153" t="str">
        <f t="shared" si="181"/>
        <v/>
      </c>
      <c r="X451" s="244"/>
      <c r="Y451" s="154">
        <f t="shared" si="173"/>
        <v>0</v>
      </c>
      <c r="Z451" s="154" t="str">
        <f t="shared" si="169"/>
        <v>1000</v>
      </c>
      <c r="AA451" s="153" t="str">
        <f t="shared" si="182"/>
        <v/>
      </c>
      <c r="AD451" s="155" t="str">
        <f t="shared" si="174"/>
        <v/>
      </c>
      <c r="AI451" s="155">
        <f t="array" ref="AI451">MATCH(MIN(IF($AK$501:$AK$525&gt;=IF(G451&gt;1499,E451+7,E451+5), $AK$501:$AK$525)), $AK$501:$AK$525, 0)</f>
        <v>5</v>
      </c>
      <c r="AK451" s="233"/>
      <c r="AL451" s="233"/>
      <c r="AM451" s="155" t="str">
        <f t="shared" si="183"/>
        <v/>
      </c>
      <c r="AN451" s="155" t="str">
        <f t="shared" si="184"/>
        <v/>
      </c>
      <c r="AX451" s="155" t="str">
        <f t="shared" si="185"/>
        <v/>
      </c>
    </row>
    <row r="452" spans="1:50" s="155" customFormat="1" ht="30" hidden="1" customHeight="1">
      <c r="A452" s="141" t="str">
        <f t="shared" si="175"/>
        <v/>
      </c>
      <c r="B452" s="141" t="str">
        <f t="shared" si="176"/>
        <v/>
      </c>
      <c r="C452" s="157" t="str">
        <f>IF(D452="","",
    IF(ISERR(SEARCH("_",D452)),
        IFERROR(_xlfn.AGGREGATE(14,6,$C$12:C451,1),0)+1,
        IFERROR(
            VALUE(TRIM(MID(SUBSTITUTE(D452,"_",REPT(" ",LEN(D452))), (LEN(D452)-LEN(SUBSTITUTE(D452,"_",""))-1)*LEN(D452)+1, LEN(D452))))
            &amp; "." &amp;
            VALUE(TRIM(RIGHT(SUBSTITUTE(D452,"_",REPT(" ",LEN(D452))),LEN(D452)))),
            "")))</f>
        <v/>
      </c>
      <c r="D452" s="158"/>
      <c r="E452" s="159"/>
      <c r="F452" s="159"/>
      <c r="G452" s="159"/>
      <c r="H452" s="159"/>
      <c r="I452" s="158"/>
      <c r="J452" s="158"/>
      <c r="K452" s="159"/>
      <c r="L452" s="160"/>
      <c r="M452" s="159"/>
      <c r="N452" s="159"/>
      <c r="O452" s="161"/>
      <c r="P452" s="162" t="str">
        <f t="shared" si="177"/>
        <v/>
      </c>
      <c r="Q452" s="163" t="str">
        <f t="shared" si="178"/>
        <v/>
      </c>
      <c r="R452" s="164">
        <f t="shared" si="179"/>
        <v>0</v>
      </c>
      <c r="S452" s="165">
        <f t="shared" si="170"/>
        <v>0</v>
      </c>
      <c r="T452" s="165">
        <f t="shared" si="171"/>
        <v>0</v>
      </c>
      <c r="U452" s="166">
        <f t="shared" si="172"/>
        <v>0</v>
      </c>
      <c r="V452" s="153" t="str">
        <f t="shared" si="180"/>
        <v/>
      </c>
      <c r="W452" s="153" t="str">
        <f t="shared" si="181"/>
        <v/>
      </c>
      <c r="X452" s="244"/>
      <c r="Y452" s="154">
        <f t="shared" si="173"/>
        <v>0</v>
      </c>
      <c r="Z452" s="154" t="str">
        <f t="shared" si="169"/>
        <v>1000</v>
      </c>
      <c r="AA452" s="153" t="str">
        <f t="shared" si="182"/>
        <v/>
      </c>
      <c r="AD452" s="155" t="str">
        <f t="shared" si="174"/>
        <v/>
      </c>
      <c r="AI452" s="155">
        <f t="array" ref="AI452">MATCH(MIN(IF($AK$501:$AK$525&gt;=IF(G452&gt;1499,E452+7,E452+5), $AK$501:$AK$525)), $AK$501:$AK$525, 0)</f>
        <v>5</v>
      </c>
      <c r="AK452" s="233"/>
      <c r="AL452" s="233"/>
      <c r="AM452" s="155" t="str">
        <f t="shared" si="183"/>
        <v/>
      </c>
      <c r="AN452" s="155" t="str">
        <f t="shared" si="184"/>
        <v/>
      </c>
      <c r="AX452" s="155" t="str">
        <f t="shared" si="185"/>
        <v/>
      </c>
    </row>
    <row r="453" spans="1:50" s="155" customFormat="1" ht="30" hidden="1" customHeight="1">
      <c r="A453" s="141" t="str">
        <f t="shared" si="175"/>
        <v/>
      </c>
      <c r="B453" s="141" t="str">
        <f t="shared" si="176"/>
        <v/>
      </c>
      <c r="C453" s="157" t="str">
        <f>IF(D453="","",
    IF(ISERR(SEARCH("_",D453)),
        IFERROR(_xlfn.AGGREGATE(14,6,$C$12:C452,1),0)+1,
        IFERROR(
            VALUE(TRIM(MID(SUBSTITUTE(D453,"_",REPT(" ",LEN(D453))), (LEN(D453)-LEN(SUBSTITUTE(D453,"_",""))-1)*LEN(D453)+1, LEN(D453))))
            &amp; "." &amp;
            VALUE(TRIM(RIGHT(SUBSTITUTE(D453,"_",REPT(" ",LEN(D453))),LEN(D453)))),
            "")))</f>
        <v/>
      </c>
      <c r="D453" s="158"/>
      <c r="E453" s="159"/>
      <c r="F453" s="159"/>
      <c r="G453" s="159"/>
      <c r="H453" s="159"/>
      <c r="I453" s="158"/>
      <c r="J453" s="158"/>
      <c r="K453" s="159"/>
      <c r="L453" s="160"/>
      <c r="M453" s="159"/>
      <c r="N453" s="159"/>
      <c r="O453" s="161"/>
      <c r="P453" s="162" t="str">
        <f t="shared" si="177"/>
        <v/>
      </c>
      <c r="Q453" s="163" t="str">
        <f t="shared" si="178"/>
        <v/>
      </c>
      <c r="R453" s="164">
        <f t="shared" si="179"/>
        <v>0</v>
      </c>
      <c r="S453" s="165">
        <f t="shared" si="170"/>
        <v>0</v>
      </c>
      <c r="T453" s="165">
        <f t="shared" si="171"/>
        <v>0</v>
      </c>
      <c r="U453" s="166">
        <f t="shared" si="172"/>
        <v>0</v>
      </c>
      <c r="V453" s="153" t="str">
        <f t="shared" si="180"/>
        <v/>
      </c>
      <c r="W453" s="153" t="str">
        <f t="shared" si="181"/>
        <v/>
      </c>
      <c r="X453" s="244"/>
      <c r="Y453" s="154">
        <f t="shared" si="173"/>
        <v>0</v>
      </c>
      <c r="Z453" s="154" t="str">
        <f t="shared" si="169"/>
        <v>1000</v>
      </c>
      <c r="AA453" s="153" t="str">
        <f t="shared" si="182"/>
        <v/>
      </c>
      <c r="AD453" s="155" t="str">
        <f t="shared" si="174"/>
        <v/>
      </c>
      <c r="AI453" s="155">
        <f t="array" ref="AI453">MATCH(MIN(IF($AK$501:$AK$525&gt;=IF(G453&gt;1499,E453+7,E453+5), $AK$501:$AK$525)), $AK$501:$AK$525, 0)</f>
        <v>5</v>
      </c>
      <c r="AK453" s="233"/>
      <c r="AL453" s="233"/>
      <c r="AM453" s="155" t="str">
        <f t="shared" si="183"/>
        <v/>
      </c>
      <c r="AN453" s="155" t="str">
        <f t="shared" si="184"/>
        <v/>
      </c>
      <c r="AX453" s="155" t="str">
        <f t="shared" si="185"/>
        <v/>
      </c>
    </row>
    <row r="454" spans="1:50" s="155" customFormat="1" ht="30" hidden="1" customHeight="1">
      <c r="A454" s="141" t="str">
        <f t="shared" si="175"/>
        <v/>
      </c>
      <c r="B454" s="141" t="str">
        <f t="shared" si="176"/>
        <v/>
      </c>
      <c r="C454" s="157" t="str">
        <f>IF(D454="","",
    IF(ISERR(SEARCH("_",D454)),
        IFERROR(_xlfn.AGGREGATE(14,6,$C$12:C453,1),0)+1,
        IFERROR(
            VALUE(TRIM(MID(SUBSTITUTE(D454,"_",REPT(" ",LEN(D454))), (LEN(D454)-LEN(SUBSTITUTE(D454,"_",""))-1)*LEN(D454)+1, LEN(D454))))
            &amp; "." &amp;
            VALUE(TRIM(RIGHT(SUBSTITUTE(D454,"_",REPT(" ",LEN(D454))),LEN(D454)))),
            "")))</f>
        <v/>
      </c>
      <c r="D454" s="158"/>
      <c r="E454" s="159"/>
      <c r="F454" s="159"/>
      <c r="G454" s="159"/>
      <c r="H454" s="159"/>
      <c r="I454" s="158"/>
      <c r="J454" s="158"/>
      <c r="K454" s="159"/>
      <c r="L454" s="160"/>
      <c r="M454" s="159"/>
      <c r="N454" s="159"/>
      <c r="O454" s="161"/>
      <c r="P454" s="162" t="str">
        <f t="shared" si="177"/>
        <v/>
      </c>
      <c r="Q454" s="163" t="str">
        <f t="shared" si="178"/>
        <v/>
      </c>
      <c r="R454" s="164">
        <f t="shared" si="179"/>
        <v>0</v>
      </c>
      <c r="S454" s="165">
        <f t="shared" si="170"/>
        <v>0</v>
      </c>
      <c r="T454" s="165">
        <f t="shared" si="171"/>
        <v>0</v>
      </c>
      <c r="U454" s="166">
        <f t="shared" si="172"/>
        <v>0</v>
      </c>
      <c r="V454" s="153" t="str">
        <f t="shared" si="180"/>
        <v/>
      </c>
      <c r="W454" s="153" t="str">
        <f t="shared" si="181"/>
        <v/>
      </c>
      <c r="X454" s="244"/>
      <c r="Y454" s="154">
        <f t="shared" si="173"/>
        <v>0</v>
      </c>
      <c r="Z454" s="154" t="str">
        <f t="shared" si="169"/>
        <v>1000</v>
      </c>
      <c r="AA454" s="153" t="str">
        <f t="shared" si="182"/>
        <v/>
      </c>
      <c r="AD454" s="155" t="str">
        <f t="shared" si="174"/>
        <v/>
      </c>
      <c r="AI454" s="155">
        <f t="array" ref="AI454">MATCH(MIN(IF($AK$501:$AK$525&gt;=IF(G454&gt;1499,E454+7,E454+5), $AK$501:$AK$525)), $AK$501:$AK$525, 0)</f>
        <v>5</v>
      </c>
      <c r="AK454" s="233"/>
      <c r="AL454" s="233"/>
      <c r="AM454" s="155" t="str">
        <f t="shared" si="183"/>
        <v/>
      </c>
      <c r="AN454" s="155" t="str">
        <f t="shared" si="184"/>
        <v/>
      </c>
      <c r="AX454" s="155" t="str">
        <f t="shared" si="185"/>
        <v/>
      </c>
    </row>
    <row r="455" spans="1:50" s="155" customFormat="1" ht="30" hidden="1" customHeight="1">
      <c r="A455" s="141" t="str">
        <f t="shared" si="175"/>
        <v/>
      </c>
      <c r="B455" s="141" t="str">
        <f t="shared" si="176"/>
        <v/>
      </c>
      <c r="C455" s="157" t="str">
        <f>IF(D455="","",
    IF(ISERR(SEARCH("_",D455)),
        IFERROR(_xlfn.AGGREGATE(14,6,$C$12:C454,1),0)+1,
        IFERROR(
            VALUE(TRIM(MID(SUBSTITUTE(D455,"_",REPT(" ",LEN(D455))), (LEN(D455)-LEN(SUBSTITUTE(D455,"_",""))-1)*LEN(D455)+1, LEN(D455))))
            &amp; "." &amp;
            VALUE(TRIM(RIGHT(SUBSTITUTE(D455,"_",REPT(" ",LEN(D455))),LEN(D455)))),
            "")))</f>
        <v/>
      </c>
      <c r="D455" s="158"/>
      <c r="E455" s="159"/>
      <c r="F455" s="159"/>
      <c r="G455" s="159"/>
      <c r="H455" s="159"/>
      <c r="I455" s="158"/>
      <c r="J455" s="158"/>
      <c r="K455" s="159"/>
      <c r="L455" s="160"/>
      <c r="M455" s="159"/>
      <c r="N455" s="159"/>
      <c r="O455" s="161"/>
      <c r="P455" s="162" t="str">
        <f t="shared" si="177"/>
        <v/>
      </c>
      <c r="Q455" s="163" t="str">
        <f t="shared" si="178"/>
        <v/>
      </c>
      <c r="R455" s="164">
        <f t="shared" si="179"/>
        <v>0</v>
      </c>
      <c r="S455" s="165">
        <f t="shared" si="170"/>
        <v>0</v>
      </c>
      <c r="T455" s="165">
        <f t="shared" si="171"/>
        <v>0</v>
      </c>
      <c r="U455" s="166">
        <f t="shared" si="172"/>
        <v>0</v>
      </c>
      <c r="V455" s="153" t="str">
        <f t="shared" si="180"/>
        <v/>
      </c>
      <c r="W455" s="153" t="str">
        <f t="shared" si="181"/>
        <v/>
      </c>
      <c r="X455" s="244"/>
      <c r="Y455" s="154">
        <f t="shared" si="173"/>
        <v>0</v>
      </c>
      <c r="Z455" s="154" t="str">
        <f t="shared" si="169"/>
        <v>1000</v>
      </c>
      <c r="AA455" s="153" t="str">
        <f t="shared" si="182"/>
        <v/>
      </c>
      <c r="AD455" s="155" t="str">
        <f t="shared" si="174"/>
        <v/>
      </c>
      <c r="AI455" s="155">
        <f t="array" ref="AI455">MATCH(MIN(IF($AK$501:$AK$525&gt;=IF(G455&gt;1499,E455+7,E455+5), $AK$501:$AK$525)), $AK$501:$AK$525, 0)</f>
        <v>5</v>
      </c>
      <c r="AK455" s="233"/>
      <c r="AL455" s="233"/>
      <c r="AM455" s="155" t="str">
        <f t="shared" si="183"/>
        <v/>
      </c>
      <c r="AN455" s="155" t="str">
        <f t="shared" si="184"/>
        <v/>
      </c>
      <c r="AX455" s="155" t="str">
        <f t="shared" si="185"/>
        <v/>
      </c>
    </row>
    <row r="456" spans="1:50" s="155" customFormat="1" ht="30" hidden="1" customHeight="1">
      <c r="A456" s="141" t="str">
        <f t="shared" si="175"/>
        <v/>
      </c>
      <c r="B456" s="141" t="str">
        <f t="shared" si="176"/>
        <v/>
      </c>
      <c r="C456" s="157" t="str">
        <f>IF(D456="","",
    IF(ISERR(SEARCH("_",D456)),
        IFERROR(_xlfn.AGGREGATE(14,6,$C$12:C455,1),0)+1,
        IFERROR(
            VALUE(TRIM(MID(SUBSTITUTE(D456,"_",REPT(" ",LEN(D456))), (LEN(D456)-LEN(SUBSTITUTE(D456,"_",""))-1)*LEN(D456)+1, LEN(D456))))
            &amp; "." &amp;
            VALUE(TRIM(RIGHT(SUBSTITUTE(D456,"_",REPT(" ",LEN(D456))),LEN(D456)))),
            "")))</f>
        <v/>
      </c>
      <c r="D456" s="158"/>
      <c r="E456" s="159"/>
      <c r="F456" s="159"/>
      <c r="G456" s="159"/>
      <c r="H456" s="159"/>
      <c r="I456" s="158"/>
      <c r="J456" s="158"/>
      <c r="K456" s="159"/>
      <c r="L456" s="160"/>
      <c r="M456" s="159"/>
      <c r="N456" s="159"/>
      <c r="O456" s="161"/>
      <c r="P456" s="162" t="str">
        <f t="shared" si="177"/>
        <v/>
      </c>
      <c r="Q456" s="163" t="str">
        <f t="shared" si="178"/>
        <v/>
      </c>
      <c r="R456" s="164">
        <f t="shared" si="179"/>
        <v>0</v>
      </c>
      <c r="S456" s="165">
        <f t="shared" si="170"/>
        <v>0</v>
      </c>
      <c r="T456" s="165">
        <f t="shared" si="171"/>
        <v>0</v>
      </c>
      <c r="U456" s="166">
        <f t="shared" si="172"/>
        <v>0</v>
      </c>
      <c r="V456" s="153" t="str">
        <f t="shared" si="180"/>
        <v/>
      </c>
      <c r="W456" s="153" t="str">
        <f t="shared" si="181"/>
        <v/>
      </c>
      <c r="X456" s="244"/>
      <c r="Y456" s="154">
        <f t="shared" si="173"/>
        <v>0</v>
      </c>
      <c r="Z456" s="154" t="str">
        <f t="shared" si="169"/>
        <v>1000</v>
      </c>
      <c r="AA456" s="153" t="str">
        <f t="shared" si="182"/>
        <v/>
      </c>
      <c r="AD456" s="155" t="str">
        <f t="shared" si="174"/>
        <v/>
      </c>
      <c r="AI456" s="155">
        <f t="array" ref="AI456">MATCH(MIN(IF($AK$501:$AK$525&gt;=IF(G456&gt;1499,E456+7,E456+5), $AK$501:$AK$525)), $AK$501:$AK$525, 0)</f>
        <v>5</v>
      </c>
      <c r="AK456" s="233"/>
      <c r="AL456" s="233"/>
      <c r="AM456" s="155" t="str">
        <f t="shared" si="183"/>
        <v/>
      </c>
      <c r="AN456" s="155" t="str">
        <f t="shared" si="184"/>
        <v/>
      </c>
      <c r="AX456" s="155" t="str">
        <f t="shared" si="185"/>
        <v/>
      </c>
    </row>
    <row r="457" spans="1:50" s="155" customFormat="1" ht="30" hidden="1" customHeight="1">
      <c r="A457" s="141" t="str">
        <f t="shared" si="175"/>
        <v/>
      </c>
      <c r="B457" s="141" t="str">
        <f t="shared" si="176"/>
        <v/>
      </c>
      <c r="C457" s="157" t="str">
        <f>IF(D457="","",
    IF(ISERR(SEARCH("_",D457)),
        IFERROR(_xlfn.AGGREGATE(14,6,$C$12:C456,1),0)+1,
        IFERROR(
            VALUE(TRIM(MID(SUBSTITUTE(D457,"_",REPT(" ",LEN(D457))), (LEN(D457)-LEN(SUBSTITUTE(D457,"_",""))-1)*LEN(D457)+1, LEN(D457))))
            &amp; "." &amp;
            VALUE(TRIM(RIGHT(SUBSTITUTE(D457,"_",REPT(" ",LEN(D457))),LEN(D457)))),
            "")))</f>
        <v/>
      </c>
      <c r="D457" s="158"/>
      <c r="E457" s="159"/>
      <c r="F457" s="159"/>
      <c r="G457" s="159"/>
      <c r="H457" s="159"/>
      <c r="I457" s="158"/>
      <c r="J457" s="158"/>
      <c r="K457" s="159"/>
      <c r="L457" s="160"/>
      <c r="M457" s="159"/>
      <c r="N457" s="159"/>
      <c r="O457" s="161"/>
      <c r="P457" s="162" t="str">
        <f t="shared" si="177"/>
        <v/>
      </c>
      <c r="Q457" s="163" t="str">
        <f t="shared" si="178"/>
        <v/>
      </c>
      <c r="R457" s="164">
        <f t="shared" si="179"/>
        <v>0</v>
      </c>
      <c r="S457" s="165">
        <f t="shared" si="170"/>
        <v>0</v>
      </c>
      <c r="T457" s="165">
        <f t="shared" si="171"/>
        <v>0</v>
      </c>
      <c r="U457" s="166">
        <f t="shared" si="172"/>
        <v>0</v>
      </c>
      <c r="V457" s="153" t="str">
        <f t="shared" si="180"/>
        <v/>
      </c>
      <c r="W457" s="153" t="str">
        <f t="shared" si="181"/>
        <v/>
      </c>
      <c r="X457" s="244"/>
      <c r="Y457" s="154">
        <f t="shared" si="173"/>
        <v>0</v>
      </c>
      <c r="Z457" s="154" t="str">
        <f t="shared" si="169"/>
        <v>1000</v>
      </c>
      <c r="AA457" s="153" t="str">
        <f t="shared" si="182"/>
        <v/>
      </c>
      <c r="AD457" s="155" t="str">
        <f t="shared" si="174"/>
        <v/>
      </c>
      <c r="AI457" s="155">
        <f t="array" ref="AI457">MATCH(MIN(IF($AK$501:$AK$525&gt;=IF(G457&gt;1499,E457+7,E457+5), $AK$501:$AK$525)), $AK$501:$AK$525, 0)</f>
        <v>5</v>
      </c>
      <c r="AK457" s="233"/>
      <c r="AL457" s="233"/>
      <c r="AM457" s="155" t="str">
        <f t="shared" si="183"/>
        <v/>
      </c>
      <c r="AN457" s="155" t="str">
        <f t="shared" si="184"/>
        <v/>
      </c>
      <c r="AX457" s="155" t="str">
        <f t="shared" si="185"/>
        <v/>
      </c>
    </row>
    <row r="458" spans="1:50" s="155" customFormat="1" ht="30" hidden="1" customHeight="1">
      <c r="A458" s="141" t="str">
        <f t="shared" si="175"/>
        <v/>
      </c>
      <c r="B458" s="141" t="str">
        <f t="shared" si="176"/>
        <v/>
      </c>
      <c r="C458" s="157" t="str">
        <f>IF(D458="","",
    IF(ISERR(SEARCH("_",D458)),
        IFERROR(_xlfn.AGGREGATE(14,6,$C$12:C457,1),0)+1,
        IFERROR(
            VALUE(TRIM(MID(SUBSTITUTE(D458,"_",REPT(" ",LEN(D458))), (LEN(D458)-LEN(SUBSTITUTE(D458,"_",""))-1)*LEN(D458)+1, LEN(D458))))
            &amp; "." &amp;
            VALUE(TRIM(RIGHT(SUBSTITUTE(D458,"_",REPT(" ",LEN(D458))),LEN(D458)))),
            "")))</f>
        <v/>
      </c>
      <c r="D458" s="158"/>
      <c r="E458" s="159"/>
      <c r="F458" s="159"/>
      <c r="G458" s="159"/>
      <c r="H458" s="159"/>
      <c r="I458" s="158"/>
      <c r="J458" s="158"/>
      <c r="K458" s="159"/>
      <c r="L458" s="160"/>
      <c r="M458" s="159"/>
      <c r="N458" s="159"/>
      <c r="O458" s="161"/>
      <c r="P458" s="162" t="str">
        <f t="shared" si="177"/>
        <v/>
      </c>
      <c r="Q458" s="163" t="str">
        <f t="shared" si="178"/>
        <v/>
      </c>
      <c r="R458" s="164">
        <f t="shared" si="179"/>
        <v>0</v>
      </c>
      <c r="S458" s="165">
        <f t="shared" si="170"/>
        <v>0</v>
      </c>
      <c r="T458" s="165">
        <f t="shared" si="171"/>
        <v>0</v>
      </c>
      <c r="U458" s="166">
        <f t="shared" si="172"/>
        <v>0</v>
      </c>
      <c r="V458" s="153" t="str">
        <f t="shared" si="180"/>
        <v/>
      </c>
      <c r="W458" s="153" t="str">
        <f t="shared" si="181"/>
        <v/>
      </c>
      <c r="X458" s="244"/>
      <c r="Y458" s="154">
        <f t="shared" si="173"/>
        <v>0</v>
      </c>
      <c r="Z458" s="154" t="str">
        <f t="shared" si="169"/>
        <v>1000</v>
      </c>
      <c r="AA458" s="153" t="str">
        <f t="shared" si="182"/>
        <v/>
      </c>
      <c r="AD458" s="155" t="str">
        <f t="shared" si="174"/>
        <v/>
      </c>
      <c r="AI458" s="155">
        <f t="array" ref="AI458">MATCH(MIN(IF($AK$501:$AK$525&gt;=IF(G458&gt;1499,E458+7,E458+5), $AK$501:$AK$525)), $AK$501:$AK$525, 0)</f>
        <v>5</v>
      </c>
      <c r="AK458" s="233"/>
      <c r="AL458" s="233"/>
      <c r="AM458" s="155" t="str">
        <f t="shared" si="183"/>
        <v/>
      </c>
      <c r="AN458" s="155" t="str">
        <f t="shared" si="184"/>
        <v/>
      </c>
      <c r="AX458" s="155" t="str">
        <f t="shared" si="185"/>
        <v/>
      </c>
    </row>
    <row r="459" spans="1:50" s="155" customFormat="1" ht="30" hidden="1" customHeight="1">
      <c r="A459" s="141" t="str">
        <f t="shared" si="175"/>
        <v/>
      </c>
      <c r="B459" s="141" t="str">
        <f t="shared" si="176"/>
        <v/>
      </c>
      <c r="C459" s="157" t="str">
        <f>IF(D459="","",
    IF(ISERR(SEARCH("_",D459)),
        IFERROR(_xlfn.AGGREGATE(14,6,$C$12:C458,1),0)+1,
        IFERROR(
            VALUE(TRIM(MID(SUBSTITUTE(D459,"_",REPT(" ",LEN(D459))), (LEN(D459)-LEN(SUBSTITUTE(D459,"_",""))-1)*LEN(D459)+1, LEN(D459))))
            &amp; "." &amp;
            VALUE(TRIM(RIGHT(SUBSTITUTE(D459,"_",REPT(" ",LEN(D459))),LEN(D459)))),
            "")))</f>
        <v/>
      </c>
      <c r="D459" s="158"/>
      <c r="E459" s="159"/>
      <c r="F459" s="159"/>
      <c r="G459" s="159"/>
      <c r="H459" s="159"/>
      <c r="I459" s="158"/>
      <c r="J459" s="158"/>
      <c r="K459" s="159"/>
      <c r="L459" s="160"/>
      <c r="M459" s="159"/>
      <c r="N459" s="159"/>
      <c r="O459" s="161"/>
      <c r="P459" s="162" t="str">
        <f t="shared" si="177"/>
        <v/>
      </c>
      <c r="Q459" s="163" t="str">
        <f t="shared" si="178"/>
        <v/>
      </c>
      <c r="R459" s="164">
        <f t="shared" si="179"/>
        <v>0</v>
      </c>
      <c r="S459" s="165">
        <f t="shared" si="170"/>
        <v>0</v>
      </c>
      <c r="T459" s="165">
        <f t="shared" si="171"/>
        <v>0</v>
      </c>
      <c r="U459" s="166">
        <f t="shared" si="172"/>
        <v>0</v>
      </c>
      <c r="V459" s="153" t="str">
        <f t="shared" si="180"/>
        <v/>
      </c>
      <c r="W459" s="153" t="str">
        <f t="shared" si="181"/>
        <v/>
      </c>
      <c r="X459" s="244"/>
      <c r="Y459" s="154">
        <f t="shared" si="173"/>
        <v>0</v>
      </c>
      <c r="Z459" s="154" t="str">
        <f t="shared" si="169"/>
        <v>1000</v>
      </c>
      <c r="AA459" s="153" t="str">
        <f t="shared" si="182"/>
        <v/>
      </c>
      <c r="AD459" s="155" t="str">
        <f t="shared" si="174"/>
        <v/>
      </c>
      <c r="AI459" s="155">
        <f t="array" ref="AI459">MATCH(MIN(IF($AK$501:$AK$525&gt;=IF(G459&gt;1499,E459+7,E459+5), $AK$501:$AK$525)), $AK$501:$AK$525, 0)</f>
        <v>5</v>
      </c>
      <c r="AK459" s="233"/>
      <c r="AL459" s="233"/>
      <c r="AM459" s="155" t="str">
        <f t="shared" si="183"/>
        <v/>
      </c>
      <c r="AN459" s="155" t="str">
        <f t="shared" si="184"/>
        <v/>
      </c>
      <c r="AX459" s="155" t="str">
        <f t="shared" si="185"/>
        <v/>
      </c>
    </row>
    <row r="460" spans="1:50" s="155" customFormat="1" ht="30" hidden="1" customHeight="1">
      <c r="A460" s="141" t="str">
        <f t="shared" si="175"/>
        <v/>
      </c>
      <c r="B460" s="141" t="str">
        <f t="shared" si="176"/>
        <v/>
      </c>
      <c r="C460" s="157" t="str">
        <f>IF(D460="","",
    IF(ISERR(SEARCH("_",D460)),
        IFERROR(_xlfn.AGGREGATE(14,6,$C$12:C459,1),0)+1,
        IFERROR(
            VALUE(TRIM(MID(SUBSTITUTE(D460,"_",REPT(" ",LEN(D460))), (LEN(D460)-LEN(SUBSTITUTE(D460,"_",""))-1)*LEN(D460)+1, LEN(D460))))
            &amp; "." &amp;
            VALUE(TRIM(RIGHT(SUBSTITUTE(D460,"_",REPT(" ",LEN(D460))),LEN(D460)))),
            "")))</f>
        <v/>
      </c>
      <c r="D460" s="158"/>
      <c r="E460" s="159"/>
      <c r="F460" s="159"/>
      <c r="G460" s="159"/>
      <c r="H460" s="159"/>
      <c r="I460" s="158"/>
      <c r="J460" s="158"/>
      <c r="K460" s="159"/>
      <c r="L460" s="160"/>
      <c r="M460" s="159"/>
      <c r="N460" s="159"/>
      <c r="O460" s="161"/>
      <c r="P460" s="162" t="str">
        <f t="shared" si="177"/>
        <v/>
      </c>
      <c r="Q460" s="163" t="str">
        <f t="shared" si="178"/>
        <v/>
      </c>
      <c r="R460" s="164">
        <f t="shared" si="179"/>
        <v>0</v>
      </c>
      <c r="S460" s="165">
        <f t="shared" si="170"/>
        <v>0</v>
      </c>
      <c r="T460" s="165">
        <f t="shared" si="171"/>
        <v>0</v>
      </c>
      <c r="U460" s="166">
        <f t="shared" si="172"/>
        <v>0</v>
      </c>
      <c r="V460" s="153" t="str">
        <f t="shared" si="180"/>
        <v/>
      </c>
      <c r="W460" s="153" t="str">
        <f t="shared" si="181"/>
        <v/>
      </c>
      <c r="X460" s="244"/>
      <c r="Y460" s="154">
        <f t="shared" si="173"/>
        <v>0</v>
      </c>
      <c r="Z460" s="154" t="str">
        <f t="shared" si="169"/>
        <v>1000</v>
      </c>
      <c r="AA460" s="153" t="str">
        <f t="shared" si="182"/>
        <v/>
      </c>
      <c r="AD460" s="155" t="str">
        <f t="shared" si="174"/>
        <v/>
      </c>
      <c r="AI460" s="155">
        <f t="array" ref="AI460">MATCH(MIN(IF($AK$501:$AK$525&gt;=IF(G460&gt;1499,E460+7,E460+5), $AK$501:$AK$525)), $AK$501:$AK$525, 0)</f>
        <v>5</v>
      </c>
      <c r="AK460" s="233"/>
      <c r="AL460" s="233"/>
      <c r="AM460" s="155" t="str">
        <f t="shared" si="183"/>
        <v/>
      </c>
      <c r="AN460" s="155" t="str">
        <f t="shared" si="184"/>
        <v/>
      </c>
      <c r="AX460" s="155" t="str">
        <f t="shared" si="185"/>
        <v/>
      </c>
    </row>
    <row r="461" spans="1:50" s="155" customFormat="1" ht="30" hidden="1" customHeight="1">
      <c r="A461" s="141" t="str">
        <f t="shared" si="175"/>
        <v/>
      </c>
      <c r="B461" s="141" t="str">
        <f t="shared" si="176"/>
        <v/>
      </c>
      <c r="C461" s="157" t="str">
        <f>IF(D461="","",
    IF(ISERR(SEARCH("_",D461)),
        IFERROR(_xlfn.AGGREGATE(14,6,$C$12:C460,1),0)+1,
        IFERROR(
            VALUE(TRIM(MID(SUBSTITUTE(D461,"_",REPT(" ",LEN(D461))), (LEN(D461)-LEN(SUBSTITUTE(D461,"_",""))-1)*LEN(D461)+1, LEN(D461))))
            &amp; "." &amp;
            VALUE(TRIM(RIGHT(SUBSTITUTE(D461,"_",REPT(" ",LEN(D461))),LEN(D461)))),
            "")))</f>
        <v/>
      </c>
      <c r="D461" s="158"/>
      <c r="E461" s="159"/>
      <c r="F461" s="159"/>
      <c r="G461" s="159"/>
      <c r="H461" s="159"/>
      <c r="I461" s="158"/>
      <c r="J461" s="158"/>
      <c r="K461" s="159"/>
      <c r="L461" s="160"/>
      <c r="M461" s="159"/>
      <c r="N461" s="159"/>
      <c r="O461" s="161"/>
      <c r="P461" s="162" t="str">
        <f t="shared" si="177"/>
        <v/>
      </c>
      <c r="Q461" s="163" t="str">
        <f t="shared" si="178"/>
        <v/>
      </c>
      <c r="R461" s="164">
        <f t="shared" si="179"/>
        <v>0</v>
      </c>
      <c r="S461" s="165">
        <f t="shared" si="170"/>
        <v>0</v>
      </c>
      <c r="T461" s="165">
        <f t="shared" si="171"/>
        <v>0</v>
      </c>
      <c r="U461" s="166">
        <f t="shared" si="172"/>
        <v>0</v>
      </c>
      <c r="V461" s="153" t="str">
        <f t="shared" si="180"/>
        <v/>
      </c>
      <c r="W461" s="153" t="str">
        <f t="shared" si="181"/>
        <v/>
      </c>
      <c r="X461" s="244"/>
      <c r="Y461" s="154">
        <f t="shared" si="173"/>
        <v>0</v>
      </c>
      <c r="Z461" s="154" t="str">
        <f t="shared" ref="Z461:Z482" si="186">IFERROR(FIND(".",$C462),"1000")</f>
        <v>1000</v>
      </c>
      <c r="AA461" s="153" t="str">
        <f t="shared" si="182"/>
        <v/>
      </c>
      <c r="AD461" s="155" t="str">
        <f t="shared" si="174"/>
        <v/>
      </c>
      <c r="AI461" s="155">
        <f t="array" ref="AI461">MATCH(MIN(IF($AK$501:$AK$525&gt;=IF(G461&gt;1499,E461+7,E461+5), $AK$501:$AK$525)), $AK$501:$AK$525, 0)</f>
        <v>5</v>
      </c>
      <c r="AK461" s="233"/>
      <c r="AL461" s="233"/>
      <c r="AM461" s="155" t="str">
        <f t="shared" si="183"/>
        <v/>
      </c>
      <c r="AN461" s="155" t="str">
        <f t="shared" si="184"/>
        <v/>
      </c>
      <c r="AX461" s="155" t="str">
        <f t="shared" si="185"/>
        <v/>
      </c>
    </row>
    <row r="462" spans="1:50" s="155" customFormat="1" ht="30" hidden="1" customHeight="1">
      <c r="A462" s="141" t="str">
        <f t="shared" si="175"/>
        <v/>
      </c>
      <c r="B462" s="141" t="str">
        <f t="shared" si="176"/>
        <v/>
      </c>
      <c r="C462" s="157" t="str">
        <f>IF(D462="","",
    IF(ISERR(SEARCH("_",D462)),
        IFERROR(_xlfn.AGGREGATE(14,6,$C$12:C461,1),0)+1,
        IFERROR(
            VALUE(TRIM(MID(SUBSTITUTE(D462,"_",REPT(" ",LEN(D462))), (LEN(D462)-LEN(SUBSTITUTE(D462,"_",""))-1)*LEN(D462)+1, LEN(D462))))
            &amp; "." &amp;
            VALUE(TRIM(RIGHT(SUBSTITUTE(D462,"_",REPT(" ",LEN(D462))),LEN(D462)))),
            "")))</f>
        <v/>
      </c>
      <c r="D462" s="158"/>
      <c r="E462" s="159"/>
      <c r="F462" s="159"/>
      <c r="G462" s="159"/>
      <c r="H462" s="159"/>
      <c r="I462" s="158"/>
      <c r="J462" s="158"/>
      <c r="K462" s="159"/>
      <c r="L462" s="160"/>
      <c r="M462" s="159"/>
      <c r="N462" s="159"/>
      <c r="O462" s="161"/>
      <c r="P462" s="162" t="str">
        <f t="shared" si="177"/>
        <v/>
      </c>
      <c r="Q462" s="163" t="str">
        <f t="shared" si="178"/>
        <v/>
      </c>
      <c r="R462" s="164">
        <f t="shared" si="179"/>
        <v>0</v>
      </c>
      <c r="S462" s="165">
        <f t="shared" ref="S462:S482" si="187">IF(ISERR(SEARCH("2d",K462)),IF(ISERR(SEARCH("1d",K462)),0,1),2)*($G462+40)*$H462/10^3+IF(ISERR(SEARCH("2r",K462)),IF(ISERR(SEARCH("1r",K462)),0,1),2)*($F462+40)*$H462/10^3</f>
        <v>0</v>
      </c>
      <c r="T462" s="165">
        <f t="shared" ref="T462:T482" si="188">IF(ISERR(SEARCH("2m",M462)),IF(ISERR(SEARCH("1m",M462)),0,1),2)*$G462*$F462*$H462/10^6+IF(ISERR(SEARCH("2d",M462)),IF(ISERR(SEARCH("1d",M462)),0,1),2)*$G462*$E462*$H462/10^6+IF(ISERR(SEARCH("2r",M462)),IF(ISERR(SEARCH("1r",M462)),0,1),2)*$F462*$E462*$H462/10^6</f>
        <v>0</v>
      </c>
      <c r="U462" s="166">
        <f t="shared" ref="U462:U482" si="189">IF(ISERR(SEARCH("2m",N462)),IF(ISERR(SEARCH("1m",N462)),0,1),2)*$G462*$F462*$H462/10^6+IF(ISERR(SEARCH("2d",N462)),IF(ISERR(SEARCH("1d",N462)),0,1),2)*$G462*$E462*$H462/10^6+IF(ISERR(SEARCH("2r",N462)),IF(ISERR(SEARCH("1r",N462)),0,1),2)*$F462*$E462*$H462/10^6</f>
        <v>0</v>
      </c>
      <c r="V462" s="153" t="str">
        <f t="shared" si="180"/>
        <v/>
      </c>
      <c r="W462" s="153" t="str">
        <f t="shared" si="181"/>
        <v/>
      </c>
      <c r="X462" s="244"/>
      <c r="Y462" s="154">
        <f t="shared" ref="Y462:Y482" si="190">IFERROR((E462*F462*G462*H462*10^-9)*750,"")</f>
        <v>0</v>
      </c>
      <c r="Z462" s="154" t="str">
        <f t="shared" si="186"/>
        <v>1000</v>
      </c>
      <c r="AA462" s="153" t="str">
        <f t="shared" si="182"/>
        <v/>
      </c>
      <c r="AD462" s="155" t="str">
        <f t="shared" ref="AD462:AD482" si="191">IF(OR(I462="_",LEFT(I462,4)="KTHT"),"",IF(C462="","",1))</f>
        <v/>
      </c>
      <c r="AI462" s="155">
        <f t="array" ref="AI462">MATCH(MIN(IF($AK$501:$AK$525&gt;=IF(G462&gt;1499,E462+7,E462+5), $AK$501:$AK$525)), $AK$501:$AK$525, 0)</f>
        <v>5</v>
      </c>
      <c r="AK462" s="233"/>
      <c r="AL462" s="233"/>
      <c r="AM462" s="155" t="str">
        <f t="shared" si="183"/>
        <v/>
      </c>
      <c r="AN462" s="155" t="str">
        <f t="shared" si="184"/>
        <v/>
      </c>
      <c r="AX462" s="155" t="str">
        <f t="shared" si="185"/>
        <v/>
      </c>
    </row>
    <row r="463" spans="1:50" s="155" customFormat="1" ht="30" hidden="1" customHeight="1">
      <c r="A463" s="141" t="str">
        <f t="shared" si="175"/>
        <v/>
      </c>
      <c r="B463" s="141" t="str">
        <f t="shared" si="176"/>
        <v/>
      </c>
      <c r="C463" s="157" t="str">
        <f>IF(D463="","",
    IF(ISERR(SEARCH("_",D463)),
        IFERROR(_xlfn.AGGREGATE(14,6,$C$12:C462,1),0)+1,
        IFERROR(
            VALUE(TRIM(MID(SUBSTITUTE(D463,"_",REPT(" ",LEN(D463))), (LEN(D463)-LEN(SUBSTITUTE(D463,"_",""))-1)*LEN(D463)+1, LEN(D463))))
            &amp; "." &amp;
            VALUE(TRIM(RIGHT(SUBSTITUTE(D463,"_",REPT(" ",LEN(D463))),LEN(D463)))),
            "")))</f>
        <v/>
      </c>
      <c r="D463" s="158"/>
      <c r="E463" s="159"/>
      <c r="F463" s="159"/>
      <c r="G463" s="159"/>
      <c r="H463" s="159"/>
      <c r="I463" s="158"/>
      <c r="J463" s="158"/>
      <c r="K463" s="159"/>
      <c r="L463" s="160"/>
      <c r="M463" s="159"/>
      <c r="N463" s="159"/>
      <c r="O463" s="161"/>
      <c r="P463" s="162" t="str">
        <f t="shared" si="177"/>
        <v/>
      </c>
      <c r="Q463" s="163" t="str">
        <f t="shared" si="178"/>
        <v/>
      </c>
      <c r="R463" s="164">
        <f t="shared" si="179"/>
        <v>0</v>
      </c>
      <c r="S463" s="165">
        <f t="shared" si="187"/>
        <v>0</v>
      </c>
      <c r="T463" s="165">
        <f t="shared" si="188"/>
        <v>0</v>
      </c>
      <c r="U463" s="166">
        <f t="shared" si="189"/>
        <v>0</v>
      </c>
      <c r="V463" s="153" t="str">
        <f t="shared" si="180"/>
        <v/>
      </c>
      <c r="W463" s="153" t="str">
        <f t="shared" si="181"/>
        <v/>
      </c>
      <c r="X463" s="244"/>
      <c r="Y463" s="154">
        <f t="shared" si="190"/>
        <v>0</v>
      </c>
      <c r="Z463" s="154" t="str">
        <f t="shared" si="186"/>
        <v>1000</v>
      </c>
      <c r="AA463" s="153" t="str">
        <f t="shared" si="182"/>
        <v/>
      </c>
      <c r="AD463" s="155" t="str">
        <f t="shared" si="191"/>
        <v/>
      </c>
      <c r="AI463" s="155">
        <f t="array" ref="AI463">MATCH(MIN(IF($AK$501:$AK$525&gt;=IF(G463&gt;1499,E463+7,E463+5), $AK$501:$AK$525)), $AK$501:$AK$525, 0)</f>
        <v>5</v>
      </c>
      <c r="AK463" s="233"/>
      <c r="AL463" s="233"/>
      <c r="AM463" s="155" t="str">
        <f t="shared" si="183"/>
        <v/>
      </c>
      <c r="AN463" s="155" t="str">
        <f t="shared" si="184"/>
        <v/>
      </c>
      <c r="AX463" s="155" t="str">
        <f t="shared" si="185"/>
        <v/>
      </c>
    </row>
    <row r="464" spans="1:50" s="155" customFormat="1" ht="30" hidden="1" customHeight="1">
      <c r="A464" s="141" t="str">
        <f t="shared" ref="A464:A482" si="192">IF(W464="IN",$E$6,"")</f>
        <v/>
      </c>
      <c r="B464" s="141" t="str">
        <f t="shared" ref="B464:B482" si="193">IF(W464="IN","Muc "&amp;$E$7,"")</f>
        <v/>
      </c>
      <c r="C464" s="157" t="str">
        <f>IF(D464="","",
    IF(ISERR(SEARCH("_",D464)),
        IFERROR(_xlfn.AGGREGATE(14,6,$C$12:C463,1),0)+1,
        IFERROR(
            VALUE(TRIM(MID(SUBSTITUTE(D464,"_",REPT(" ",LEN(D464))), (LEN(D464)-LEN(SUBSTITUTE(D464,"_",""))-1)*LEN(D464)+1, LEN(D464))))
            &amp; "." &amp;
            VALUE(TRIM(RIGHT(SUBSTITUTE(D464,"_",REPT(" ",LEN(D464))),LEN(D464)))),
            "")))</f>
        <v/>
      </c>
      <c r="D464" s="158"/>
      <c r="E464" s="159"/>
      <c r="F464" s="159"/>
      <c r="G464" s="159"/>
      <c r="H464" s="159"/>
      <c r="I464" s="158"/>
      <c r="J464" s="158"/>
      <c r="K464" s="159"/>
      <c r="L464" s="160"/>
      <c r="M464" s="159"/>
      <c r="N464" s="159"/>
      <c r="O464" s="161"/>
      <c r="P464" s="162" t="str">
        <f t="shared" ref="P464:P482" si="194">IF(AND(LEFT(I464,2)="gỗ",M464&lt;&gt;""),IF(LEFT(RIGHT(IF(E464="","",INDEX($AL$501:$AL$525,VALUE(AI464),1)),3),2)="/4",AM464,AN464)&amp;" "&amp;IF(E464="","",INDEX($AL$501:$AL$525,VALUE(AI464),1)),IF(AND(LEFT(I464,2)="gỗ",M464=""),"loại BC"&amp;" "&amp;IF(E464="","",INDEX($AL$501:$AL$525,VALUE(AI464),1)),""))</f>
        <v/>
      </c>
      <c r="Q464" s="163" t="str">
        <f t="shared" ref="Q464:Q482" si="195">IF(I464="","",IF(LEFT(I464,2)="gỗ","m3","Tấm"))</f>
        <v/>
      </c>
      <c r="R464" s="164">
        <f t="shared" ref="R464:R482" si="196">IF(OR(Q464="Con",Q464="Cụm",Q464="Hệ",Q464="Thanh"),H464,IF(Q464="Tấm",(F464*G464*H464)/(1220*2440),IF(Q464="Md",G464*H464/1000,IF(Q464="M2",F464*G464*H464/10^6,IF(Q464="M3",E464*F464*G464*H464/10^9,0)))))</f>
        <v>0</v>
      </c>
      <c r="S464" s="165">
        <f t="shared" si="187"/>
        <v>0</v>
      </c>
      <c r="T464" s="165">
        <f t="shared" si="188"/>
        <v>0</v>
      </c>
      <c r="U464" s="166">
        <f t="shared" si="189"/>
        <v>0</v>
      </c>
      <c r="V464" s="153" t="str">
        <f t="shared" ref="V464:V482" si="197">IF(W464="IN",$Y$3,"")</f>
        <v/>
      </c>
      <c r="W464" s="153" t="str">
        <f t="shared" ref="W464:W482" si="198">IF(OR(C464&lt;&gt;"",D464&lt;&gt;""),"IN","")</f>
        <v/>
      </c>
      <c r="X464" s="244"/>
      <c r="Y464" s="154">
        <f t="shared" si="190"/>
        <v>0</v>
      </c>
      <c r="Z464" s="154" t="str">
        <f t="shared" si="186"/>
        <v>1000</v>
      </c>
      <c r="AA464" s="153" t="str">
        <f t="shared" ref="AA464:AA482" si="199">IFERROR(MATCH(J464,$J$13:$J$482,0)&amp;",","")</f>
        <v/>
      </c>
      <c r="AD464" s="155" t="str">
        <f t="shared" si="191"/>
        <v/>
      </c>
      <c r="AI464" s="155">
        <f t="array" ref="AI464">MATCH(MIN(IF($AK$501:$AK$525&gt;=IF(G464&gt;1499,E464+7,E464+5), $AK$501:$AK$525)), $AK$501:$AK$525, 0)</f>
        <v>5</v>
      </c>
      <c r="AK464" s="233"/>
      <c r="AL464" s="233"/>
      <c r="AM464" s="155" t="str">
        <f t="shared" ref="AM464:AM482" si="200">IF(M464="","",IF(F464&gt;99,"FAS",IF(LEFT(I464,2)="Gỗ",IF(LEFT(M464,4)="2M2D","loại 1common",IF(AND(G464&gt;1699,LEFT(M464,4)&lt;&gt;"2M2D"),"loại 1common","loại 2common")),"")))</f>
        <v/>
      </c>
      <c r="AN464" s="155" t="str">
        <f t="shared" ref="AN464:AN482" si="201">IF(AM464="","",IF(AM464="loại 1common","loại A",IF(AM464="loại 2common","loại AB","loại FAS")))</f>
        <v/>
      </c>
      <c r="AX464" s="155" t="str">
        <f t="shared" ref="AX464:AX482" si="202">W464</f>
        <v/>
      </c>
    </row>
    <row r="465" spans="1:50" s="155" customFormat="1" ht="30" hidden="1" customHeight="1">
      <c r="A465" s="141" t="str">
        <f t="shared" si="192"/>
        <v/>
      </c>
      <c r="B465" s="141" t="str">
        <f t="shared" si="193"/>
        <v/>
      </c>
      <c r="C465" s="157" t="str">
        <f>IF(D465="","",
    IF(ISERR(SEARCH("_",D465)),
        IFERROR(_xlfn.AGGREGATE(14,6,$C$12:C464,1),0)+1,
        IFERROR(
            VALUE(TRIM(MID(SUBSTITUTE(D465,"_",REPT(" ",LEN(D465))), (LEN(D465)-LEN(SUBSTITUTE(D465,"_",""))-1)*LEN(D465)+1, LEN(D465))))
            &amp; "." &amp;
            VALUE(TRIM(RIGHT(SUBSTITUTE(D465,"_",REPT(" ",LEN(D465))),LEN(D465)))),
            "")))</f>
        <v/>
      </c>
      <c r="D465" s="158"/>
      <c r="E465" s="159"/>
      <c r="F465" s="159"/>
      <c r="G465" s="159"/>
      <c r="H465" s="159"/>
      <c r="I465" s="158"/>
      <c r="J465" s="158"/>
      <c r="K465" s="159"/>
      <c r="L465" s="160"/>
      <c r="M465" s="159"/>
      <c r="N465" s="159"/>
      <c r="O465" s="161"/>
      <c r="P465" s="162" t="str">
        <f t="shared" si="194"/>
        <v/>
      </c>
      <c r="Q465" s="163" t="str">
        <f t="shared" si="195"/>
        <v/>
      </c>
      <c r="R465" s="164">
        <f t="shared" si="196"/>
        <v>0</v>
      </c>
      <c r="S465" s="165">
        <f t="shared" si="187"/>
        <v>0</v>
      </c>
      <c r="T465" s="165">
        <f t="shared" si="188"/>
        <v>0</v>
      </c>
      <c r="U465" s="166">
        <f t="shared" si="189"/>
        <v>0</v>
      </c>
      <c r="V465" s="153" t="str">
        <f t="shared" si="197"/>
        <v/>
      </c>
      <c r="W465" s="153" t="str">
        <f t="shared" si="198"/>
        <v/>
      </c>
      <c r="X465" s="244"/>
      <c r="Y465" s="154">
        <f t="shared" si="190"/>
        <v>0</v>
      </c>
      <c r="Z465" s="154" t="str">
        <f t="shared" si="186"/>
        <v>1000</v>
      </c>
      <c r="AA465" s="153" t="str">
        <f t="shared" si="199"/>
        <v/>
      </c>
      <c r="AD465" s="155" t="str">
        <f t="shared" si="191"/>
        <v/>
      </c>
      <c r="AI465" s="155">
        <f t="array" ref="AI465">MATCH(MIN(IF($AK$501:$AK$525&gt;=IF(G465&gt;1499,E465+7,E465+5), $AK$501:$AK$525)), $AK$501:$AK$525, 0)</f>
        <v>5</v>
      </c>
      <c r="AK465" s="233"/>
      <c r="AL465" s="233"/>
      <c r="AM465" s="155" t="str">
        <f t="shared" si="200"/>
        <v/>
      </c>
      <c r="AN465" s="155" t="str">
        <f t="shared" si="201"/>
        <v/>
      </c>
      <c r="AX465" s="155" t="str">
        <f t="shared" si="202"/>
        <v/>
      </c>
    </row>
    <row r="466" spans="1:50" s="155" customFormat="1" ht="30" hidden="1" customHeight="1">
      <c r="A466" s="141" t="str">
        <f t="shared" si="192"/>
        <v/>
      </c>
      <c r="B466" s="141" t="str">
        <f t="shared" si="193"/>
        <v/>
      </c>
      <c r="C466" s="157" t="str">
        <f>IF(D466="","",
    IF(ISERR(SEARCH("_",D466)),
        IFERROR(_xlfn.AGGREGATE(14,6,$C$12:C465,1),0)+1,
        IFERROR(
            VALUE(TRIM(MID(SUBSTITUTE(D466,"_",REPT(" ",LEN(D466))), (LEN(D466)-LEN(SUBSTITUTE(D466,"_",""))-1)*LEN(D466)+1, LEN(D466))))
            &amp; "." &amp;
            VALUE(TRIM(RIGHT(SUBSTITUTE(D466,"_",REPT(" ",LEN(D466))),LEN(D466)))),
            "")))</f>
        <v/>
      </c>
      <c r="D466" s="158"/>
      <c r="E466" s="159"/>
      <c r="F466" s="159"/>
      <c r="G466" s="159"/>
      <c r="H466" s="159"/>
      <c r="I466" s="158"/>
      <c r="J466" s="158"/>
      <c r="K466" s="159"/>
      <c r="L466" s="160"/>
      <c r="M466" s="159"/>
      <c r="N466" s="159"/>
      <c r="O466" s="161"/>
      <c r="P466" s="162" t="str">
        <f t="shared" si="194"/>
        <v/>
      </c>
      <c r="Q466" s="163" t="str">
        <f t="shared" si="195"/>
        <v/>
      </c>
      <c r="R466" s="164">
        <f t="shared" si="196"/>
        <v>0</v>
      </c>
      <c r="S466" s="165">
        <f t="shared" si="187"/>
        <v>0</v>
      </c>
      <c r="T466" s="165">
        <f t="shared" si="188"/>
        <v>0</v>
      </c>
      <c r="U466" s="166">
        <f t="shared" si="189"/>
        <v>0</v>
      </c>
      <c r="V466" s="153" t="str">
        <f t="shared" si="197"/>
        <v/>
      </c>
      <c r="W466" s="153" t="str">
        <f t="shared" si="198"/>
        <v/>
      </c>
      <c r="X466" s="244"/>
      <c r="Y466" s="154">
        <f t="shared" si="190"/>
        <v>0</v>
      </c>
      <c r="Z466" s="154" t="str">
        <f t="shared" si="186"/>
        <v>1000</v>
      </c>
      <c r="AA466" s="153" t="str">
        <f t="shared" si="199"/>
        <v/>
      </c>
      <c r="AD466" s="155" t="str">
        <f t="shared" si="191"/>
        <v/>
      </c>
      <c r="AI466" s="155">
        <f t="array" ref="AI466">MATCH(MIN(IF($AK$501:$AK$525&gt;=IF(G466&gt;1499,E466+7,E466+5), $AK$501:$AK$525)), $AK$501:$AK$525, 0)</f>
        <v>5</v>
      </c>
      <c r="AK466" s="233"/>
      <c r="AL466" s="233"/>
      <c r="AM466" s="155" t="str">
        <f t="shared" si="200"/>
        <v/>
      </c>
      <c r="AN466" s="155" t="str">
        <f t="shared" si="201"/>
        <v/>
      </c>
      <c r="AX466" s="155" t="str">
        <f t="shared" si="202"/>
        <v/>
      </c>
    </row>
    <row r="467" spans="1:50" s="155" customFormat="1" ht="30" hidden="1" customHeight="1">
      <c r="A467" s="141" t="str">
        <f t="shared" si="192"/>
        <v/>
      </c>
      <c r="B467" s="141" t="str">
        <f t="shared" si="193"/>
        <v/>
      </c>
      <c r="C467" s="157" t="str">
        <f>IF(D467="","",
    IF(ISERR(SEARCH("_",D467)),
        IFERROR(_xlfn.AGGREGATE(14,6,$C$12:C466,1),0)+1,
        IFERROR(
            VALUE(TRIM(MID(SUBSTITUTE(D467,"_",REPT(" ",LEN(D467))), (LEN(D467)-LEN(SUBSTITUTE(D467,"_",""))-1)*LEN(D467)+1, LEN(D467))))
            &amp; "." &amp;
            VALUE(TRIM(RIGHT(SUBSTITUTE(D467,"_",REPT(" ",LEN(D467))),LEN(D467)))),
            "")))</f>
        <v/>
      </c>
      <c r="D467" s="158"/>
      <c r="E467" s="159"/>
      <c r="F467" s="159"/>
      <c r="G467" s="159"/>
      <c r="H467" s="159"/>
      <c r="I467" s="158"/>
      <c r="J467" s="158"/>
      <c r="K467" s="159"/>
      <c r="L467" s="160"/>
      <c r="M467" s="159"/>
      <c r="N467" s="159"/>
      <c r="O467" s="161"/>
      <c r="P467" s="162" t="str">
        <f t="shared" si="194"/>
        <v/>
      </c>
      <c r="Q467" s="163" t="str">
        <f t="shared" si="195"/>
        <v/>
      </c>
      <c r="R467" s="164">
        <f t="shared" si="196"/>
        <v>0</v>
      </c>
      <c r="S467" s="165">
        <f t="shared" si="187"/>
        <v>0</v>
      </c>
      <c r="T467" s="165">
        <f t="shared" si="188"/>
        <v>0</v>
      </c>
      <c r="U467" s="166">
        <f t="shared" si="189"/>
        <v>0</v>
      </c>
      <c r="V467" s="153" t="str">
        <f t="shared" si="197"/>
        <v/>
      </c>
      <c r="W467" s="153" t="str">
        <f t="shared" si="198"/>
        <v/>
      </c>
      <c r="X467" s="244"/>
      <c r="Y467" s="154">
        <f t="shared" si="190"/>
        <v>0</v>
      </c>
      <c r="Z467" s="154" t="str">
        <f t="shared" si="186"/>
        <v>1000</v>
      </c>
      <c r="AA467" s="153" t="str">
        <f t="shared" si="199"/>
        <v/>
      </c>
      <c r="AD467" s="155" t="str">
        <f t="shared" si="191"/>
        <v/>
      </c>
      <c r="AI467" s="155">
        <f t="array" ref="AI467">MATCH(MIN(IF($AK$501:$AK$525&gt;=IF(G467&gt;1499,E467+7,E467+5), $AK$501:$AK$525)), $AK$501:$AK$525, 0)</f>
        <v>5</v>
      </c>
      <c r="AK467" s="233"/>
      <c r="AL467" s="233"/>
      <c r="AM467" s="155" t="str">
        <f t="shared" si="200"/>
        <v/>
      </c>
      <c r="AN467" s="155" t="str">
        <f t="shared" si="201"/>
        <v/>
      </c>
      <c r="AX467" s="155" t="str">
        <f t="shared" si="202"/>
        <v/>
      </c>
    </row>
    <row r="468" spans="1:50" s="155" customFormat="1" ht="30" hidden="1" customHeight="1">
      <c r="A468" s="141" t="str">
        <f t="shared" si="192"/>
        <v/>
      </c>
      <c r="B468" s="141" t="str">
        <f t="shared" si="193"/>
        <v/>
      </c>
      <c r="C468" s="157" t="str">
        <f>IF(D468="","",
    IF(ISERR(SEARCH("_",D468)),
        IFERROR(_xlfn.AGGREGATE(14,6,$C$12:C467,1),0)+1,
        IFERROR(
            VALUE(TRIM(MID(SUBSTITUTE(D468,"_",REPT(" ",LEN(D468))), (LEN(D468)-LEN(SUBSTITUTE(D468,"_",""))-1)*LEN(D468)+1, LEN(D468))))
            &amp; "." &amp;
            VALUE(TRIM(RIGHT(SUBSTITUTE(D468,"_",REPT(" ",LEN(D468))),LEN(D468)))),
            "")))</f>
        <v/>
      </c>
      <c r="D468" s="158"/>
      <c r="E468" s="159"/>
      <c r="F468" s="159"/>
      <c r="G468" s="159"/>
      <c r="H468" s="159"/>
      <c r="I468" s="158"/>
      <c r="J468" s="158"/>
      <c r="K468" s="159"/>
      <c r="L468" s="160"/>
      <c r="M468" s="159"/>
      <c r="N468" s="159"/>
      <c r="O468" s="161"/>
      <c r="P468" s="162" t="str">
        <f t="shared" si="194"/>
        <v/>
      </c>
      <c r="Q468" s="163" t="str">
        <f t="shared" si="195"/>
        <v/>
      </c>
      <c r="R468" s="164">
        <f t="shared" si="196"/>
        <v>0</v>
      </c>
      <c r="S468" s="165">
        <f t="shared" si="187"/>
        <v>0</v>
      </c>
      <c r="T468" s="165">
        <f t="shared" si="188"/>
        <v>0</v>
      </c>
      <c r="U468" s="166">
        <f t="shared" si="189"/>
        <v>0</v>
      </c>
      <c r="V468" s="153" t="str">
        <f t="shared" si="197"/>
        <v/>
      </c>
      <c r="W468" s="153" t="str">
        <f t="shared" si="198"/>
        <v/>
      </c>
      <c r="X468" s="244"/>
      <c r="Y468" s="154">
        <f t="shared" si="190"/>
        <v>0</v>
      </c>
      <c r="Z468" s="154" t="str">
        <f t="shared" si="186"/>
        <v>1000</v>
      </c>
      <c r="AA468" s="153" t="str">
        <f t="shared" si="199"/>
        <v/>
      </c>
      <c r="AD468" s="155" t="str">
        <f t="shared" si="191"/>
        <v/>
      </c>
      <c r="AI468" s="155">
        <f t="array" ref="AI468">MATCH(MIN(IF($AK$501:$AK$525&gt;=IF(G468&gt;1499,E468+7,E468+5), $AK$501:$AK$525)), $AK$501:$AK$525, 0)</f>
        <v>5</v>
      </c>
      <c r="AK468" s="233"/>
      <c r="AL468" s="233"/>
      <c r="AM468" s="155" t="str">
        <f t="shared" si="200"/>
        <v/>
      </c>
      <c r="AN468" s="155" t="str">
        <f t="shared" si="201"/>
        <v/>
      </c>
      <c r="AX468" s="155" t="str">
        <f t="shared" si="202"/>
        <v/>
      </c>
    </row>
    <row r="469" spans="1:50" s="155" customFormat="1" ht="30" hidden="1" customHeight="1">
      <c r="A469" s="141" t="str">
        <f t="shared" si="192"/>
        <v/>
      </c>
      <c r="B469" s="141" t="str">
        <f t="shared" si="193"/>
        <v/>
      </c>
      <c r="C469" s="157" t="str">
        <f>IF(D469="","",
    IF(ISERR(SEARCH("_",D469)),
        IFERROR(_xlfn.AGGREGATE(14,6,$C$12:C468,1),0)+1,
        IFERROR(
            VALUE(TRIM(MID(SUBSTITUTE(D469,"_",REPT(" ",LEN(D469))), (LEN(D469)-LEN(SUBSTITUTE(D469,"_",""))-1)*LEN(D469)+1, LEN(D469))))
            &amp; "." &amp;
            VALUE(TRIM(RIGHT(SUBSTITUTE(D469,"_",REPT(" ",LEN(D469))),LEN(D469)))),
            "")))</f>
        <v/>
      </c>
      <c r="D469" s="158"/>
      <c r="E469" s="159"/>
      <c r="F469" s="159"/>
      <c r="G469" s="159"/>
      <c r="H469" s="159"/>
      <c r="I469" s="158"/>
      <c r="J469" s="158"/>
      <c r="K469" s="159"/>
      <c r="L469" s="160"/>
      <c r="M469" s="159"/>
      <c r="N469" s="159"/>
      <c r="O469" s="161"/>
      <c r="P469" s="162" t="str">
        <f t="shared" si="194"/>
        <v/>
      </c>
      <c r="Q469" s="163" t="str">
        <f t="shared" si="195"/>
        <v/>
      </c>
      <c r="R469" s="164">
        <f t="shared" si="196"/>
        <v>0</v>
      </c>
      <c r="S469" s="165">
        <f t="shared" si="187"/>
        <v>0</v>
      </c>
      <c r="T469" s="165">
        <f t="shared" si="188"/>
        <v>0</v>
      </c>
      <c r="U469" s="166">
        <f t="shared" si="189"/>
        <v>0</v>
      </c>
      <c r="V469" s="153" t="str">
        <f t="shared" si="197"/>
        <v/>
      </c>
      <c r="W469" s="153" t="str">
        <f t="shared" si="198"/>
        <v/>
      </c>
      <c r="X469" s="244"/>
      <c r="Y469" s="154">
        <f t="shared" si="190"/>
        <v>0</v>
      </c>
      <c r="Z469" s="154" t="str">
        <f t="shared" si="186"/>
        <v>1000</v>
      </c>
      <c r="AA469" s="153" t="str">
        <f t="shared" si="199"/>
        <v/>
      </c>
      <c r="AD469" s="155" t="str">
        <f t="shared" si="191"/>
        <v/>
      </c>
      <c r="AI469" s="155">
        <f t="array" ref="AI469">MATCH(MIN(IF($AK$501:$AK$525&gt;=IF(G469&gt;1499,E469+7,E469+5), $AK$501:$AK$525)), $AK$501:$AK$525, 0)</f>
        <v>5</v>
      </c>
      <c r="AK469" s="233"/>
      <c r="AL469" s="233"/>
      <c r="AM469" s="155" t="str">
        <f t="shared" si="200"/>
        <v/>
      </c>
      <c r="AN469" s="155" t="str">
        <f t="shared" si="201"/>
        <v/>
      </c>
      <c r="AX469" s="155" t="str">
        <f t="shared" si="202"/>
        <v/>
      </c>
    </row>
    <row r="470" spans="1:50" s="155" customFormat="1" ht="30" hidden="1" customHeight="1">
      <c r="A470" s="141" t="str">
        <f t="shared" si="192"/>
        <v/>
      </c>
      <c r="B470" s="141" t="str">
        <f t="shared" si="193"/>
        <v/>
      </c>
      <c r="C470" s="157" t="str">
        <f>IF(D470="","",
    IF(ISERR(SEARCH("_",D470)),
        IFERROR(_xlfn.AGGREGATE(14,6,$C$12:C469,1),0)+1,
        IFERROR(
            VALUE(TRIM(MID(SUBSTITUTE(D470,"_",REPT(" ",LEN(D470))), (LEN(D470)-LEN(SUBSTITUTE(D470,"_",""))-1)*LEN(D470)+1, LEN(D470))))
            &amp; "." &amp;
            VALUE(TRIM(RIGHT(SUBSTITUTE(D470,"_",REPT(" ",LEN(D470))),LEN(D470)))),
            "")))</f>
        <v/>
      </c>
      <c r="D470" s="158"/>
      <c r="E470" s="159"/>
      <c r="F470" s="159"/>
      <c r="G470" s="159"/>
      <c r="H470" s="159"/>
      <c r="I470" s="158"/>
      <c r="J470" s="158"/>
      <c r="K470" s="159"/>
      <c r="L470" s="160"/>
      <c r="M470" s="159"/>
      <c r="N470" s="159"/>
      <c r="O470" s="161"/>
      <c r="P470" s="162" t="str">
        <f t="shared" si="194"/>
        <v/>
      </c>
      <c r="Q470" s="163" t="str">
        <f t="shared" si="195"/>
        <v/>
      </c>
      <c r="R470" s="164">
        <f t="shared" si="196"/>
        <v>0</v>
      </c>
      <c r="S470" s="165">
        <f t="shared" si="187"/>
        <v>0</v>
      </c>
      <c r="T470" s="165">
        <f t="shared" si="188"/>
        <v>0</v>
      </c>
      <c r="U470" s="166">
        <f t="shared" si="189"/>
        <v>0</v>
      </c>
      <c r="V470" s="153" t="str">
        <f t="shared" si="197"/>
        <v/>
      </c>
      <c r="W470" s="153" t="str">
        <f t="shared" si="198"/>
        <v/>
      </c>
      <c r="X470" s="244"/>
      <c r="Y470" s="154">
        <f t="shared" si="190"/>
        <v>0</v>
      </c>
      <c r="Z470" s="154" t="str">
        <f t="shared" si="186"/>
        <v>1000</v>
      </c>
      <c r="AA470" s="153" t="str">
        <f t="shared" si="199"/>
        <v/>
      </c>
      <c r="AD470" s="155" t="str">
        <f t="shared" si="191"/>
        <v/>
      </c>
      <c r="AI470" s="155">
        <f t="array" ref="AI470">MATCH(MIN(IF($AK$501:$AK$525&gt;=IF(G470&gt;1499,E470+7,E470+5), $AK$501:$AK$525)), $AK$501:$AK$525, 0)</f>
        <v>5</v>
      </c>
      <c r="AK470" s="233"/>
      <c r="AL470" s="233"/>
      <c r="AM470" s="155" t="str">
        <f t="shared" si="200"/>
        <v/>
      </c>
      <c r="AN470" s="155" t="str">
        <f t="shared" si="201"/>
        <v/>
      </c>
      <c r="AX470" s="155" t="str">
        <f t="shared" si="202"/>
        <v/>
      </c>
    </row>
    <row r="471" spans="1:50" s="155" customFormat="1" ht="30" hidden="1" customHeight="1">
      <c r="A471" s="141" t="str">
        <f t="shared" si="192"/>
        <v/>
      </c>
      <c r="B471" s="141" t="str">
        <f t="shared" si="193"/>
        <v/>
      </c>
      <c r="C471" s="157" t="str">
        <f>IF(D471="","",
    IF(ISERR(SEARCH("_",D471)),
        IFERROR(_xlfn.AGGREGATE(14,6,$C$12:C470,1),0)+1,
        IFERROR(
            VALUE(TRIM(MID(SUBSTITUTE(D471,"_",REPT(" ",LEN(D471))), (LEN(D471)-LEN(SUBSTITUTE(D471,"_",""))-1)*LEN(D471)+1, LEN(D471))))
            &amp; "." &amp;
            VALUE(TRIM(RIGHT(SUBSTITUTE(D471,"_",REPT(" ",LEN(D471))),LEN(D471)))),
            "")))</f>
        <v/>
      </c>
      <c r="D471" s="158"/>
      <c r="E471" s="159"/>
      <c r="F471" s="159"/>
      <c r="G471" s="159"/>
      <c r="H471" s="159"/>
      <c r="I471" s="158"/>
      <c r="J471" s="158"/>
      <c r="K471" s="159"/>
      <c r="L471" s="160"/>
      <c r="M471" s="159"/>
      <c r="N471" s="159"/>
      <c r="O471" s="161"/>
      <c r="P471" s="162" t="str">
        <f t="shared" si="194"/>
        <v/>
      </c>
      <c r="Q471" s="163" t="str">
        <f t="shared" si="195"/>
        <v/>
      </c>
      <c r="R471" s="164">
        <f t="shared" si="196"/>
        <v>0</v>
      </c>
      <c r="S471" s="165">
        <f t="shared" si="187"/>
        <v>0</v>
      </c>
      <c r="T471" s="165">
        <f t="shared" si="188"/>
        <v>0</v>
      </c>
      <c r="U471" s="166">
        <f t="shared" si="189"/>
        <v>0</v>
      </c>
      <c r="V471" s="153" t="str">
        <f t="shared" si="197"/>
        <v/>
      </c>
      <c r="W471" s="153" t="str">
        <f t="shared" si="198"/>
        <v/>
      </c>
      <c r="X471" s="244"/>
      <c r="Y471" s="154">
        <f t="shared" si="190"/>
        <v>0</v>
      </c>
      <c r="Z471" s="154" t="str">
        <f t="shared" si="186"/>
        <v>1000</v>
      </c>
      <c r="AA471" s="153" t="str">
        <f t="shared" si="199"/>
        <v/>
      </c>
      <c r="AD471" s="155" t="str">
        <f t="shared" si="191"/>
        <v/>
      </c>
      <c r="AI471" s="155">
        <f t="array" ref="AI471">MATCH(MIN(IF($AK$501:$AK$525&gt;=IF(G471&gt;1499,E471+7,E471+5), $AK$501:$AK$525)), $AK$501:$AK$525, 0)</f>
        <v>5</v>
      </c>
      <c r="AK471" s="233"/>
      <c r="AL471" s="233"/>
      <c r="AM471" s="155" t="str">
        <f t="shared" si="200"/>
        <v/>
      </c>
      <c r="AN471" s="155" t="str">
        <f t="shared" si="201"/>
        <v/>
      </c>
      <c r="AX471" s="155" t="str">
        <f t="shared" si="202"/>
        <v/>
      </c>
    </row>
    <row r="472" spans="1:50" s="155" customFormat="1" ht="30" hidden="1" customHeight="1">
      <c r="A472" s="141" t="str">
        <f t="shared" si="192"/>
        <v/>
      </c>
      <c r="B472" s="141" t="str">
        <f t="shared" si="193"/>
        <v/>
      </c>
      <c r="C472" s="157" t="str">
        <f>IF(D472="","",
    IF(ISERR(SEARCH("_",D472)),
        IFERROR(_xlfn.AGGREGATE(14,6,$C$12:C471,1),0)+1,
        IFERROR(
            VALUE(TRIM(MID(SUBSTITUTE(D472,"_",REPT(" ",LEN(D472))), (LEN(D472)-LEN(SUBSTITUTE(D472,"_",""))-1)*LEN(D472)+1, LEN(D472))))
            &amp; "." &amp;
            VALUE(TRIM(RIGHT(SUBSTITUTE(D472,"_",REPT(" ",LEN(D472))),LEN(D472)))),
            "")))</f>
        <v/>
      </c>
      <c r="D472" s="158"/>
      <c r="E472" s="159"/>
      <c r="F472" s="159"/>
      <c r="G472" s="159"/>
      <c r="H472" s="159"/>
      <c r="I472" s="158"/>
      <c r="J472" s="158"/>
      <c r="K472" s="159"/>
      <c r="L472" s="160"/>
      <c r="M472" s="159"/>
      <c r="N472" s="159"/>
      <c r="O472" s="161"/>
      <c r="P472" s="162" t="str">
        <f t="shared" si="194"/>
        <v/>
      </c>
      <c r="Q472" s="163" t="str">
        <f t="shared" si="195"/>
        <v/>
      </c>
      <c r="R472" s="164">
        <f t="shared" si="196"/>
        <v>0</v>
      </c>
      <c r="S472" s="165">
        <f t="shared" si="187"/>
        <v>0</v>
      </c>
      <c r="T472" s="165">
        <f t="shared" si="188"/>
        <v>0</v>
      </c>
      <c r="U472" s="166">
        <f t="shared" si="189"/>
        <v>0</v>
      </c>
      <c r="V472" s="153" t="str">
        <f t="shared" si="197"/>
        <v/>
      </c>
      <c r="W472" s="153" t="str">
        <f t="shared" si="198"/>
        <v/>
      </c>
      <c r="X472" s="244"/>
      <c r="Y472" s="154">
        <f t="shared" si="190"/>
        <v>0</v>
      </c>
      <c r="Z472" s="154" t="str">
        <f t="shared" si="186"/>
        <v>1000</v>
      </c>
      <c r="AA472" s="153" t="str">
        <f t="shared" si="199"/>
        <v/>
      </c>
      <c r="AD472" s="155" t="str">
        <f t="shared" si="191"/>
        <v/>
      </c>
      <c r="AI472" s="155">
        <f t="array" ref="AI472">MATCH(MIN(IF($AK$501:$AK$525&gt;=IF(G472&gt;1499,E472+7,E472+5), $AK$501:$AK$525)), $AK$501:$AK$525, 0)</f>
        <v>5</v>
      </c>
      <c r="AK472" s="233"/>
      <c r="AL472" s="233"/>
      <c r="AM472" s="155" t="str">
        <f t="shared" si="200"/>
        <v/>
      </c>
      <c r="AN472" s="155" t="str">
        <f t="shared" si="201"/>
        <v/>
      </c>
      <c r="AX472" s="155" t="str">
        <f t="shared" si="202"/>
        <v/>
      </c>
    </row>
    <row r="473" spans="1:50" s="155" customFormat="1" ht="30" hidden="1" customHeight="1">
      <c r="A473" s="141" t="str">
        <f t="shared" si="192"/>
        <v/>
      </c>
      <c r="B473" s="141" t="str">
        <f t="shared" si="193"/>
        <v/>
      </c>
      <c r="C473" s="157" t="str">
        <f>IF(D473="","",
    IF(ISERR(SEARCH("_",D473)),
        IFERROR(_xlfn.AGGREGATE(14,6,$C$12:C472,1),0)+1,
        IFERROR(
            VALUE(TRIM(MID(SUBSTITUTE(D473,"_",REPT(" ",LEN(D473))), (LEN(D473)-LEN(SUBSTITUTE(D473,"_",""))-1)*LEN(D473)+1, LEN(D473))))
            &amp; "." &amp;
            VALUE(TRIM(RIGHT(SUBSTITUTE(D473,"_",REPT(" ",LEN(D473))),LEN(D473)))),
            "")))</f>
        <v/>
      </c>
      <c r="D473" s="158"/>
      <c r="E473" s="159"/>
      <c r="F473" s="159"/>
      <c r="G473" s="159"/>
      <c r="H473" s="159"/>
      <c r="I473" s="158"/>
      <c r="J473" s="158"/>
      <c r="K473" s="159"/>
      <c r="L473" s="160"/>
      <c r="M473" s="159"/>
      <c r="N473" s="159"/>
      <c r="O473" s="161"/>
      <c r="P473" s="162" t="str">
        <f t="shared" si="194"/>
        <v/>
      </c>
      <c r="Q473" s="163" t="str">
        <f t="shared" si="195"/>
        <v/>
      </c>
      <c r="R473" s="164">
        <f t="shared" si="196"/>
        <v>0</v>
      </c>
      <c r="S473" s="165">
        <f t="shared" si="187"/>
        <v>0</v>
      </c>
      <c r="T473" s="165">
        <f t="shared" si="188"/>
        <v>0</v>
      </c>
      <c r="U473" s="166">
        <f t="shared" si="189"/>
        <v>0</v>
      </c>
      <c r="V473" s="153" t="str">
        <f t="shared" si="197"/>
        <v/>
      </c>
      <c r="W473" s="153" t="str">
        <f t="shared" si="198"/>
        <v/>
      </c>
      <c r="X473" s="244"/>
      <c r="Y473" s="154">
        <f t="shared" si="190"/>
        <v>0</v>
      </c>
      <c r="Z473" s="154" t="str">
        <f t="shared" si="186"/>
        <v>1000</v>
      </c>
      <c r="AA473" s="153" t="str">
        <f t="shared" si="199"/>
        <v/>
      </c>
      <c r="AD473" s="155" t="str">
        <f t="shared" si="191"/>
        <v/>
      </c>
      <c r="AI473" s="155">
        <f t="array" ref="AI473">MATCH(MIN(IF($AK$501:$AK$525&gt;=IF(G473&gt;1499,E473+7,E473+5), $AK$501:$AK$525)), $AK$501:$AK$525, 0)</f>
        <v>5</v>
      </c>
      <c r="AK473" s="233"/>
      <c r="AL473" s="233"/>
      <c r="AM473" s="155" t="str">
        <f t="shared" si="200"/>
        <v/>
      </c>
      <c r="AN473" s="155" t="str">
        <f t="shared" si="201"/>
        <v/>
      </c>
      <c r="AX473" s="155" t="str">
        <f t="shared" si="202"/>
        <v/>
      </c>
    </row>
    <row r="474" spans="1:50" s="155" customFormat="1" ht="30" hidden="1" customHeight="1">
      <c r="A474" s="141" t="str">
        <f t="shared" si="192"/>
        <v/>
      </c>
      <c r="B474" s="141" t="str">
        <f t="shared" si="193"/>
        <v/>
      </c>
      <c r="C474" s="157" t="str">
        <f>IF(D474="","",
    IF(ISERR(SEARCH("_",D474)),
        IFERROR(_xlfn.AGGREGATE(14,6,$C$12:C473,1),0)+1,
        IFERROR(
            VALUE(TRIM(MID(SUBSTITUTE(D474,"_",REPT(" ",LEN(D474))), (LEN(D474)-LEN(SUBSTITUTE(D474,"_",""))-1)*LEN(D474)+1, LEN(D474))))
            &amp; "." &amp;
            VALUE(TRIM(RIGHT(SUBSTITUTE(D474,"_",REPT(" ",LEN(D474))),LEN(D474)))),
            "")))</f>
        <v/>
      </c>
      <c r="D474" s="158"/>
      <c r="E474" s="159"/>
      <c r="F474" s="159"/>
      <c r="G474" s="159"/>
      <c r="H474" s="159"/>
      <c r="I474" s="158"/>
      <c r="J474" s="158"/>
      <c r="K474" s="159"/>
      <c r="L474" s="160"/>
      <c r="M474" s="159"/>
      <c r="N474" s="159"/>
      <c r="O474" s="161"/>
      <c r="P474" s="162" t="str">
        <f t="shared" si="194"/>
        <v/>
      </c>
      <c r="Q474" s="163" t="str">
        <f t="shared" si="195"/>
        <v/>
      </c>
      <c r="R474" s="164">
        <f t="shared" si="196"/>
        <v>0</v>
      </c>
      <c r="S474" s="165">
        <f t="shared" si="187"/>
        <v>0</v>
      </c>
      <c r="T474" s="165">
        <f t="shared" si="188"/>
        <v>0</v>
      </c>
      <c r="U474" s="166">
        <f t="shared" si="189"/>
        <v>0</v>
      </c>
      <c r="V474" s="153" t="str">
        <f t="shared" si="197"/>
        <v/>
      </c>
      <c r="W474" s="153" t="str">
        <f t="shared" si="198"/>
        <v/>
      </c>
      <c r="X474" s="244"/>
      <c r="Y474" s="154">
        <f t="shared" si="190"/>
        <v>0</v>
      </c>
      <c r="Z474" s="154" t="str">
        <f t="shared" si="186"/>
        <v>1000</v>
      </c>
      <c r="AA474" s="153" t="str">
        <f t="shared" si="199"/>
        <v/>
      </c>
      <c r="AD474" s="155" t="str">
        <f t="shared" si="191"/>
        <v/>
      </c>
      <c r="AI474" s="155">
        <f t="array" ref="AI474">MATCH(MIN(IF($AK$501:$AK$525&gt;=IF(G474&gt;1499,E474+7,E474+5), $AK$501:$AK$525)), $AK$501:$AK$525, 0)</f>
        <v>5</v>
      </c>
      <c r="AK474" s="233"/>
      <c r="AL474" s="233"/>
      <c r="AM474" s="155" t="str">
        <f t="shared" si="200"/>
        <v/>
      </c>
      <c r="AN474" s="155" t="str">
        <f t="shared" si="201"/>
        <v/>
      </c>
      <c r="AX474" s="155" t="str">
        <f t="shared" si="202"/>
        <v/>
      </c>
    </row>
    <row r="475" spans="1:50" s="155" customFormat="1" ht="30" hidden="1" customHeight="1">
      <c r="A475" s="141" t="str">
        <f t="shared" si="192"/>
        <v/>
      </c>
      <c r="B475" s="141" t="str">
        <f t="shared" si="193"/>
        <v/>
      </c>
      <c r="C475" s="157" t="str">
        <f>IF(D475="","",
    IF(ISERR(SEARCH("_",D475)),
        IFERROR(_xlfn.AGGREGATE(14,6,$C$12:C474,1),0)+1,
        IFERROR(
            VALUE(TRIM(MID(SUBSTITUTE(D475,"_",REPT(" ",LEN(D475))), (LEN(D475)-LEN(SUBSTITUTE(D475,"_",""))-1)*LEN(D475)+1, LEN(D475))))
            &amp; "." &amp;
            VALUE(TRIM(RIGHT(SUBSTITUTE(D475,"_",REPT(" ",LEN(D475))),LEN(D475)))),
            "")))</f>
        <v/>
      </c>
      <c r="D475" s="158"/>
      <c r="E475" s="159"/>
      <c r="F475" s="159"/>
      <c r="G475" s="159"/>
      <c r="H475" s="159"/>
      <c r="I475" s="158"/>
      <c r="J475" s="158"/>
      <c r="K475" s="159"/>
      <c r="L475" s="160"/>
      <c r="M475" s="159"/>
      <c r="N475" s="159"/>
      <c r="O475" s="161"/>
      <c r="P475" s="162" t="str">
        <f t="shared" si="194"/>
        <v/>
      </c>
      <c r="Q475" s="163" t="str">
        <f t="shared" si="195"/>
        <v/>
      </c>
      <c r="R475" s="164">
        <f t="shared" si="196"/>
        <v>0</v>
      </c>
      <c r="S475" s="165">
        <f t="shared" si="187"/>
        <v>0</v>
      </c>
      <c r="T475" s="165">
        <f t="shared" si="188"/>
        <v>0</v>
      </c>
      <c r="U475" s="166">
        <f t="shared" si="189"/>
        <v>0</v>
      </c>
      <c r="V475" s="153" t="str">
        <f t="shared" si="197"/>
        <v/>
      </c>
      <c r="W475" s="153" t="str">
        <f t="shared" si="198"/>
        <v/>
      </c>
      <c r="X475" s="244"/>
      <c r="Y475" s="154">
        <f t="shared" si="190"/>
        <v>0</v>
      </c>
      <c r="Z475" s="154" t="str">
        <f t="shared" si="186"/>
        <v>1000</v>
      </c>
      <c r="AA475" s="153" t="str">
        <f t="shared" si="199"/>
        <v/>
      </c>
      <c r="AD475" s="155" t="str">
        <f t="shared" si="191"/>
        <v/>
      </c>
      <c r="AI475" s="155">
        <f t="array" ref="AI475">MATCH(MIN(IF($AK$501:$AK$525&gt;=IF(G475&gt;1499,E475+7,E475+5), $AK$501:$AK$525)), $AK$501:$AK$525, 0)</f>
        <v>5</v>
      </c>
      <c r="AK475" s="233"/>
      <c r="AL475" s="233"/>
      <c r="AM475" s="155" t="str">
        <f t="shared" si="200"/>
        <v/>
      </c>
      <c r="AN475" s="155" t="str">
        <f t="shared" si="201"/>
        <v/>
      </c>
      <c r="AX475" s="155" t="str">
        <f t="shared" si="202"/>
        <v/>
      </c>
    </row>
    <row r="476" spans="1:50" s="155" customFormat="1" ht="30" hidden="1" customHeight="1">
      <c r="A476" s="141" t="str">
        <f t="shared" si="192"/>
        <v/>
      </c>
      <c r="B476" s="141" t="str">
        <f t="shared" si="193"/>
        <v/>
      </c>
      <c r="C476" s="157" t="str">
        <f>IF(D476="","",
    IF(ISERR(SEARCH("_",D476)),
        IFERROR(_xlfn.AGGREGATE(14,6,$C$12:C475,1),0)+1,
        IFERROR(
            VALUE(TRIM(MID(SUBSTITUTE(D476,"_",REPT(" ",LEN(D476))), (LEN(D476)-LEN(SUBSTITUTE(D476,"_",""))-1)*LEN(D476)+1, LEN(D476))))
            &amp; "." &amp;
            VALUE(TRIM(RIGHT(SUBSTITUTE(D476,"_",REPT(" ",LEN(D476))),LEN(D476)))),
            "")))</f>
        <v/>
      </c>
      <c r="D476" s="158"/>
      <c r="E476" s="159"/>
      <c r="F476" s="159"/>
      <c r="G476" s="159"/>
      <c r="H476" s="159"/>
      <c r="I476" s="158"/>
      <c r="J476" s="158"/>
      <c r="K476" s="159"/>
      <c r="L476" s="160"/>
      <c r="M476" s="159"/>
      <c r="N476" s="159"/>
      <c r="O476" s="161"/>
      <c r="P476" s="162" t="str">
        <f t="shared" si="194"/>
        <v/>
      </c>
      <c r="Q476" s="163" t="str">
        <f t="shared" si="195"/>
        <v/>
      </c>
      <c r="R476" s="164">
        <f t="shared" si="196"/>
        <v>0</v>
      </c>
      <c r="S476" s="165">
        <f t="shared" si="187"/>
        <v>0</v>
      </c>
      <c r="T476" s="165">
        <f t="shared" si="188"/>
        <v>0</v>
      </c>
      <c r="U476" s="166">
        <f t="shared" si="189"/>
        <v>0</v>
      </c>
      <c r="V476" s="153" t="str">
        <f t="shared" si="197"/>
        <v/>
      </c>
      <c r="W476" s="153" t="str">
        <f t="shared" si="198"/>
        <v/>
      </c>
      <c r="X476" s="244"/>
      <c r="Y476" s="154">
        <f t="shared" si="190"/>
        <v>0</v>
      </c>
      <c r="Z476" s="154" t="str">
        <f t="shared" si="186"/>
        <v>1000</v>
      </c>
      <c r="AA476" s="153" t="str">
        <f t="shared" si="199"/>
        <v/>
      </c>
      <c r="AD476" s="155" t="str">
        <f t="shared" si="191"/>
        <v/>
      </c>
      <c r="AI476" s="155">
        <f t="array" ref="AI476">MATCH(MIN(IF($AK$501:$AK$525&gt;=IF(G476&gt;1499,E476+7,E476+5), $AK$501:$AK$525)), $AK$501:$AK$525, 0)</f>
        <v>5</v>
      </c>
      <c r="AK476" s="233"/>
      <c r="AL476" s="233"/>
      <c r="AM476" s="155" t="str">
        <f t="shared" si="200"/>
        <v/>
      </c>
      <c r="AN476" s="155" t="str">
        <f t="shared" si="201"/>
        <v/>
      </c>
      <c r="AX476" s="155" t="str">
        <f t="shared" si="202"/>
        <v/>
      </c>
    </row>
    <row r="477" spans="1:50" s="155" customFormat="1" ht="30" hidden="1" customHeight="1">
      <c r="A477" s="141" t="str">
        <f t="shared" si="192"/>
        <v/>
      </c>
      <c r="B477" s="141" t="str">
        <f t="shared" si="193"/>
        <v/>
      </c>
      <c r="C477" s="157" t="str">
        <f>IF(D477="","",
    IF(ISERR(SEARCH("_",D477)),
        IFERROR(_xlfn.AGGREGATE(14,6,$C$12:C476,1),0)+1,
        IFERROR(
            VALUE(TRIM(MID(SUBSTITUTE(D477,"_",REPT(" ",LEN(D477))), (LEN(D477)-LEN(SUBSTITUTE(D477,"_",""))-1)*LEN(D477)+1, LEN(D477))))
            &amp; "." &amp;
            VALUE(TRIM(RIGHT(SUBSTITUTE(D477,"_",REPT(" ",LEN(D477))),LEN(D477)))),
            "")))</f>
        <v/>
      </c>
      <c r="D477" s="158"/>
      <c r="E477" s="159"/>
      <c r="F477" s="159"/>
      <c r="G477" s="159"/>
      <c r="H477" s="159"/>
      <c r="I477" s="158"/>
      <c r="J477" s="158"/>
      <c r="K477" s="159"/>
      <c r="L477" s="160"/>
      <c r="M477" s="159"/>
      <c r="N477" s="159"/>
      <c r="O477" s="161"/>
      <c r="P477" s="162" t="str">
        <f t="shared" si="194"/>
        <v/>
      </c>
      <c r="Q477" s="163" t="str">
        <f t="shared" si="195"/>
        <v/>
      </c>
      <c r="R477" s="164">
        <f t="shared" si="196"/>
        <v>0</v>
      </c>
      <c r="S477" s="165">
        <f t="shared" si="187"/>
        <v>0</v>
      </c>
      <c r="T477" s="165">
        <f t="shared" si="188"/>
        <v>0</v>
      </c>
      <c r="U477" s="166">
        <f t="shared" si="189"/>
        <v>0</v>
      </c>
      <c r="V477" s="153" t="str">
        <f t="shared" si="197"/>
        <v/>
      </c>
      <c r="W477" s="153" t="str">
        <f t="shared" si="198"/>
        <v/>
      </c>
      <c r="X477" s="244"/>
      <c r="Y477" s="154">
        <f t="shared" si="190"/>
        <v>0</v>
      </c>
      <c r="Z477" s="154" t="str">
        <f t="shared" si="186"/>
        <v>1000</v>
      </c>
      <c r="AA477" s="153" t="str">
        <f t="shared" si="199"/>
        <v/>
      </c>
      <c r="AD477" s="155" t="str">
        <f t="shared" si="191"/>
        <v/>
      </c>
      <c r="AI477" s="155">
        <f t="array" ref="AI477">MATCH(MIN(IF($AK$501:$AK$525&gt;=IF(G477&gt;1499,E477+7,E477+5), $AK$501:$AK$525)), $AK$501:$AK$525, 0)</f>
        <v>5</v>
      </c>
      <c r="AK477" s="233"/>
      <c r="AL477" s="233"/>
      <c r="AM477" s="155" t="str">
        <f t="shared" si="200"/>
        <v/>
      </c>
      <c r="AN477" s="155" t="str">
        <f t="shared" si="201"/>
        <v/>
      </c>
      <c r="AX477" s="155" t="str">
        <f t="shared" si="202"/>
        <v/>
      </c>
    </row>
    <row r="478" spans="1:50" s="155" customFormat="1" ht="30" hidden="1" customHeight="1">
      <c r="A478" s="141" t="str">
        <f t="shared" si="192"/>
        <v/>
      </c>
      <c r="B478" s="141" t="str">
        <f t="shared" si="193"/>
        <v/>
      </c>
      <c r="C478" s="157" t="str">
        <f>IF(D478="","",
    IF(ISERR(SEARCH("_",D478)),
        IFERROR(_xlfn.AGGREGATE(14,6,$C$12:C477,1),0)+1,
        IFERROR(
            VALUE(TRIM(MID(SUBSTITUTE(D478,"_",REPT(" ",LEN(D478))), (LEN(D478)-LEN(SUBSTITUTE(D478,"_",""))-1)*LEN(D478)+1, LEN(D478))))
            &amp; "." &amp;
            VALUE(TRIM(RIGHT(SUBSTITUTE(D478,"_",REPT(" ",LEN(D478))),LEN(D478)))),
            "")))</f>
        <v/>
      </c>
      <c r="D478" s="158"/>
      <c r="E478" s="159"/>
      <c r="F478" s="159"/>
      <c r="G478" s="159"/>
      <c r="H478" s="159"/>
      <c r="I478" s="158"/>
      <c r="J478" s="158"/>
      <c r="K478" s="159"/>
      <c r="L478" s="160"/>
      <c r="M478" s="159"/>
      <c r="N478" s="159"/>
      <c r="O478" s="161"/>
      <c r="P478" s="162" t="str">
        <f t="shared" si="194"/>
        <v/>
      </c>
      <c r="Q478" s="163" t="str">
        <f t="shared" si="195"/>
        <v/>
      </c>
      <c r="R478" s="164">
        <f t="shared" si="196"/>
        <v>0</v>
      </c>
      <c r="S478" s="165">
        <f t="shared" si="187"/>
        <v>0</v>
      </c>
      <c r="T478" s="165">
        <f t="shared" si="188"/>
        <v>0</v>
      </c>
      <c r="U478" s="166">
        <f t="shared" si="189"/>
        <v>0</v>
      </c>
      <c r="V478" s="153" t="str">
        <f t="shared" si="197"/>
        <v/>
      </c>
      <c r="W478" s="153" t="str">
        <f t="shared" si="198"/>
        <v/>
      </c>
      <c r="X478" s="244"/>
      <c r="Y478" s="154">
        <f t="shared" si="190"/>
        <v>0</v>
      </c>
      <c r="Z478" s="154" t="str">
        <f t="shared" si="186"/>
        <v>1000</v>
      </c>
      <c r="AA478" s="153" t="str">
        <f t="shared" si="199"/>
        <v/>
      </c>
      <c r="AD478" s="155" t="str">
        <f t="shared" si="191"/>
        <v/>
      </c>
      <c r="AI478" s="155">
        <f t="array" ref="AI478">MATCH(MIN(IF($AK$501:$AK$525&gt;=IF(G478&gt;1499,E478+7,E478+5), $AK$501:$AK$525)), $AK$501:$AK$525, 0)</f>
        <v>5</v>
      </c>
      <c r="AK478" s="233"/>
      <c r="AL478" s="233"/>
      <c r="AM478" s="155" t="str">
        <f t="shared" si="200"/>
        <v/>
      </c>
      <c r="AN478" s="155" t="str">
        <f t="shared" si="201"/>
        <v/>
      </c>
      <c r="AX478" s="155" t="str">
        <f t="shared" si="202"/>
        <v/>
      </c>
    </row>
    <row r="479" spans="1:50" s="155" customFormat="1" ht="30" hidden="1" customHeight="1">
      <c r="A479" s="141" t="str">
        <f t="shared" si="192"/>
        <v/>
      </c>
      <c r="B479" s="141" t="str">
        <f t="shared" si="193"/>
        <v/>
      </c>
      <c r="C479" s="157" t="str">
        <f>IF(D479="","",
    IF(ISERR(SEARCH("_",D479)),
        IFERROR(_xlfn.AGGREGATE(14,6,$C$12:C478,1),0)+1,
        IFERROR(
            VALUE(TRIM(MID(SUBSTITUTE(D479,"_",REPT(" ",LEN(D479))), (LEN(D479)-LEN(SUBSTITUTE(D479,"_",""))-1)*LEN(D479)+1, LEN(D479))))
            &amp; "." &amp;
            VALUE(TRIM(RIGHT(SUBSTITUTE(D479,"_",REPT(" ",LEN(D479))),LEN(D479)))),
            "")))</f>
        <v/>
      </c>
      <c r="D479" s="158"/>
      <c r="E479" s="159"/>
      <c r="F479" s="159"/>
      <c r="G479" s="159"/>
      <c r="H479" s="159"/>
      <c r="I479" s="158"/>
      <c r="J479" s="158"/>
      <c r="K479" s="159"/>
      <c r="L479" s="160"/>
      <c r="M479" s="159"/>
      <c r="N479" s="159"/>
      <c r="O479" s="161"/>
      <c r="P479" s="162" t="str">
        <f t="shared" si="194"/>
        <v/>
      </c>
      <c r="Q479" s="163" t="str">
        <f t="shared" si="195"/>
        <v/>
      </c>
      <c r="R479" s="164">
        <f t="shared" si="196"/>
        <v>0</v>
      </c>
      <c r="S479" s="165">
        <f t="shared" si="187"/>
        <v>0</v>
      </c>
      <c r="T479" s="165">
        <f t="shared" si="188"/>
        <v>0</v>
      </c>
      <c r="U479" s="166">
        <f t="shared" si="189"/>
        <v>0</v>
      </c>
      <c r="V479" s="153" t="str">
        <f t="shared" si="197"/>
        <v/>
      </c>
      <c r="W479" s="153" t="str">
        <f t="shared" si="198"/>
        <v/>
      </c>
      <c r="X479" s="244"/>
      <c r="Y479" s="154">
        <f t="shared" si="190"/>
        <v>0</v>
      </c>
      <c r="Z479" s="154" t="str">
        <f t="shared" si="186"/>
        <v>1000</v>
      </c>
      <c r="AA479" s="153" t="str">
        <f t="shared" si="199"/>
        <v/>
      </c>
      <c r="AD479" s="155" t="str">
        <f t="shared" si="191"/>
        <v/>
      </c>
      <c r="AI479" s="155">
        <f t="array" ref="AI479">MATCH(MIN(IF($AK$501:$AK$525&gt;=IF(G479&gt;1499,E479+7,E479+5), $AK$501:$AK$525)), $AK$501:$AK$525, 0)</f>
        <v>5</v>
      </c>
      <c r="AK479" s="233"/>
      <c r="AL479" s="233"/>
      <c r="AM479" s="155" t="str">
        <f t="shared" si="200"/>
        <v/>
      </c>
      <c r="AN479" s="155" t="str">
        <f t="shared" si="201"/>
        <v/>
      </c>
      <c r="AX479" s="155" t="str">
        <f t="shared" si="202"/>
        <v/>
      </c>
    </row>
    <row r="480" spans="1:50" s="155" customFormat="1" ht="30" hidden="1" customHeight="1">
      <c r="A480" s="141" t="str">
        <f t="shared" si="192"/>
        <v/>
      </c>
      <c r="B480" s="141" t="str">
        <f t="shared" si="193"/>
        <v/>
      </c>
      <c r="C480" s="157" t="str">
        <f>IF(D480="","",
    IF(ISERR(SEARCH("_",D480)),
        IFERROR(_xlfn.AGGREGATE(14,6,$C$12:C479,1),0)+1,
        IFERROR(
            VALUE(TRIM(MID(SUBSTITUTE(D480,"_",REPT(" ",LEN(D480))), (LEN(D480)-LEN(SUBSTITUTE(D480,"_",""))-1)*LEN(D480)+1, LEN(D480))))
            &amp; "." &amp;
            VALUE(TRIM(RIGHT(SUBSTITUTE(D480,"_",REPT(" ",LEN(D480))),LEN(D480)))),
            "")))</f>
        <v/>
      </c>
      <c r="D480" s="158"/>
      <c r="E480" s="159"/>
      <c r="F480" s="159"/>
      <c r="G480" s="159"/>
      <c r="H480" s="159"/>
      <c r="I480" s="158"/>
      <c r="J480" s="158"/>
      <c r="K480" s="159"/>
      <c r="L480" s="160"/>
      <c r="M480" s="159"/>
      <c r="N480" s="159"/>
      <c r="O480" s="161"/>
      <c r="P480" s="162" t="str">
        <f t="shared" si="194"/>
        <v/>
      </c>
      <c r="Q480" s="163" t="str">
        <f t="shared" si="195"/>
        <v/>
      </c>
      <c r="R480" s="164">
        <f t="shared" si="196"/>
        <v>0</v>
      </c>
      <c r="S480" s="165">
        <f t="shared" si="187"/>
        <v>0</v>
      </c>
      <c r="T480" s="165">
        <f t="shared" si="188"/>
        <v>0</v>
      </c>
      <c r="U480" s="166">
        <f t="shared" si="189"/>
        <v>0</v>
      </c>
      <c r="V480" s="153" t="str">
        <f t="shared" si="197"/>
        <v/>
      </c>
      <c r="W480" s="153" t="str">
        <f t="shared" si="198"/>
        <v/>
      </c>
      <c r="X480" s="244"/>
      <c r="Y480" s="154">
        <f t="shared" si="190"/>
        <v>0</v>
      </c>
      <c r="Z480" s="154" t="str">
        <f t="shared" si="186"/>
        <v>1000</v>
      </c>
      <c r="AA480" s="153" t="str">
        <f t="shared" si="199"/>
        <v/>
      </c>
      <c r="AD480" s="155" t="str">
        <f t="shared" si="191"/>
        <v/>
      </c>
      <c r="AI480" s="155">
        <f t="array" ref="AI480">MATCH(MIN(IF($AK$501:$AK$525&gt;=IF(G480&gt;1499,E480+7,E480+5), $AK$501:$AK$525)), $AK$501:$AK$525, 0)</f>
        <v>5</v>
      </c>
      <c r="AK480" s="233"/>
      <c r="AL480" s="233"/>
      <c r="AM480" s="155" t="str">
        <f t="shared" si="200"/>
        <v/>
      </c>
      <c r="AN480" s="155" t="str">
        <f t="shared" si="201"/>
        <v/>
      </c>
      <c r="AX480" s="155" t="str">
        <f t="shared" si="202"/>
        <v/>
      </c>
    </row>
    <row r="481" spans="1:50" s="155" customFormat="1" ht="30" hidden="1" customHeight="1">
      <c r="A481" s="141" t="str">
        <f t="shared" si="192"/>
        <v/>
      </c>
      <c r="B481" s="141" t="str">
        <f t="shared" si="193"/>
        <v/>
      </c>
      <c r="C481" s="157" t="str">
        <f>IF(D481="","",
    IF(ISERR(SEARCH("_",D481)),
        IFERROR(_xlfn.AGGREGATE(14,6,$C$12:C480,1),0)+1,
        IFERROR(
            VALUE(TRIM(MID(SUBSTITUTE(D481,"_",REPT(" ",LEN(D481))), (LEN(D481)-LEN(SUBSTITUTE(D481,"_",""))-1)*LEN(D481)+1, LEN(D481))))
            &amp; "." &amp;
            VALUE(TRIM(RIGHT(SUBSTITUTE(D481,"_",REPT(" ",LEN(D481))),LEN(D481)))),
            "")))</f>
        <v/>
      </c>
      <c r="D481" s="158"/>
      <c r="E481" s="159"/>
      <c r="F481" s="159"/>
      <c r="G481" s="159"/>
      <c r="H481" s="159"/>
      <c r="I481" s="158"/>
      <c r="J481" s="158"/>
      <c r="K481" s="159"/>
      <c r="L481" s="160"/>
      <c r="M481" s="159"/>
      <c r="N481" s="159"/>
      <c r="O481" s="161"/>
      <c r="P481" s="162" t="str">
        <f t="shared" si="194"/>
        <v/>
      </c>
      <c r="Q481" s="163" t="str">
        <f t="shared" si="195"/>
        <v/>
      </c>
      <c r="R481" s="164">
        <f t="shared" si="196"/>
        <v>0</v>
      </c>
      <c r="S481" s="165">
        <f t="shared" si="187"/>
        <v>0</v>
      </c>
      <c r="T481" s="165">
        <f t="shared" si="188"/>
        <v>0</v>
      </c>
      <c r="U481" s="166">
        <f t="shared" si="189"/>
        <v>0</v>
      </c>
      <c r="V481" s="153" t="str">
        <f t="shared" si="197"/>
        <v/>
      </c>
      <c r="W481" s="153" t="str">
        <f t="shared" si="198"/>
        <v/>
      </c>
      <c r="X481" s="244"/>
      <c r="Y481" s="154">
        <f t="shared" si="190"/>
        <v>0</v>
      </c>
      <c r="Z481" s="154" t="str">
        <f t="shared" si="186"/>
        <v>1000</v>
      </c>
      <c r="AA481" s="153" t="str">
        <f t="shared" si="199"/>
        <v/>
      </c>
      <c r="AD481" s="155" t="str">
        <f t="shared" si="191"/>
        <v/>
      </c>
      <c r="AI481" s="155">
        <f t="array" ref="AI481">MATCH(MIN(IF($AK$501:$AK$525&gt;=IF(G481&gt;1499,E481+7,E481+5), $AK$501:$AK$525)), $AK$501:$AK$525, 0)</f>
        <v>5</v>
      </c>
      <c r="AK481" s="233"/>
      <c r="AL481" s="233"/>
      <c r="AM481" s="155" t="str">
        <f t="shared" si="200"/>
        <v/>
      </c>
      <c r="AN481" s="155" t="str">
        <f t="shared" si="201"/>
        <v/>
      </c>
      <c r="AX481" s="155" t="str">
        <f t="shared" si="202"/>
        <v/>
      </c>
    </row>
    <row r="482" spans="1:50" s="155" customFormat="1" ht="30" hidden="1" customHeight="1">
      <c r="A482" s="141" t="str">
        <f t="shared" si="192"/>
        <v/>
      </c>
      <c r="B482" s="141" t="str">
        <f t="shared" si="193"/>
        <v/>
      </c>
      <c r="C482" s="157" t="str">
        <f>IF(D482="","",
    IF(ISERR(SEARCH("_",D482)),
        IFERROR(_xlfn.AGGREGATE(14,6,$C$12:C481,1),0)+1,
        IFERROR(
            VALUE(TRIM(MID(SUBSTITUTE(D482,"_",REPT(" ",LEN(D482))), (LEN(D482)-LEN(SUBSTITUTE(D482,"_",""))-1)*LEN(D482)+1, LEN(D482))))
            &amp; "." &amp;
            VALUE(TRIM(RIGHT(SUBSTITUTE(D482,"_",REPT(" ",LEN(D482))),LEN(D482)))),
            "")))</f>
        <v/>
      </c>
      <c r="D482" s="158"/>
      <c r="E482" s="159"/>
      <c r="F482" s="159"/>
      <c r="G482" s="159"/>
      <c r="H482" s="159"/>
      <c r="I482" s="158"/>
      <c r="J482" s="158"/>
      <c r="K482" s="159"/>
      <c r="L482" s="160"/>
      <c r="M482" s="159"/>
      <c r="N482" s="159"/>
      <c r="O482" s="161"/>
      <c r="P482" s="162" t="str">
        <f t="shared" si="194"/>
        <v/>
      </c>
      <c r="Q482" s="163" t="str">
        <f t="shared" si="195"/>
        <v/>
      </c>
      <c r="R482" s="164">
        <f t="shared" si="196"/>
        <v>0</v>
      </c>
      <c r="S482" s="165">
        <f t="shared" si="187"/>
        <v>0</v>
      </c>
      <c r="T482" s="165">
        <f t="shared" si="188"/>
        <v>0</v>
      </c>
      <c r="U482" s="166">
        <f t="shared" si="189"/>
        <v>0</v>
      </c>
      <c r="V482" s="153" t="str">
        <f t="shared" si="197"/>
        <v/>
      </c>
      <c r="W482" s="153" t="str">
        <f t="shared" si="198"/>
        <v/>
      </c>
      <c r="X482" s="244"/>
      <c r="Y482" s="154">
        <f t="shared" si="190"/>
        <v>0</v>
      </c>
      <c r="Z482" s="154" t="str">
        <f t="shared" si="186"/>
        <v>1000</v>
      </c>
      <c r="AA482" s="153" t="str">
        <f t="shared" si="199"/>
        <v/>
      </c>
      <c r="AD482" s="155" t="str">
        <f t="shared" si="191"/>
        <v/>
      </c>
      <c r="AI482" s="155">
        <f t="array" ref="AI482">MATCH(MIN(IF($AK$501:$AK$525&gt;=IF(G482&gt;1499,E482+7,E482+5), $AK$501:$AK$525)), $AK$501:$AK$525, 0)</f>
        <v>5</v>
      </c>
      <c r="AK482" s="233"/>
      <c r="AL482" s="233"/>
      <c r="AM482" s="155" t="str">
        <f t="shared" si="200"/>
        <v/>
      </c>
      <c r="AN482" s="155" t="str">
        <f t="shared" si="201"/>
        <v/>
      </c>
      <c r="AX482" s="155" t="str">
        <f t="shared" si="202"/>
        <v/>
      </c>
    </row>
    <row r="483" spans="1:50" s="155" customFormat="1" ht="30" customHeight="1">
      <c r="A483" s="141" t="str">
        <f t="shared" si="2"/>
        <v>DC113B(EI60)</v>
      </c>
      <c r="B483" s="141" t="str">
        <f t="shared" si="3"/>
        <v>Muc 9.1</v>
      </c>
      <c r="C483" s="167" t="s">
        <v>15</v>
      </c>
      <c r="D483" s="143" t="s">
        <v>56</v>
      </c>
      <c r="E483" s="144"/>
      <c r="F483" s="144"/>
      <c r="G483" s="144"/>
      <c r="H483" s="144"/>
      <c r="I483" s="168"/>
      <c r="J483" s="168"/>
      <c r="K483" s="144"/>
      <c r="L483" s="146"/>
      <c r="M483" s="146"/>
      <c r="N483" s="146"/>
      <c r="O483" s="147"/>
      <c r="P483" s="148"/>
      <c r="Q483" s="149"/>
      <c r="R483" s="150"/>
      <c r="S483" s="151"/>
      <c r="T483" s="151"/>
      <c r="U483" s="152"/>
      <c r="V483" s="153">
        <f t="shared" si="5"/>
        <v>6</v>
      </c>
      <c r="W483" s="153" t="str">
        <f t="shared" si="6"/>
        <v>IN</v>
      </c>
      <c r="X483" s="154"/>
      <c r="Y483" s="153"/>
      <c r="Z483" s="154"/>
      <c r="AK483" s="233"/>
      <c r="AL483" s="233"/>
      <c r="AX483" s="155" t="str">
        <f t="shared" ref="AX483:AX499" si="203">W483</f>
        <v>IN</v>
      </c>
    </row>
    <row r="484" spans="1:50" s="155" customFormat="1" ht="30" hidden="1" customHeight="1">
      <c r="A484" s="141" t="str">
        <f t="shared" si="2"/>
        <v/>
      </c>
      <c r="B484" s="141" t="str">
        <f t="shared" si="3"/>
        <v/>
      </c>
      <c r="C484" s="169"/>
      <c r="D484" s="170"/>
      <c r="E484" s="171"/>
      <c r="F484" s="171"/>
      <c r="G484" s="171"/>
      <c r="H484" s="171"/>
      <c r="I484" s="172"/>
      <c r="J484" s="172"/>
      <c r="K484" s="171"/>
      <c r="L484" s="173"/>
      <c r="M484" s="171"/>
      <c r="N484" s="171"/>
      <c r="O484" s="174"/>
      <c r="P484" s="175"/>
      <c r="Q484" s="176"/>
      <c r="R484" s="164">
        <f t="shared" ref="R484:R486" si="204">IF(OR(Q484="Con",Q484="Cụm",Q484="Hệ",Q484="Thanh"),H484,IF(Q484="Tấm",(F484*G484*H484)/(1600*2000),IF(Q484="Md",G484*H484/1000,IF(Q484="M2",F484*G484*H484/10^6,IF(Q484="M3",E484*F484*G484*H484/10^9,0)))))</f>
        <v>0</v>
      </c>
      <c r="S484" s="165">
        <f t="shared" ref="S484:S486" si="205">IF(ISERR(SEARCH("2d",K484)),IF(ISERR(SEARCH("1d",K484)),0,1),2)*($G484+80)*$H484/10^3+IF(ISERR(SEARCH("2n",K484)),IF(ISERR(SEARCH("1n",K484)),0,1),2)*($F484+80)*$H484/10^3</f>
        <v>0</v>
      </c>
      <c r="T484" s="165">
        <f t="shared" ref="T484:U486" si="206">IF(ISERR(SEARCH("2m",M484)),IF(ISERR(SEARCH("1m",M484)),0,1),2)*$G484*$F484*$H484/10^6+IF(ISERR(SEARCH("2d",M484)),IF(ISERR(SEARCH("1d",M484)),0,1),2)*$G484*$E484*$H484/10^6+IF(ISERR(SEARCH("2n",M484)),IF(ISERR(SEARCH("1n",M484)),0,1),2)*$F484*$E484*$H484/10^6</f>
        <v>0</v>
      </c>
      <c r="U484" s="166">
        <f t="shared" si="206"/>
        <v>0</v>
      </c>
      <c r="V484" s="153" t="str">
        <f t="shared" si="5"/>
        <v/>
      </c>
      <c r="W484" s="153" t="str">
        <f t="shared" si="6"/>
        <v/>
      </c>
      <c r="X484" s="154"/>
      <c r="Y484" s="153"/>
      <c r="Z484" s="154"/>
      <c r="AK484" s="233"/>
      <c r="AL484" s="233"/>
      <c r="AX484" s="155" t="str">
        <f t="shared" si="203"/>
        <v/>
      </c>
    </row>
    <row r="485" spans="1:50" s="155" customFormat="1" ht="30" hidden="1" customHeight="1">
      <c r="A485" s="141" t="str">
        <f t="shared" si="2"/>
        <v/>
      </c>
      <c r="B485" s="141" t="str">
        <f t="shared" si="3"/>
        <v/>
      </c>
      <c r="C485" s="169"/>
      <c r="D485" s="170"/>
      <c r="E485" s="171"/>
      <c r="F485" s="171"/>
      <c r="G485" s="171"/>
      <c r="H485" s="171"/>
      <c r="I485" s="172"/>
      <c r="J485" s="172"/>
      <c r="K485" s="171"/>
      <c r="L485" s="173"/>
      <c r="M485" s="171"/>
      <c r="N485" s="171"/>
      <c r="O485" s="174"/>
      <c r="P485" s="175"/>
      <c r="Q485" s="176"/>
      <c r="R485" s="164">
        <f t="shared" si="204"/>
        <v>0</v>
      </c>
      <c r="S485" s="165">
        <f t="shared" si="205"/>
        <v>0</v>
      </c>
      <c r="T485" s="165">
        <f t="shared" si="206"/>
        <v>0</v>
      </c>
      <c r="U485" s="166">
        <f t="shared" si="206"/>
        <v>0</v>
      </c>
      <c r="V485" s="153" t="str">
        <f t="shared" si="5"/>
        <v/>
      </c>
      <c r="W485" s="153" t="str">
        <f t="shared" si="6"/>
        <v/>
      </c>
      <c r="X485" s="154"/>
      <c r="Y485" s="153"/>
      <c r="Z485" s="154"/>
      <c r="AK485" s="233"/>
      <c r="AL485" s="233"/>
      <c r="AX485" s="155" t="str">
        <f t="shared" si="203"/>
        <v/>
      </c>
    </row>
    <row r="486" spans="1:50" s="155" customFormat="1" ht="30" hidden="1" customHeight="1">
      <c r="A486" s="141" t="str">
        <f t="shared" si="2"/>
        <v/>
      </c>
      <c r="B486" s="141" t="str">
        <f t="shared" si="3"/>
        <v/>
      </c>
      <c r="C486" s="169"/>
      <c r="D486" s="170"/>
      <c r="E486" s="171"/>
      <c r="F486" s="171"/>
      <c r="G486" s="171"/>
      <c r="H486" s="171"/>
      <c r="I486" s="172"/>
      <c r="J486" s="172"/>
      <c r="K486" s="171"/>
      <c r="L486" s="173"/>
      <c r="M486" s="171"/>
      <c r="N486" s="171"/>
      <c r="O486" s="174"/>
      <c r="P486" s="175"/>
      <c r="Q486" s="176"/>
      <c r="R486" s="164">
        <f t="shared" si="204"/>
        <v>0</v>
      </c>
      <c r="S486" s="165">
        <f t="shared" si="205"/>
        <v>0</v>
      </c>
      <c r="T486" s="165">
        <f t="shared" si="206"/>
        <v>0</v>
      </c>
      <c r="U486" s="166">
        <f t="shared" si="206"/>
        <v>0</v>
      </c>
      <c r="V486" s="153" t="str">
        <f t="shared" si="5"/>
        <v/>
      </c>
      <c r="W486" s="153" t="str">
        <f t="shared" si="6"/>
        <v/>
      </c>
      <c r="X486" s="154"/>
      <c r="Y486" s="153"/>
      <c r="Z486" s="154"/>
      <c r="AK486" s="233"/>
      <c r="AL486" s="233"/>
      <c r="AX486" s="155" t="str">
        <f t="shared" si="203"/>
        <v/>
      </c>
    </row>
    <row r="487" spans="1:50" s="155" customFormat="1" ht="30" hidden="1" customHeight="1">
      <c r="A487" s="141" t="str">
        <f t="shared" si="2"/>
        <v/>
      </c>
      <c r="B487" s="141" t="str">
        <f t="shared" si="3"/>
        <v/>
      </c>
      <c r="C487" s="177"/>
      <c r="D487" s="170"/>
      <c r="E487" s="171"/>
      <c r="F487" s="171"/>
      <c r="G487" s="171"/>
      <c r="H487" s="171"/>
      <c r="I487" s="172"/>
      <c r="J487" s="172"/>
      <c r="K487" s="171"/>
      <c r="L487" s="173"/>
      <c r="M487" s="171"/>
      <c r="N487" s="171"/>
      <c r="O487" s="174"/>
      <c r="P487" s="175"/>
      <c r="Q487" s="176"/>
      <c r="R487" s="164">
        <f t="shared" ref="R487" si="207">IF(OR(Q487="Con",Q487="Cụm",Q487="Hệ",Q487="Thanh"),H487,IF(Q487="Tấm",(F487*G487*H487)/(1600*2000),IF(Q487="Md",G487*H487/1000,IF(Q487="M2",F487*G487*H487/10^6,IF(Q487="M3",E487*F487*G487*H487/10^9,0)))))</f>
        <v>0</v>
      </c>
      <c r="S487" s="165">
        <f t="shared" ref="S487" si="208">IF(ISERR(SEARCH("2d",K487)),IF(ISERR(SEARCH("1d",K487)),0,1),2)*($G487+80)*$H487/10^3+IF(ISERR(SEARCH("2n",K487)),IF(ISERR(SEARCH("1n",K487)),0,1),2)*($F487+80)*$H487/10^3</f>
        <v>0</v>
      </c>
      <c r="T487" s="165">
        <f t="shared" ref="T487:U487" si="209">IF(ISERR(SEARCH("2m",M487)),IF(ISERR(SEARCH("1m",M487)),0,1),2)*$G487*$F487*$H487/10^6+IF(ISERR(SEARCH("2d",M487)),IF(ISERR(SEARCH("1d",M487)),0,1),2)*$G487*$E487*$H487/10^6+IF(ISERR(SEARCH("2n",M487)),IF(ISERR(SEARCH("1n",M487)),0,1),2)*$F487*$E487*$H487/10^6</f>
        <v>0</v>
      </c>
      <c r="U487" s="166">
        <f t="shared" si="209"/>
        <v>0</v>
      </c>
      <c r="V487" s="153" t="str">
        <f t="shared" si="5"/>
        <v/>
      </c>
      <c r="W487" s="153" t="str">
        <f t="shared" si="6"/>
        <v/>
      </c>
      <c r="X487" s="154"/>
      <c r="Y487" s="153"/>
      <c r="Z487" s="154"/>
      <c r="AK487" s="233"/>
      <c r="AL487" s="233"/>
      <c r="AX487" s="155" t="str">
        <f t="shared" si="203"/>
        <v/>
      </c>
    </row>
    <row r="488" spans="1:50" s="155" customFormat="1" ht="30" customHeight="1">
      <c r="A488" s="141" t="str">
        <f t="shared" si="2"/>
        <v>DC113B(EI60)</v>
      </c>
      <c r="B488" s="141" t="str">
        <f t="shared" si="3"/>
        <v>Muc 9.1</v>
      </c>
      <c r="C488" s="167" t="s">
        <v>39</v>
      </c>
      <c r="D488" s="143" t="s">
        <v>70</v>
      </c>
      <c r="E488" s="144"/>
      <c r="F488" s="144"/>
      <c r="G488" s="144"/>
      <c r="H488" s="144"/>
      <c r="I488" s="168"/>
      <c r="J488" s="168"/>
      <c r="K488" s="144"/>
      <c r="L488" s="146"/>
      <c r="M488" s="146"/>
      <c r="N488" s="146"/>
      <c r="O488" s="147"/>
      <c r="P488" s="148"/>
      <c r="Q488" s="149"/>
      <c r="R488" s="150"/>
      <c r="S488" s="151"/>
      <c r="T488" s="151"/>
      <c r="U488" s="152"/>
      <c r="V488" s="153">
        <f t="shared" si="5"/>
        <v>6</v>
      </c>
      <c r="W488" s="153" t="str">
        <f t="shared" si="6"/>
        <v>IN</v>
      </c>
      <c r="X488" s="154"/>
      <c r="Y488" s="153"/>
      <c r="Z488" s="154"/>
      <c r="AK488" s="233"/>
      <c r="AL488" s="233"/>
      <c r="AX488" s="155" t="str">
        <f t="shared" si="203"/>
        <v>IN</v>
      </c>
    </row>
    <row r="489" spans="1:50" s="155" customFormat="1" ht="30" hidden="1" customHeight="1">
      <c r="A489" s="141" t="str">
        <f t="shared" si="2"/>
        <v/>
      </c>
      <c r="B489" s="141" t="str">
        <f t="shared" si="3"/>
        <v/>
      </c>
      <c r="C489" s="178"/>
      <c r="D489" s="158"/>
      <c r="E489" s="159"/>
      <c r="F489" s="159">
        <v>300</v>
      </c>
      <c r="G489" s="159">
        <v>300</v>
      </c>
      <c r="H489" s="159">
        <v>1</v>
      </c>
      <c r="I489" s="158"/>
      <c r="J489" s="158"/>
      <c r="K489" s="159"/>
      <c r="L489" s="160"/>
      <c r="M489" s="159"/>
      <c r="N489" s="159"/>
      <c r="O489" s="161"/>
      <c r="P489" s="162"/>
      <c r="Q489" s="163" t="s">
        <v>74</v>
      </c>
      <c r="R489" s="179" t="str">
        <f>IF($Q$489="SF",(F489*G489*H489)*10^-6*1.5*10.764,"")</f>
        <v/>
      </c>
      <c r="S489" s="165">
        <f t="shared" ref="S489" si="210">IF(ISERR(SEARCH("2d",K489)),IF(ISERR(SEARCH("1d",K489)),0,1),2)*($G489+80)*$H489/10^3+IF(ISERR(SEARCH("2n",K489)),IF(ISERR(SEARCH("1n",K489)),0,1),2)*($F489+80)*$H489/10^3</f>
        <v>0</v>
      </c>
      <c r="T489" s="165">
        <f t="shared" ref="T489:U489" si="211">IF(ISERR(SEARCH("2m",M489)),IF(ISERR(SEARCH("1m",M489)),0,1),2)*$G489*$F489*$H489/10^6+IF(ISERR(SEARCH("2d",M489)),IF(ISERR(SEARCH("1d",M489)),0,1),2)*$G489*$E489*$H489/10^6+IF(ISERR(SEARCH("2n",M489)),IF(ISERR(SEARCH("1n",M489)),0,1),2)*$F489*$E489*$H489/10^6</f>
        <v>0</v>
      </c>
      <c r="U489" s="166">
        <f t="shared" si="211"/>
        <v>0</v>
      </c>
      <c r="V489" s="153" t="str">
        <f t="shared" si="5"/>
        <v/>
      </c>
      <c r="W489" s="153" t="str">
        <f t="shared" si="6"/>
        <v/>
      </c>
      <c r="X489" s="154"/>
      <c r="Y489" s="153"/>
      <c r="Z489" s="154"/>
      <c r="AK489" s="233"/>
      <c r="AL489" s="233"/>
      <c r="AX489" s="155" t="str">
        <f t="shared" si="203"/>
        <v/>
      </c>
    </row>
    <row r="490" spans="1:50" s="155" customFormat="1" ht="30" hidden="1" customHeight="1">
      <c r="A490" s="141" t="str">
        <f t="shared" si="2"/>
        <v/>
      </c>
      <c r="B490" s="141" t="str">
        <f t="shared" si="3"/>
        <v/>
      </c>
      <c r="C490" s="180"/>
      <c r="D490" s="181"/>
      <c r="E490" s="182"/>
      <c r="F490" s="182"/>
      <c r="G490" s="182"/>
      <c r="H490" s="182"/>
      <c r="I490" s="181"/>
      <c r="J490" s="158"/>
      <c r="K490" s="159"/>
      <c r="L490" s="160"/>
      <c r="M490" s="159"/>
      <c r="N490" s="159"/>
      <c r="O490" s="161"/>
      <c r="P490" s="162"/>
      <c r="Q490" s="163"/>
      <c r="R490" s="164"/>
      <c r="S490" s="165">
        <f t="shared" ref="S490" si="212">IF(ISERR(SEARCH("2d",K490)),IF(ISERR(SEARCH("1d",K490)),0,1),2)*($G490+80)*$H490/10^3+IF(ISERR(SEARCH("2n",K490)),IF(ISERR(SEARCH("1n",K490)),0,1),2)*($F490+80)*$H490/10^3</f>
        <v>0</v>
      </c>
      <c r="T490" s="165">
        <f t="shared" ref="T490" si="213">IF(ISERR(SEARCH("2m",M490)),IF(ISERR(SEARCH("1m",M490)),0,1),2)*$G490*$F490*$H490/10^6+IF(ISERR(SEARCH("2d",M490)),IF(ISERR(SEARCH("1d",M490)),0,1),2)*$G490*$E490*$H490/10^6+IF(ISERR(SEARCH("2n",M490)),IF(ISERR(SEARCH("1n",M490)),0,1),2)*$F490*$E490*$H490/10^6</f>
        <v>0</v>
      </c>
      <c r="U490" s="166">
        <f t="shared" ref="U490" si="214">IF(ISERR(SEARCH("2m",N490)),IF(ISERR(SEARCH("1m",N490)),0,1),2)*$G490*$F490*$H490/10^6+IF(ISERR(SEARCH("2d",N490)),IF(ISERR(SEARCH("1d",N490)),0,1),2)*$G490*$E490*$H490/10^6+IF(ISERR(SEARCH("2n",N490)),IF(ISERR(SEARCH("1n",N490)),0,1),2)*$F490*$E490*$H490/10^6</f>
        <v>0</v>
      </c>
      <c r="V490" s="153" t="str">
        <f t="shared" si="5"/>
        <v/>
      </c>
      <c r="W490" s="153" t="str">
        <f t="shared" si="6"/>
        <v/>
      </c>
      <c r="X490" s="154"/>
      <c r="Y490" s="153"/>
      <c r="Z490" s="154"/>
      <c r="AK490" s="233"/>
      <c r="AL490" s="233"/>
      <c r="AX490" s="155" t="str">
        <f t="shared" si="203"/>
        <v/>
      </c>
    </row>
    <row r="491" spans="1:50" s="155" customFormat="1" ht="30" hidden="1" customHeight="1">
      <c r="A491" s="141" t="str">
        <f t="shared" ref="A491" si="215">IF(W491="IN",$E$6,"")</f>
        <v/>
      </c>
      <c r="B491" s="141" t="str">
        <f t="shared" ref="B491" si="216">IF(W491="IN","Muc "&amp;$E$7,"")</f>
        <v/>
      </c>
      <c r="C491" s="180"/>
      <c r="D491" s="181"/>
      <c r="E491" s="182"/>
      <c r="F491" s="182"/>
      <c r="G491" s="182"/>
      <c r="H491" s="182"/>
      <c r="I491" s="181"/>
      <c r="J491" s="158"/>
      <c r="K491" s="159"/>
      <c r="L491" s="160"/>
      <c r="M491" s="159"/>
      <c r="N491" s="159"/>
      <c r="O491" s="161"/>
      <c r="P491" s="162" t="str">
        <f>IF(I491="","",IFERROR(INDEX([1]Foam!$I$27:$I$2000,MATCH(I491,[1]Foam!$J$27:$J$2000,0)),"LỖI DỮ LIỆU"))</f>
        <v/>
      </c>
      <c r="Q491" s="163"/>
      <c r="R491" s="164"/>
      <c r="S491" s="165">
        <f t="shared" ref="S491" si="217">IF(ISERR(SEARCH("2d",K491)),IF(ISERR(SEARCH("1d",K491)),0,1),2)*($G491+80)*$H491/10^3+IF(ISERR(SEARCH("2n",K491)),IF(ISERR(SEARCH("1n",K491)),0,1),2)*($F491+80)*$H491/10^3</f>
        <v>0</v>
      </c>
      <c r="T491" s="165">
        <f t="shared" ref="T491" si="218">IF(ISERR(SEARCH("2m",M491)),IF(ISERR(SEARCH("1m",M491)),0,1),2)*$G491*$F491*$H491/10^6+IF(ISERR(SEARCH("2d",M491)),IF(ISERR(SEARCH("1d",M491)),0,1),2)*$G491*$E491*$H491/10^6+IF(ISERR(SEARCH("2n",M491)),IF(ISERR(SEARCH("1n",M491)),0,1),2)*$F491*$E491*$H491/10^6</f>
        <v>0</v>
      </c>
      <c r="U491" s="166">
        <f t="shared" ref="U491" si="219">IF(ISERR(SEARCH("2m",N491)),IF(ISERR(SEARCH("1m",N491)),0,1),2)*$G491*$F491*$H491/10^6+IF(ISERR(SEARCH("2d",N491)),IF(ISERR(SEARCH("1d",N491)),0,1),2)*$G491*$E491*$H491/10^6+IF(ISERR(SEARCH("2n",N491)),IF(ISERR(SEARCH("1n",N491)),0,1),2)*$F491*$E491*$H491/10^6</f>
        <v>0</v>
      </c>
      <c r="V491" s="153" t="str">
        <f t="shared" ref="V491" si="220">IF(W491="IN",$Y$3,"")</f>
        <v/>
      </c>
      <c r="W491" s="153" t="str">
        <f t="shared" ref="W491" si="221">IF(OR(C491&lt;&gt;"",D491&lt;&gt;""),"IN","")</f>
        <v/>
      </c>
      <c r="X491" s="154"/>
      <c r="Y491" s="153"/>
      <c r="Z491" s="154"/>
      <c r="AK491" s="233"/>
      <c r="AL491" s="233"/>
      <c r="AX491" s="155" t="str">
        <f t="shared" si="203"/>
        <v/>
      </c>
    </row>
    <row r="492" spans="1:50" s="155" customFormat="1" ht="30" customHeight="1" thickBot="1">
      <c r="A492" s="141" t="str">
        <f t="shared" si="2"/>
        <v>DC113B(EI60)</v>
      </c>
      <c r="B492" s="141" t="str">
        <f t="shared" si="3"/>
        <v>Muc 9.1</v>
      </c>
      <c r="C492" s="183"/>
      <c r="D492" s="184" t="s">
        <v>38</v>
      </c>
      <c r="E492" s="209"/>
      <c r="F492" s="209"/>
      <c r="G492" s="209"/>
      <c r="H492" s="209"/>
      <c r="I492" s="185"/>
      <c r="J492" s="276"/>
      <c r="K492" s="186"/>
      <c r="L492" s="186"/>
      <c r="M492" s="187"/>
      <c r="N492" s="187"/>
      <c r="O492" s="188"/>
      <c r="P492" s="183"/>
      <c r="Q492" s="187"/>
      <c r="R492" s="187"/>
      <c r="S492" s="189">
        <f>SUM(S12:S490)</f>
        <v>51.597999999999999</v>
      </c>
      <c r="T492" s="189">
        <f>SUM(T12:T490)</f>
        <v>0</v>
      </c>
      <c r="U492" s="190">
        <f>SUM(U12:U490)</f>
        <v>2.3175680000000001</v>
      </c>
      <c r="V492" s="153">
        <f t="shared" si="5"/>
        <v>6</v>
      </c>
      <c r="W492" s="153" t="str">
        <f t="shared" si="6"/>
        <v>IN</v>
      </c>
      <c r="X492" s="154"/>
      <c r="Y492" s="153"/>
      <c r="Z492" s="154"/>
      <c r="AK492" s="233"/>
      <c r="AL492" s="233"/>
      <c r="AX492" s="155" t="str">
        <f t="shared" si="203"/>
        <v>IN</v>
      </c>
    </row>
    <row r="493" spans="1:50" ht="27" customHeight="1">
      <c r="D493" s="80" t="s">
        <v>42</v>
      </c>
      <c r="E493" s="210"/>
      <c r="F493" s="210"/>
      <c r="G493" s="210"/>
      <c r="H493" s="210"/>
      <c r="I493" s="35"/>
      <c r="J493" s="277"/>
      <c r="K493" s="10"/>
      <c r="L493" s="10"/>
      <c r="M493" s="9"/>
      <c r="N493" s="9"/>
      <c r="O493" s="10"/>
      <c r="P493" s="35"/>
      <c r="Q493" s="35"/>
      <c r="R493" s="35"/>
      <c r="S493" s="9"/>
      <c r="U493" s="9"/>
      <c r="V493" s="10"/>
      <c r="W493" s="70" t="s">
        <v>73</v>
      </c>
      <c r="X493" s="34"/>
      <c r="Y493" s="153"/>
      <c r="Z493" s="154"/>
      <c r="AA493" s="155"/>
      <c r="AX493" s="155" t="str">
        <f t="shared" si="203"/>
        <v>IN</v>
      </c>
    </row>
    <row r="494" spans="1:50" ht="25.35" customHeight="1">
      <c r="C494" s="3"/>
      <c r="D494" s="36"/>
      <c r="E494" s="11"/>
      <c r="F494" s="43"/>
      <c r="G494" s="38"/>
      <c r="H494" s="43"/>
      <c r="I494" s="37"/>
      <c r="J494" s="278"/>
      <c r="L494" s="40"/>
      <c r="M494" s="10"/>
      <c r="N494" s="10"/>
      <c r="O494" s="13"/>
      <c r="P494" s="71" t="str">
        <f ca="1">"Ngày "&amp;DAY(NOW())&amp;" tháng "&amp;MONTH(NOW())&amp;" năm "&amp;YEAR(NOW())</f>
        <v>Ngày 10 tháng 8 năm 2026</v>
      </c>
      <c r="Q494" s="10"/>
      <c r="R494" s="10"/>
      <c r="S494" s="41"/>
      <c r="T494" s="3"/>
      <c r="U494" s="42"/>
      <c r="V494" s="13"/>
      <c r="W494" s="70" t="s">
        <v>73</v>
      </c>
      <c r="X494" s="34"/>
      <c r="Y494" s="153"/>
      <c r="Z494" s="154"/>
      <c r="AA494" s="155"/>
      <c r="AX494" s="155" t="str">
        <f t="shared" si="203"/>
        <v>IN</v>
      </c>
    </row>
    <row r="495" spans="1:50" ht="25.35" customHeight="1">
      <c r="C495" s="3"/>
      <c r="D495" s="3"/>
      <c r="E495" s="11"/>
      <c r="F495" s="43"/>
      <c r="G495" s="71" t="s">
        <v>46</v>
      </c>
      <c r="H495" s="43"/>
      <c r="I495" s="37"/>
      <c r="J495" s="278"/>
      <c r="L495" s="40"/>
      <c r="M495" s="10"/>
      <c r="N495" s="10"/>
      <c r="O495" s="13"/>
      <c r="P495" s="71" t="s">
        <v>54</v>
      </c>
      <c r="Q495" s="10"/>
      <c r="R495" s="10"/>
      <c r="S495" s="41"/>
      <c r="T495" s="3"/>
      <c r="U495" s="42"/>
      <c r="V495" s="13"/>
      <c r="W495" s="70" t="s">
        <v>73</v>
      </c>
      <c r="X495" s="34"/>
      <c r="Y495" s="153"/>
      <c r="Z495" s="154"/>
      <c r="AA495" s="155"/>
      <c r="AX495" s="155" t="str">
        <f t="shared" si="203"/>
        <v>IN</v>
      </c>
    </row>
    <row r="496" spans="1:50" ht="25.35" customHeight="1">
      <c r="C496" s="3"/>
      <c r="D496" s="3"/>
      <c r="E496" s="11"/>
      <c r="F496" s="43"/>
      <c r="G496" s="43"/>
      <c r="H496" s="43"/>
      <c r="I496" s="37"/>
      <c r="J496" s="278"/>
      <c r="L496" s="40"/>
      <c r="M496" s="10"/>
      <c r="N496" s="10"/>
      <c r="O496" s="13"/>
      <c r="P496" s="38"/>
      <c r="Q496" s="10"/>
      <c r="R496" s="10"/>
      <c r="S496" s="41"/>
      <c r="T496" s="3"/>
      <c r="U496" s="42"/>
      <c r="V496" s="13"/>
      <c r="W496" s="70" t="s">
        <v>73</v>
      </c>
      <c r="X496" s="34"/>
      <c r="Y496" s="153"/>
      <c r="Z496" s="154"/>
      <c r="AA496" s="155"/>
      <c r="AX496" s="155" t="str">
        <f t="shared" si="203"/>
        <v>IN</v>
      </c>
    </row>
    <row r="497" spans="3:50" ht="25.35" customHeight="1">
      <c r="C497" s="3"/>
      <c r="D497" s="3"/>
      <c r="E497" s="11"/>
      <c r="F497" s="43"/>
      <c r="G497" s="43"/>
      <c r="H497" s="43"/>
      <c r="I497" s="37"/>
      <c r="J497" s="278"/>
      <c r="L497" s="40"/>
      <c r="M497" s="10"/>
      <c r="N497" s="10"/>
      <c r="O497" s="13"/>
      <c r="P497" s="38"/>
      <c r="Q497" s="10"/>
      <c r="R497" s="10"/>
      <c r="S497" s="41"/>
      <c r="T497" s="3"/>
      <c r="U497" s="42"/>
      <c r="V497" s="13"/>
      <c r="W497" s="70" t="s">
        <v>73</v>
      </c>
      <c r="X497" s="34"/>
      <c r="Y497" s="153"/>
      <c r="Z497" s="154"/>
      <c r="AA497" s="155"/>
      <c r="AX497" s="155" t="str">
        <f t="shared" si="203"/>
        <v>IN</v>
      </c>
    </row>
    <row r="498" spans="3:50" ht="25.35" customHeight="1">
      <c r="C498" s="3"/>
      <c r="D498" s="3"/>
      <c r="E498" s="11"/>
      <c r="F498" s="43"/>
      <c r="G498" s="39"/>
      <c r="H498" s="43"/>
      <c r="I498" s="39"/>
      <c r="J498" s="278"/>
      <c r="L498" s="40"/>
      <c r="M498" s="10"/>
      <c r="N498" s="10"/>
      <c r="O498" s="13"/>
      <c r="P498" s="38"/>
      <c r="Q498" s="10"/>
      <c r="R498" s="10"/>
      <c r="S498" s="41"/>
      <c r="T498" s="3"/>
      <c r="U498" s="42"/>
      <c r="V498" s="13"/>
      <c r="W498" s="70" t="s">
        <v>73</v>
      </c>
      <c r="X498" s="34"/>
      <c r="Y498" s="153"/>
      <c r="Z498" s="154"/>
      <c r="AA498" s="155"/>
      <c r="AX498" s="155" t="str">
        <f t="shared" si="203"/>
        <v>IN</v>
      </c>
    </row>
    <row r="499" spans="3:50" ht="25.35" customHeight="1">
      <c r="C499" s="3"/>
      <c r="D499" s="3"/>
      <c r="E499" s="11"/>
      <c r="F499" s="43"/>
      <c r="G499" s="38" t="s">
        <v>43</v>
      </c>
      <c r="H499" s="43"/>
      <c r="I499" s="41"/>
      <c r="J499" s="278"/>
      <c r="K499" s="39"/>
      <c r="L499" s="40"/>
      <c r="M499" s="10"/>
      <c r="N499" s="10"/>
      <c r="O499" s="13"/>
      <c r="P499" s="38" t="s">
        <v>88</v>
      </c>
      <c r="Q499" s="10"/>
      <c r="R499" s="10"/>
      <c r="S499" s="41"/>
      <c r="T499" s="3"/>
      <c r="U499" s="42"/>
      <c r="V499" s="13"/>
      <c r="W499" s="70" t="s">
        <v>73</v>
      </c>
      <c r="X499" s="34"/>
      <c r="Y499" s="153"/>
      <c r="Z499" s="154"/>
      <c r="AA499" s="155"/>
      <c r="AX499" s="155" t="str">
        <f t="shared" si="203"/>
        <v>IN</v>
      </c>
    </row>
    <row r="500" spans="3:50" ht="25.35" customHeight="1">
      <c r="C500" s="3"/>
      <c r="D500" s="3"/>
      <c r="E500" s="11"/>
      <c r="F500" s="43"/>
      <c r="G500" s="38"/>
      <c r="H500" s="43"/>
      <c r="I500" s="37"/>
      <c r="J500" s="278"/>
      <c r="K500" s="39"/>
      <c r="L500" s="40"/>
      <c r="M500" s="10"/>
      <c r="N500" s="10"/>
      <c r="O500" s="13"/>
      <c r="P500" s="37"/>
      <c r="Q500" s="10"/>
      <c r="R500" s="10"/>
      <c r="S500" s="41"/>
      <c r="T500" s="38"/>
      <c r="U500" s="42"/>
      <c r="V500" s="13"/>
      <c r="Z500" s="154"/>
      <c r="AA500" s="155"/>
      <c r="AX500" s="155"/>
    </row>
    <row r="501" spans="3:50" ht="25.35" customHeight="1">
      <c r="C501" s="44"/>
      <c r="D501" s="44"/>
      <c r="E501" s="11"/>
      <c r="F501" s="43"/>
      <c r="G501" s="38"/>
      <c r="H501" s="43"/>
      <c r="I501" s="37"/>
      <c r="J501" s="278"/>
      <c r="K501" s="39"/>
      <c r="L501" s="40"/>
      <c r="M501" s="10"/>
      <c r="N501" s="9"/>
      <c r="O501" s="13"/>
      <c r="P501" s="37"/>
      <c r="Q501" s="10"/>
      <c r="R501" s="10"/>
      <c r="S501" s="41"/>
      <c r="T501" s="38"/>
      <c r="U501" s="42"/>
      <c r="V501" s="13"/>
      <c r="Z501" s="154"/>
      <c r="AA501" s="155"/>
      <c r="AK501" s="235">
        <v>25.4</v>
      </c>
      <c r="AL501" s="235" t="s">
        <v>154</v>
      </c>
    </row>
    <row r="502" spans="3:50" ht="25.35" customHeight="1">
      <c r="C502" s="3"/>
      <c r="D502" s="3"/>
      <c r="E502" s="11"/>
      <c r="F502" s="43"/>
      <c r="G502" s="38"/>
      <c r="H502" s="43"/>
      <c r="I502" s="37"/>
      <c r="J502" s="278"/>
      <c r="K502" s="39"/>
      <c r="L502" s="40"/>
      <c r="M502" s="10"/>
      <c r="N502" s="9"/>
      <c r="O502" s="13"/>
      <c r="P502" s="37"/>
      <c r="Q502" s="10"/>
      <c r="R502" s="10"/>
      <c r="S502" s="41"/>
      <c r="T502" s="38"/>
      <c r="U502" s="42"/>
      <c r="V502" s="13"/>
      <c r="AK502" s="235">
        <v>50.8</v>
      </c>
      <c r="AL502" s="235" t="s">
        <v>155</v>
      </c>
    </row>
    <row r="503" spans="3:50" ht="25.35" customHeight="1">
      <c r="C503" s="3"/>
      <c r="D503" s="3"/>
      <c r="E503" s="11"/>
      <c r="F503" s="92"/>
      <c r="G503" s="92"/>
      <c r="H503" s="92"/>
      <c r="I503" s="10"/>
      <c r="J503" s="279"/>
      <c r="K503" s="92"/>
      <c r="L503" s="45"/>
      <c r="M503" s="10"/>
      <c r="N503" s="9"/>
      <c r="O503" s="46"/>
      <c r="P503" s="45"/>
      <c r="Q503" s="10"/>
      <c r="R503" s="10"/>
      <c r="S503" s="286"/>
      <c r="T503" s="286"/>
      <c r="U503" s="286"/>
      <c r="V503" s="46"/>
      <c r="AK503" s="235">
        <v>31.75</v>
      </c>
      <c r="AL503" s="235" t="s">
        <v>156</v>
      </c>
    </row>
    <row r="504" spans="3:50" ht="25.35" customHeight="1">
      <c r="AK504" s="235">
        <v>38.1</v>
      </c>
      <c r="AL504" s="235" t="s">
        <v>157</v>
      </c>
    </row>
    <row r="505" spans="3:50" ht="25.35" customHeight="1">
      <c r="AK505" s="235">
        <v>19</v>
      </c>
      <c r="AL505" s="235" t="s">
        <v>162</v>
      </c>
    </row>
    <row r="506" spans="3:50" ht="25.35" customHeight="1">
      <c r="AK506" s="235">
        <v>30</v>
      </c>
      <c r="AL506" s="235" t="s">
        <v>163</v>
      </c>
    </row>
    <row r="507" spans="3:50" ht="25.35" customHeight="1">
      <c r="AK507" s="235">
        <v>35</v>
      </c>
      <c r="AL507" s="235" t="s">
        <v>158</v>
      </c>
    </row>
    <row r="508" spans="3:50" ht="25.35" customHeight="1">
      <c r="AK508" s="235">
        <v>40</v>
      </c>
      <c r="AL508" s="235" t="s">
        <v>159</v>
      </c>
    </row>
    <row r="509" spans="3:50" ht="25.35" customHeight="1">
      <c r="AK509" s="235">
        <v>45</v>
      </c>
      <c r="AL509" s="235" t="s">
        <v>160</v>
      </c>
    </row>
    <row r="510" spans="3:50" ht="25.35" customHeight="1">
      <c r="AK510" s="235">
        <v>22</v>
      </c>
      <c r="AL510" s="235" t="s">
        <v>164</v>
      </c>
    </row>
    <row r="511" spans="3:50" ht="25.35" customHeight="1">
      <c r="AK511" s="235">
        <v>55</v>
      </c>
      <c r="AL511" s="235" t="s">
        <v>161</v>
      </c>
    </row>
    <row r="512" spans="3:50" ht="25.35" customHeight="1">
      <c r="AK512" s="235">
        <v>60</v>
      </c>
      <c r="AL512" s="235" t="s">
        <v>163</v>
      </c>
    </row>
    <row r="513" spans="37:38" ht="25.35" customHeight="1">
      <c r="AK513" s="235">
        <v>65</v>
      </c>
      <c r="AL513" s="235" t="s">
        <v>156</v>
      </c>
    </row>
    <row r="514" spans="37:38" ht="25.35" customHeight="1">
      <c r="AK514" s="235">
        <v>70</v>
      </c>
      <c r="AL514" s="235" t="s">
        <v>158</v>
      </c>
    </row>
    <row r="515" spans="37:38" ht="25.35" customHeight="1">
      <c r="AK515" s="235">
        <v>75</v>
      </c>
      <c r="AL515" s="235" t="s">
        <v>159</v>
      </c>
    </row>
    <row r="516" spans="37:38" ht="25.35" customHeight="1">
      <c r="AK516" s="235">
        <v>80</v>
      </c>
      <c r="AL516" s="235" t="s">
        <v>159</v>
      </c>
    </row>
    <row r="517" spans="37:38" ht="25.35" customHeight="1">
      <c r="AK517" s="235">
        <v>85</v>
      </c>
      <c r="AL517" s="235" t="s">
        <v>160</v>
      </c>
    </row>
    <row r="518" spans="37:38" ht="25.35" customHeight="1">
      <c r="AK518" s="235">
        <v>90</v>
      </c>
      <c r="AL518" s="235" t="s">
        <v>160</v>
      </c>
    </row>
    <row r="519" spans="37:38" ht="25.35" customHeight="1">
      <c r="AK519" s="235">
        <v>95</v>
      </c>
      <c r="AL519" s="235" t="s">
        <v>155</v>
      </c>
    </row>
    <row r="520" spans="37:38" ht="25.35" customHeight="1">
      <c r="AK520" s="235">
        <v>100</v>
      </c>
      <c r="AL520" s="235" t="s">
        <v>155</v>
      </c>
    </row>
    <row r="521" spans="37:38" ht="25.35" customHeight="1">
      <c r="AK521" s="235">
        <v>105</v>
      </c>
      <c r="AL521" s="235" t="s">
        <v>161</v>
      </c>
    </row>
    <row r="522" spans="37:38" ht="25.35" customHeight="1">
      <c r="AK522" s="235">
        <v>110</v>
      </c>
      <c r="AL522" s="235" t="s">
        <v>161</v>
      </c>
    </row>
    <row r="523" spans="37:38" ht="25.35" customHeight="1">
      <c r="AK523" s="235">
        <v>115</v>
      </c>
      <c r="AL523" s="235" t="s">
        <v>159</v>
      </c>
    </row>
    <row r="524" spans="37:38" ht="25.35" customHeight="1">
      <c r="AK524" s="235">
        <v>120</v>
      </c>
      <c r="AL524" s="235" t="s">
        <v>159</v>
      </c>
    </row>
    <row r="525" spans="37:38" ht="25.35" customHeight="1">
      <c r="AK525" s="235">
        <v>125</v>
      </c>
      <c r="AL525" s="235" t="s">
        <v>160</v>
      </c>
    </row>
  </sheetData>
  <sheetProtection formatCells="0" formatColumns="0" formatRows="0" insertColumns="0" insertRows="0" insertHyperlinks="0" deleteColumns="0" deleteRows="0" sort="0" autoFilter="0" pivotTables="0"/>
  <autoFilter ref="A11:AX499" xr:uid="{00000000-0001-0000-0100-000000000000}">
    <filterColumn colId="49">
      <customFilters>
        <customFilter operator="notEqual" val=" "/>
      </customFilters>
    </filterColumn>
  </autoFilter>
  <mergeCells count="29">
    <mergeCell ref="Q1:U1"/>
    <mergeCell ref="Q2:U2"/>
    <mergeCell ref="Q3:U3"/>
    <mergeCell ref="F1:O3"/>
    <mergeCell ref="V10:V11"/>
    <mergeCell ref="A10:A11"/>
    <mergeCell ref="B10:B11"/>
    <mergeCell ref="X1:Z2"/>
    <mergeCell ref="C8:D8"/>
    <mergeCell ref="P10:P11"/>
    <mergeCell ref="I10:I11"/>
    <mergeCell ref="E10:G10"/>
    <mergeCell ref="H10:H11"/>
    <mergeCell ref="C9:U9"/>
    <mergeCell ref="C1:E3"/>
    <mergeCell ref="C10:C11"/>
    <mergeCell ref="D10:D11"/>
    <mergeCell ref="J10:K10"/>
    <mergeCell ref="L10:N10"/>
    <mergeCell ref="C4:D4"/>
    <mergeCell ref="C5:D5"/>
    <mergeCell ref="C6:D6"/>
    <mergeCell ref="C7:D7"/>
    <mergeCell ref="S503:U503"/>
    <mergeCell ref="O10:O11"/>
    <mergeCell ref="T10:U10"/>
    <mergeCell ref="Q10:Q11"/>
    <mergeCell ref="R10:R11"/>
    <mergeCell ref="S10:S11"/>
  </mergeCells>
  <phoneticPr fontId="24" type="noConversion"/>
  <conditionalFormatting sqref="C158:U482 S87:S482 C13:C157 D14:E17 I14:I15 L13:U157 D19:E20 E18 D22:E23 E21 D25:E26 E24 D28:E29 E27 D31:E32 E30 D34:E35 E33 D37:E86 E36 I18:I86">
    <cfRule type="expression" dxfId="128" priority="43">
      <formula>$Z12&gt;999</formula>
    </cfRule>
  </conditionalFormatting>
  <conditionalFormatting sqref="P13:Q491">
    <cfRule type="expression" dxfId="127" priority="48">
      <formula>P13="LỖI DỮ LIỆU"</formula>
    </cfRule>
  </conditionalFormatting>
  <conditionalFormatting sqref="P13:U491">
    <cfRule type="cellIs" dxfId="126" priority="45" operator="equal">
      <formula>0</formula>
    </cfRule>
  </conditionalFormatting>
  <conditionalFormatting sqref="R13:R491">
    <cfRule type="cellIs" dxfId="125" priority="44" operator="equal">
      <formula>0</formula>
    </cfRule>
    <cfRule type="cellIs" dxfId="124" priority="46" operator="equal">
      <formula>0</formula>
    </cfRule>
  </conditionalFormatting>
  <conditionalFormatting sqref="K87:K157">
    <cfRule type="expression" dxfId="123" priority="18">
      <formula>$Z86&gt;999</formula>
    </cfRule>
  </conditionalFormatting>
  <conditionalFormatting sqref="D87:J157">
    <cfRule type="expression" dxfId="122" priority="17">
      <formula>$Z86&gt;999</formula>
    </cfRule>
  </conditionalFormatting>
  <conditionalFormatting sqref="K13:K86">
    <cfRule type="expression" dxfId="121" priority="16">
      <formula>$Z12&gt;999</formula>
    </cfRule>
  </conditionalFormatting>
  <conditionalFormatting sqref="D13:J13 F14:H86 J14:J86">
    <cfRule type="expression" dxfId="120" priority="15">
      <formula>$Z12&gt;999</formula>
    </cfRule>
  </conditionalFormatting>
  <conditionalFormatting sqref="D18">
    <cfRule type="expression" dxfId="119" priority="9">
      <formula>$Z17&gt;999</formula>
    </cfRule>
  </conditionalFormatting>
  <conditionalFormatting sqref="D21">
    <cfRule type="expression" dxfId="118" priority="8">
      <formula>$Z20&gt;999</formula>
    </cfRule>
  </conditionalFormatting>
  <conditionalFormatting sqref="D24">
    <cfRule type="expression" dxfId="117" priority="7">
      <formula>$Z23&gt;999</formula>
    </cfRule>
  </conditionalFormatting>
  <conditionalFormatting sqref="D27">
    <cfRule type="expression" dxfId="116" priority="6">
      <formula>$Z26&gt;999</formula>
    </cfRule>
  </conditionalFormatting>
  <conditionalFormatting sqref="D30">
    <cfRule type="expression" dxfId="115" priority="5">
      <formula>$Z29&gt;999</formula>
    </cfRule>
  </conditionalFormatting>
  <conditionalFormatting sqref="D33">
    <cfRule type="expression" dxfId="114" priority="4">
      <formula>$Z32&gt;999</formula>
    </cfRule>
  </conditionalFormatting>
  <conditionalFormatting sqref="D36">
    <cfRule type="expression" dxfId="113" priority="3">
      <formula>$Z35&gt;999</formula>
    </cfRule>
  </conditionalFormatting>
  <conditionalFormatting sqref="I16">
    <cfRule type="expression" dxfId="112" priority="2">
      <formula>$Z15&gt;999</formula>
    </cfRule>
  </conditionalFormatting>
  <conditionalFormatting sqref="I17">
    <cfRule type="expression" dxfId="111" priority="1">
      <formula>$Z16&gt;999</formula>
    </cfRule>
  </conditionalFormatting>
  <dataValidations count="10">
    <dataValidation type="list" allowBlank="1" showInputMessage="1" showErrorMessage="1" sqref="K503" xr:uid="{00000000-0002-0000-0100-000000000000}">
      <formula1>#REF!</formula1>
    </dataValidation>
    <dataValidation type="list" allowBlank="1" showInputMessage="1" showErrorMessage="1" sqref="G499" xr:uid="{62296A84-3BC5-49B9-9D31-4D2D22972FE2}">
      <formula1>$AG$2:$AG$3</formula1>
    </dataValidation>
    <dataValidation type="list" allowBlank="1" showInputMessage="1" showErrorMessage="1" sqref="Q492" xr:uid="{24B01432-FCD2-4F42-A745-8398FF0D4DC3}">
      <formula1>$AE$2:$AE$9</formula1>
    </dataValidation>
    <dataValidation type="list" allowBlank="1" showInputMessage="1" showErrorMessage="1" sqref="M489:N492 M484:N487 M12:N482" xr:uid="{5340FD33-2E6F-4646-AEAF-B95FA08F2868}">
      <formula1>"2m2d2r,2m2d1r,2m2d0r,2m1d0r,2m0d2r,2m0d1r,2m0d0r,1m2d2r,2m1d2r,2m1d1r,1m2d1r,1m2d0r,1m1d2r,1m1d1r,1m1d0r,1m0d2r,1m0d1r,1m0d0r,0m2d2r,0m2d1r,0m2d0r,0m1d2r,0m1d1r,0m1d0r,0m0d2r,0m0d1r,0m0d0r"</formula1>
    </dataValidation>
    <dataValidation type="list" allowBlank="1" showInputMessage="1" showErrorMessage="1" sqref="P499" xr:uid="{2081E80B-1953-451D-B142-C4D1A50C4947}">
      <formula1>$AF$2:$AF$7</formula1>
    </dataValidation>
    <dataValidation type="list" allowBlank="1" showInputMessage="1" showErrorMessage="1" sqref="Q489:Q491" xr:uid="{9B991D15-C1A5-47F0-9BF6-CFD347D1266D}">
      <formula1>$AH$4:$AH$6</formula1>
    </dataValidation>
    <dataValidation type="list" allowBlank="1" showInputMessage="1" showErrorMessage="1" sqref="K12:K491" xr:uid="{058C9A3A-42D9-4593-9770-2D4707A4B4C7}">
      <formula1>"2d2r,2d1r,2d0r,1d2r,0d2r,1d1r,1d0r,0d1r"</formula1>
    </dataValidation>
    <dataValidation type="list" allowBlank="1" showInputMessage="1" showErrorMessage="1" sqref="P7" xr:uid="{4EC9460D-0C88-4DD7-AEFF-E6237DB594E8}">
      <formula1>"Module, Giao rời và Module, Giao rời"</formula1>
    </dataValidation>
    <dataValidation type="list" allowBlank="1" showInputMessage="1" showErrorMessage="1" sqref="Q7" xr:uid="{F389DE42-9BFA-4020-BDDD-A812E37F08CE}">
      <formula1>"CỬA CHỐNG CHÁY,CỬA THƯỜNG"</formula1>
    </dataValidation>
    <dataValidation type="list" showInputMessage="1" sqref="O13:O482" xr:uid="{658D470C-7AE6-45A4-B6D6-554A067618DE}">
      <formula1>"HOÀN THIỆN ĐI MODULE,GIAO RỜI"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FFFF00"/>
  </sheetPr>
  <dimension ref="A1:AX87"/>
  <sheetViews>
    <sheetView tabSelected="1" view="pageBreakPreview" zoomScale="70" zoomScaleNormal="100" zoomScaleSheetLayoutView="70" workbookViewId="0">
      <pane ySplit="11" topLeftCell="A53" activePane="bottomLeft" state="frozen"/>
      <selection activeCell="I16" sqref="I16"/>
      <selection pane="bottomLeft" activeCell="E57" sqref="E57"/>
    </sheetView>
  </sheetViews>
  <sheetFormatPr defaultColWidth="4.85546875" defaultRowHeight="25.35" customHeight="1"/>
  <cols>
    <col min="1" max="1" width="5.85546875" style="3" customWidth="1"/>
    <col min="2" max="2" width="6" style="3" customWidth="1"/>
    <col min="3" max="3" width="10.140625" style="16" bestFit="1" customWidth="1"/>
    <col min="4" max="4" width="31.140625" style="3" customWidth="1"/>
    <col min="5" max="5" width="54.85546875" style="3" customWidth="1"/>
    <col min="6" max="6" width="10.5703125" style="16" bestFit="1" customWidth="1"/>
    <col min="7" max="7" width="19.140625" style="17" customWidth="1"/>
    <col min="8" max="8" width="15" style="17" customWidth="1"/>
    <col min="9" max="9" width="36" style="17" customWidth="1"/>
    <col min="10" max="10" width="12.5703125" style="17" customWidth="1"/>
    <col min="11" max="11" width="13.140625" style="17" customWidth="1"/>
    <col min="12" max="12" width="12.140625" style="17" customWidth="1"/>
    <col min="13" max="13" width="31.140625" style="17" customWidth="1"/>
    <col min="14" max="14" width="37.140625" style="3" customWidth="1"/>
    <col min="15" max="15" width="4.5703125" style="3" customWidth="1"/>
    <col min="16" max="16" width="10.42578125" style="3" bestFit="1" customWidth="1"/>
    <col min="17" max="17" width="9" style="3" customWidth="1"/>
    <col min="18" max="18" width="10.140625" style="3" customWidth="1"/>
    <col min="19" max="19" width="9" style="3" customWidth="1"/>
    <col min="20" max="20" width="9.7109375" style="3" customWidth="1"/>
    <col min="21" max="21" width="9" style="3" customWidth="1"/>
    <col min="22" max="16384" width="4.85546875" style="3"/>
  </cols>
  <sheetData>
    <row r="1" spans="1:50" ht="20.100000000000001" customHeight="1">
      <c r="C1" s="372"/>
      <c r="D1" s="373"/>
      <c r="E1" s="399" t="s">
        <v>80</v>
      </c>
      <c r="F1" s="400"/>
      <c r="G1" s="400"/>
      <c r="H1" s="400"/>
      <c r="I1" s="400"/>
      <c r="J1" s="401"/>
      <c r="K1" s="132" t="str">
        <f>'BOM_Phan II'!$P$1</f>
        <v>Số hiệu:</v>
      </c>
      <c r="L1" s="328" t="s">
        <v>41</v>
      </c>
      <c r="M1" s="329"/>
      <c r="N1" s="330"/>
      <c r="O1" s="101"/>
    </row>
    <row r="2" spans="1:50" ht="20.100000000000001" customHeight="1">
      <c r="C2" s="374"/>
      <c r="D2" s="375"/>
      <c r="E2" s="402"/>
      <c r="F2" s="403"/>
      <c r="G2" s="403"/>
      <c r="H2" s="403"/>
      <c r="I2" s="403"/>
      <c r="J2" s="404"/>
      <c r="K2" s="69" t="str">
        <f>'BOM_Phan II'!$P$2</f>
        <v>Lần ban hành:</v>
      </c>
      <c r="L2" s="396"/>
      <c r="M2" s="397"/>
      <c r="N2" s="398"/>
      <c r="O2" s="105"/>
    </row>
    <row r="3" spans="1:50" ht="20.100000000000001" customHeight="1">
      <c r="C3" s="376"/>
      <c r="D3" s="377"/>
      <c r="E3" s="405"/>
      <c r="F3" s="406"/>
      <c r="G3" s="406"/>
      <c r="H3" s="406"/>
      <c r="I3" s="406"/>
      <c r="J3" s="407"/>
      <c r="K3" s="69" t="str">
        <f>'BOM_Phan II'!$P$3</f>
        <v>Ngày hiệu lực:</v>
      </c>
      <c r="L3" s="396"/>
      <c r="M3" s="397"/>
      <c r="N3" s="398"/>
      <c r="O3" s="106"/>
    </row>
    <row r="4" spans="1:50" ht="20.100000000000001" customHeight="1">
      <c r="C4" s="378" t="str">
        <f>'BOM_Phan II'!$C$4:$E$4</f>
        <v>Dự án :</v>
      </c>
      <c r="D4" s="379"/>
      <c r="E4" s="113" t="str">
        <f>'BOM_Phan II'!E4</f>
        <v>SYCAMORE</v>
      </c>
      <c r="F4" s="81"/>
      <c r="G4" s="116"/>
      <c r="H4" s="116"/>
      <c r="I4" s="116"/>
      <c r="J4" s="113" t="str">
        <f>'BOM_Phan II'!$O$4</f>
        <v>Đơn hàng :</v>
      </c>
      <c r="K4" s="113" t="str">
        <f>'BOM_Phan II'!P4</f>
        <v>2511_SYCAMORE_CT01_REV01</v>
      </c>
      <c r="L4" s="82"/>
      <c r="M4" s="138"/>
      <c r="N4" s="133"/>
    </row>
    <row r="5" spans="1:50" ht="20.100000000000001" customHeight="1">
      <c r="C5" s="380" t="str">
        <f>'BOM_Phan II'!$C$5:$E$5</f>
        <v>Tên Sản phẩm:</v>
      </c>
      <c r="D5" s="381"/>
      <c r="E5" s="100" t="str">
        <f>'BOM_Phan II'!E5</f>
        <v>Cửa chính căn hộ , 1 cánh mở</v>
      </c>
      <c r="F5" s="83"/>
      <c r="G5" s="118"/>
      <c r="H5" s="118"/>
      <c r="I5" s="118"/>
      <c r="J5" s="114" t="str">
        <f>'BOM_Phan II'!$O$5</f>
        <v>Kích thước :</v>
      </c>
      <c r="K5" s="114" t="str">
        <f>'BOM_Phan II'!P5</f>
        <v>Theo bản vẽ</v>
      </c>
      <c r="L5" s="84"/>
      <c r="M5" s="139"/>
      <c r="N5" s="134"/>
    </row>
    <row r="6" spans="1:50" ht="20.100000000000001" customHeight="1">
      <c r="C6" s="382" t="str">
        <f>'BOM_Phan II'!$C$6:$E$6</f>
        <v>Mã sản phẩm :</v>
      </c>
      <c r="D6" s="383"/>
      <c r="E6" s="100" t="str">
        <f>'BOM_Phan II'!E6</f>
        <v>DC113B(EI60)</v>
      </c>
      <c r="F6" s="83"/>
      <c r="G6" s="118"/>
      <c r="H6" s="118"/>
      <c r="I6" s="118"/>
      <c r="J6" s="114" t="str">
        <f>'BOM_Phan II'!$O$6</f>
        <v>Số lượng :</v>
      </c>
      <c r="K6" s="114" t="str">
        <f>'BOM_Phan II'!P6</f>
        <v>1 BỘ</v>
      </c>
      <c r="L6" s="84"/>
      <c r="M6" s="139"/>
      <c r="N6" s="134"/>
    </row>
    <row r="7" spans="1:50" ht="20.100000000000001" customHeight="1">
      <c r="C7" s="382" t="str">
        <f>'BOM_Phan II'!C7:$E$7</f>
        <v>Mục số :</v>
      </c>
      <c r="D7" s="383"/>
      <c r="E7" s="100">
        <f>'BOM_Phan II'!E7</f>
        <v>9.1</v>
      </c>
      <c r="F7" s="83"/>
      <c r="G7" s="118"/>
      <c r="H7" s="118"/>
      <c r="I7" s="118"/>
      <c r="J7" s="114" t="str">
        <f>'BOM_Phan II'!$O$7</f>
        <v>Kết cấu :</v>
      </c>
      <c r="K7" s="114" t="str">
        <f>'BOM_Phan II'!P7</f>
        <v>Module</v>
      </c>
      <c r="L7" s="84"/>
      <c r="M7" s="139"/>
      <c r="N7" s="134"/>
    </row>
    <row r="8" spans="1:50" ht="20.100000000000001" customHeight="1">
      <c r="C8" s="370" t="str">
        <f>'BOM_Phan II'!$C$8:$E$8</f>
        <v>Vật liệu:</v>
      </c>
      <c r="D8" s="371"/>
      <c r="E8" s="112" t="str">
        <f>'BOM_Phan II'!E8</f>
        <v>MDF LAMINATE</v>
      </c>
      <c r="F8" s="89"/>
      <c r="G8" s="120"/>
      <c r="H8" s="120"/>
      <c r="I8" s="120"/>
      <c r="J8" s="112" t="str">
        <f>'BOM_Phan II'!$O$8</f>
        <v>Hoàn thiện :</v>
      </c>
      <c r="K8" s="112" t="str">
        <f>'BOM_Phan II'!P8</f>
        <v>Theo bản vẽ</v>
      </c>
      <c r="L8" s="90"/>
      <c r="M8" s="140"/>
      <c r="N8" s="135"/>
    </row>
    <row r="9" spans="1:50" ht="20.100000000000001" customHeight="1" thickBot="1">
      <c r="A9" s="283">
        <v>1</v>
      </c>
      <c r="C9" s="387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9"/>
      <c r="O9" s="136"/>
    </row>
    <row r="10" spans="1:50" ht="26.45" customHeight="1">
      <c r="A10" s="385" t="s">
        <v>71</v>
      </c>
      <c r="B10" s="385" t="s">
        <v>72</v>
      </c>
      <c r="C10" s="391" t="s">
        <v>10</v>
      </c>
      <c r="D10" s="292" t="s">
        <v>58</v>
      </c>
      <c r="E10" s="308" t="s">
        <v>59</v>
      </c>
      <c r="F10" s="292" t="s">
        <v>44</v>
      </c>
      <c r="G10" s="292" t="s">
        <v>68</v>
      </c>
      <c r="H10" s="292" t="s">
        <v>16</v>
      </c>
      <c r="I10" s="292" t="s">
        <v>55</v>
      </c>
      <c r="J10" s="408" t="s">
        <v>66</v>
      </c>
      <c r="K10" s="408"/>
      <c r="L10" s="408"/>
      <c r="M10" s="394" t="s">
        <v>82</v>
      </c>
      <c r="N10" s="409" t="s">
        <v>83</v>
      </c>
      <c r="O10" s="384" t="s">
        <v>76</v>
      </c>
    </row>
    <row r="11" spans="1:50" ht="29.85" customHeight="1">
      <c r="A11" s="386"/>
      <c r="B11" s="386"/>
      <c r="C11" s="392"/>
      <c r="D11" s="293"/>
      <c r="E11" s="393"/>
      <c r="F11" s="293"/>
      <c r="G11" s="293"/>
      <c r="H11" s="293"/>
      <c r="I11" s="293"/>
      <c r="J11" s="130" t="s">
        <v>77</v>
      </c>
      <c r="K11" s="131" t="s">
        <v>79</v>
      </c>
      <c r="L11" s="129" t="s">
        <v>78</v>
      </c>
      <c r="M11" s="395"/>
      <c r="N11" s="410"/>
      <c r="O11" s="384"/>
      <c r="P11" s="33" t="s">
        <v>53</v>
      </c>
      <c r="Y11" s="3" t="str">
        <f>'BOM_Phan II'!AA11</f>
        <v>4,7,12,24,</v>
      </c>
      <c r="AX11" s="3" t="str">
        <f>+P11</f>
        <v>LỌC IN</v>
      </c>
    </row>
    <row r="12" spans="1:50" s="204" customFormat="1" ht="30" customHeight="1">
      <c r="A12" s="195" t="str">
        <f>IF(P12="IN",$E$6,"")</f>
        <v>DC113B(EI60)</v>
      </c>
      <c r="B12" s="195" t="str">
        <f>IF(P12="IN","Muc "&amp;$E$7,"")</f>
        <v>Muc 9.1</v>
      </c>
      <c r="C12" s="250" t="str">
        <f>IF($A$9=1,"A","D")</f>
        <v>A</v>
      </c>
      <c r="D12" s="251" t="s">
        <v>49</v>
      </c>
      <c r="E12" s="251"/>
      <c r="F12" s="252"/>
      <c r="G12" s="253"/>
      <c r="H12" s="253"/>
      <c r="I12" s="253"/>
      <c r="J12" s="252"/>
      <c r="K12" s="252"/>
      <c r="L12" s="252"/>
      <c r="M12" s="254"/>
      <c r="N12" s="255"/>
      <c r="O12" s="195">
        <f>IF(P12="IN",'BOM_Phan II'!$Y$3,"")</f>
        <v>6</v>
      </c>
      <c r="P12" s="203" t="str">
        <f>IF(OR(E12&lt;&gt;"",D12&lt;&gt;""),"IN","")</f>
        <v>IN</v>
      </c>
      <c r="AX12" s="155" t="str">
        <f t="shared" ref="AX12:AX85" si="0">+P12</f>
        <v>IN</v>
      </c>
    </row>
    <row r="13" spans="1:50" s="155" customFormat="1" ht="30" customHeight="1">
      <c r="A13" s="141" t="str">
        <f t="shared" ref="A13" si="1">IF(P13="IN",$E$6,"")</f>
        <v>DC113B(EI60)</v>
      </c>
      <c r="B13" s="141" t="str">
        <f t="shared" ref="B13" si="2">IF(P13="IN","Muc "&amp;$E$7,"")</f>
        <v>Muc 9.1</v>
      </c>
      <c r="C13" s="256">
        <f>IF(P13="IN",MAX($C12:$C$12)+1,0)</f>
        <v>1</v>
      </c>
      <c r="D13" s="257"/>
      <c r="E13" s="158" t="str">
        <f>IFERROR(INDEX('BOM_Phan II'!$J$13:$J$482,LEFT($Y$11,SEARCH(",",$Y$11)-1)),"")</f>
        <v>Chỉ nhựa LK 4588A - 0.8x55 (mm)</v>
      </c>
      <c r="F13" s="163" t="str">
        <f>IF(LEN(E13)&gt;0,"Md","")</f>
        <v>Md</v>
      </c>
      <c r="G13" s="163" t="str">
        <f>RIGHT(E13,11)</f>
        <v>0.8x55 (mm)</v>
      </c>
      <c r="H13" s="194"/>
      <c r="I13" s="194"/>
      <c r="J13" s="258">
        <f>IF((SUMIF('BOM_Phan II'!$J$13:$J$482,'BOM_Phan III'!E13,'BOM_Phan II'!$S$13:$S$482)+1)=1,"",SUMIF('BOM_Phan II'!$J$13:$J$482,'BOM_Phan III'!E13,'BOM_Phan II'!$S$13:$S$482)+0)</f>
        <v>11.208</v>
      </c>
      <c r="K13" s="258"/>
      <c r="L13" s="258"/>
      <c r="M13" s="259"/>
      <c r="N13" s="257"/>
      <c r="O13" s="141">
        <f>IF(P13="IN",'BOM_Phan II'!$Y$3,"")</f>
        <v>6</v>
      </c>
      <c r="P13" s="153" t="str">
        <f t="shared" ref="P13" si="3">IF(OR(E13&lt;&gt;"",D13&lt;&gt;""),"IN","")</f>
        <v>IN</v>
      </c>
      <c r="AX13" s="155" t="str">
        <f t="shared" si="0"/>
        <v>IN</v>
      </c>
    </row>
    <row r="14" spans="1:50" s="155" customFormat="1" ht="30" customHeight="1">
      <c r="A14" s="141" t="str">
        <f t="shared" ref="A14:A25" si="4">IF(P14="IN",$E$6,"")</f>
        <v>DC113B(EI60)</v>
      </c>
      <c r="B14" s="141" t="str">
        <f t="shared" ref="B14:B25" si="5">IF(P14="IN","Muc "&amp;$E$7,"")</f>
        <v>Muc 9.1</v>
      </c>
      <c r="C14" s="256">
        <f>IF(P14="IN",MAX($C$12:$C13)+1,0)</f>
        <v>2</v>
      </c>
      <c r="D14" s="257"/>
      <c r="E14" s="158" t="str">
        <f>IFERROR(INDEX('BOM_Phan II'!$J$13:$J$482,LEFT(RIGHT($Y$11,LEN($Y$11)-LEN(LEFT($Y$11,SEARCH(",",$Y$11)-1))-1),SEARCH(",",RIGHT($Y$11,LEN($Y$11)-LEN(LEFT($Y$11,SEARCH(",",$Y$11)-1))-1))-1)),"")</f>
        <v>Chỉ nhựa LK 4588A - 0.8x23 (mm)</v>
      </c>
      <c r="F14" s="163" t="str">
        <f t="shared" ref="F14:F25" si="6">IF(LEN(E14)&gt;0,"Md","")</f>
        <v>Md</v>
      </c>
      <c r="G14" s="163" t="str">
        <f t="shared" ref="G14:G17" si="7">RIGHT(E14,11)</f>
        <v>0.8x23 (mm)</v>
      </c>
      <c r="H14" s="194"/>
      <c r="I14" s="194"/>
      <c r="J14" s="258">
        <f>IF((SUMIF('BOM_Phan II'!$J$13:$J$482,'BOM_Phan III'!E14,'BOM_Phan II'!$S$13:$S$482)+1)=1,"",SUMIF('BOM_Phan II'!$J$13:$J$482,'BOM_Phan III'!E14,'BOM_Phan II'!$S$13:$S$482)+0)</f>
        <v>10.944000000000001</v>
      </c>
      <c r="K14" s="258"/>
      <c r="L14" s="258"/>
      <c r="M14" s="259"/>
      <c r="N14" s="257"/>
      <c r="O14" s="141">
        <f>IF(P14="IN",'BOM_Phan II'!$Y$3,"")</f>
        <v>6</v>
      </c>
      <c r="P14" s="153" t="str">
        <f t="shared" ref="P14:P25" si="8">IF(OR(E14&lt;&gt;"",D14&lt;&gt;""),"IN","")</f>
        <v>IN</v>
      </c>
      <c r="AX14" s="155" t="str">
        <f t="shared" si="0"/>
        <v>IN</v>
      </c>
    </row>
    <row r="15" spans="1:50" s="155" customFormat="1" ht="30" customHeight="1">
      <c r="A15" s="141" t="str">
        <f t="shared" si="4"/>
        <v>DC113B(EI60)</v>
      </c>
      <c r="B15" s="141" t="str">
        <f t="shared" si="5"/>
        <v>Muc 9.1</v>
      </c>
      <c r="C15" s="256">
        <f>IF(P15="IN",MAX($C$12:$C14)+1,0)</f>
        <v>3</v>
      </c>
      <c r="D15" s="257"/>
      <c r="E15" s="158" t="str">
        <f>IFERROR(INDEX('BOM_Phan II'!$J$13:$J$482,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,"")</f>
        <v>Chỉ nhựa LK 4588A - 0.8x28 (mm)</v>
      </c>
      <c r="F15" s="163" t="str">
        <f t="shared" si="6"/>
        <v>Md</v>
      </c>
      <c r="G15" s="163" t="str">
        <f t="shared" si="7"/>
        <v>0.8x28 (mm)</v>
      </c>
      <c r="H15" s="194"/>
      <c r="I15" s="194"/>
      <c r="J15" s="258">
        <f>IF((SUMIF('BOM_Phan II'!$J$13:$J$482,'BOM_Phan III'!E15,'BOM_Phan II'!$S$13:$S$482)+1)=1,"",SUMIF('BOM_Phan II'!$J$13:$J$482,'BOM_Phan III'!E15,'BOM_Phan II'!$S$13:$S$482)+0)</f>
        <v>23.303999999999998</v>
      </c>
      <c r="K15" s="258"/>
      <c r="L15" s="258"/>
      <c r="M15" s="259"/>
      <c r="N15" s="257"/>
      <c r="O15" s="141">
        <f>IF(P15="IN",'BOM_Phan II'!$Y$3,"")</f>
        <v>6</v>
      </c>
      <c r="P15" s="153" t="str">
        <f t="shared" si="8"/>
        <v>IN</v>
      </c>
      <c r="AX15" s="155" t="str">
        <f t="shared" si="0"/>
        <v>IN</v>
      </c>
    </row>
    <row r="16" spans="1:50" s="155" customFormat="1" ht="30" customHeight="1">
      <c r="A16" s="141" t="str">
        <f t="shared" si="4"/>
        <v>DC113B(EI60)</v>
      </c>
      <c r="B16" s="141" t="str">
        <f t="shared" si="5"/>
        <v>Muc 9.1</v>
      </c>
      <c r="C16" s="256">
        <f>IF(P16="IN",MAX($C$12:$C15)+1,0)</f>
        <v>4</v>
      </c>
      <c r="D16" s="257"/>
      <c r="E16" s="158" t="str">
        <f>IFERROR(INDEX('BOM_Phan II'!$J$13:$J$482,LEFT(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-3),SEARCH(",",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-3))-1)),"")</f>
        <v>Chỉ nhựa LK 4588A - 0.8x56 (mm)</v>
      </c>
      <c r="F16" s="163" t="str">
        <f t="shared" si="6"/>
        <v>Md</v>
      </c>
      <c r="G16" s="163" t="str">
        <f t="shared" si="7"/>
        <v>0.8x56 (mm)</v>
      </c>
      <c r="H16" s="194"/>
      <c r="I16" s="194"/>
      <c r="J16" s="258">
        <f>IF((SUMIF('BOM_Phan II'!$J$13:$J$482,'BOM_Phan III'!E16,'BOM_Phan II'!$S$13:$S$482)+1)=1,"",SUMIF('BOM_Phan II'!$J$13:$J$482,'BOM_Phan III'!E16,'BOM_Phan II'!$S$13:$S$482)+0)</f>
        <v>6.1419999999999995</v>
      </c>
      <c r="K16" s="258"/>
      <c r="L16" s="258"/>
      <c r="M16" s="259"/>
      <c r="N16" s="257"/>
      <c r="O16" s="141">
        <f>IF(P16="IN",'BOM_Phan II'!$Y$3,"")</f>
        <v>6</v>
      </c>
      <c r="P16" s="153" t="str">
        <f t="shared" si="8"/>
        <v>IN</v>
      </c>
      <c r="AX16" s="155" t="str">
        <f t="shared" si="0"/>
        <v>IN</v>
      </c>
    </row>
    <row r="17" spans="1:50" s="155" customFormat="1" ht="30" hidden="1" customHeight="1">
      <c r="A17" s="141" t="str">
        <f t="shared" si="4"/>
        <v/>
      </c>
      <c r="B17" s="141" t="str">
        <f t="shared" si="5"/>
        <v/>
      </c>
      <c r="C17" s="256">
        <f>IF(P17="IN",MAX($C$12:$C16)+1,0)</f>
        <v>0</v>
      </c>
      <c r="D17" s="257"/>
      <c r="E17" s="158" t="str">
        <f>IFERROR(INDEX('BOM_Phan II'!$J$13:$J$482,LEFT(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LEN(LEFT(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-3),SEARCH(",",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-3))-1))-4),SEARCH(",",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LEN(LEFT(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-3),SEARCH(",",RIGHT($Y$11,LEN($Y$11)-LEN(LEFT($Y$11,SEARCH(",",$Y$11)-1))-LEN(LEFT(RIGHT($Y$11,LEN($Y$11)-LEN(LEFT($Y$11,SEARCH(",",$Y$11)-1))-1),SEARCH(",",RIGHT($Y$11,LEN($Y$11)-LEN(LEFT($Y$11,SEARCH(",",$Y$11)-1))-1))-1))-LEN(LEFT(RIGHT($Y$11,LEN($Y$11)-LEN(LEFT($Y$11,SEARCH(",",$Y$11)-1))-LEN(LEFT(RIGHT($Y$11,LEN($Y$11)-LEN(LEFT($Y$11,SEARCH(",",$Y$11)-1))-1),SEARCH(",",RIGHT($Y$11,LEN($Y$11)-LEN(LEFT($Y$11,SEARCH(",",$Y$11)-1))-1))-1))-2),SEARCH(",",RIGHT($Y$11,LEN($Y$11)-LEN(LEFT($Y$11,SEARCH(",",$Y$11)-1))-LEN(LEFT(RIGHT($Y$11,LEN($Y$11)-LEN(LEFT($Y$11,SEARCH(",",$Y$11)-1))-1),SEARCH(",",RIGHT($Y$11,LEN($Y$11)-LEN(LEFT($Y$11,SEARCH(",",$Y$11)-1))-1))-1))-2))-1))-3))-1))-4))-1)),"")</f>
        <v/>
      </c>
      <c r="F17" s="163" t="str">
        <f t="shared" si="6"/>
        <v/>
      </c>
      <c r="G17" s="163" t="str">
        <f t="shared" si="7"/>
        <v/>
      </c>
      <c r="H17" s="194"/>
      <c r="I17" s="194"/>
      <c r="J17" s="258" t="str">
        <f>IF((SUMIF('BOM_Phan II'!$J$13:$J$482,'BOM_Phan III'!E17,'BOM_Phan II'!$S$13:$S$482)+1)=1,"",SUMIF('BOM_Phan II'!$J$13:$J$482,'BOM_Phan III'!E17,'BOM_Phan II'!$S$13:$S$482)+0)</f>
        <v/>
      </c>
      <c r="K17" s="258"/>
      <c r="L17" s="258"/>
      <c r="M17" s="259"/>
      <c r="N17" s="257"/>
      <c r="O17" s="141" t="str">
        <f>IF(P17="IN",'BOM_Phan II'!$Y$3,"")</f>
        <v/>
      </c>
      <c r="P17" s="153" t="str">
        <f t="shared" si="8"/>
        <v/>
      </c>
      <c r="AX17" s="155" t="str">
        <f t="shared" si="0"/>
        <v/>
      </c>
    </row>
    <row r="18" spans="1:50" s="155" customFormat="1" ht="30" hidden="1" customHeight="1">
      <c r="A18" s="141" t="str">
        <f t="shared" si="4"/>
        <v/>
      </c>
      <c r="B18" s="141" t="str">
        <f t="shared" si="5"/>
        <v/>
      </c>
      <c r="C18" s="256">
        <f>IF(P18="IN",MAX($C$12:$C17)+1,0)</f>
        <v>0</v>
      </c>
      <c r="D18" s="257"/>
      <c r="E18" s="158"/>
      <c r="F18" s="163" t="str">
        <f t="shared" si="6"/>
        <v/>
      </c>
      <c r="G18" s="194"/>
      <c r="H18" s="194"/>
      <c r="I18" s="194"/>
      <c r="J18" s="258" t="str">
        <f>IF((SUMIF('BOM_Phan II'!$J$13:$J$482,'BOM_Phan III'!E18,'BOM_Phan II'!$S$13:$S$482)+1)=1,"",SUMIF('BOM_Phan II'!$J$13:$J$482,'BOM_Phan III'!E18,'BOM_Phan II'!$S$13:$S$482)+0)</f>
        <v/>
      </c>
      <c r="K18" s="258"/>
      <c r="L18" s="258"/>
      <c r="M18" s="259"/>
      <c r="N18" s="257"/>
      <c r="O18" s="141" t="str">
        <f>IF(P18="IN",'BOM_Phan II'!$Y$3,"")</f>
        <v/>
      </c>
      <c r="P18" s="153" t="str">
        <f t="shared" si="8"/>
        <v/>
      </c>
      <c r="AX18" s="155" t="str">
        <f t="shared" si="0"/>
        <v/>
      </c>
    </row>
    <row r="19" spans="1:50" s="155" customFormat="1" ht="30" hidden="1" customHeight="1">
      <c r="A19" s="141" t="str">
        <f t="shared" si="4"/>
        <v/>
      </c>
      <c r="B19" s="141" t="str">
        <f t="shared" si="5"/>
        <v/>
      </c>
      <c r="C19" s="256">
        <f>IF(P19="IN",MAX($C$12:$C18)+1,0)</f>
        <v>0</v>
      </c>
      <c r="D19" s="257"/>
      <c r="E19" s="158"/>
      <c r="F19" s="163" t="str">
        <f t="shared" si="6"/>
        <v/>
      </c>
      <c r="G19" s="194"/>
      <c r="H19" s="194"/>
      <c r="I19" s="194"/>
      <c r="J19" s="258" t="str">
        <f>IF((SUMIF('BOM_Phan II'!$J$13:$J$482,'BOM_Phan III'!E19,'BOM_Phan II'!$S$13:$S$482)+1)=1,"",SUMIF('BOM_Phan II'!$J$13:$J$482,'BOM_Phan III'!E19,'BOM_Phan II'!$S$13:$S$482)+0)</f>
        <v/>
      </c>
      <c r="K19" s="258"/>
      <c r="L19" s="258"/>
      <c r="M19" s="259"/>
      <c r="N19" s="257"/>
      <c r="O19" s="141" t="str">
        <f>IF(P19="IN",'BOM_Phan II'!$Y$3,"")</f>
        <v/>
      </c>
      <c r="P19" s="153" t="str">
        <f t="shared" si="8"/>
        <v/>
      </c>
      <c r="AX19" s="155" t="str">
        <f t="shared" si="0"/>
        <v/>
      </c>
    </row>
    <row r="20" spans="1:50" s="155" customFormat="1" ht="30" hidden="1" customHeight="1">
      <c r="A20" s="141" t="str">
        <f t="shared" si="4"/>
        <v/>
      </c>
      <c r="B20" s="141" t="str">
        <f t="shared" si="5"/>
        <v/>
      </c>
      <c r="C20" s="256">
        <f>IF(P20="IN",MAX($C$12:$C19)+1,0)</f>
        <v>0</v>
      </c>
      <c r="D20" s="257"/>
      <c r="E20" s="158"/>
      <c r="F20" s="163" t="str">
        <f t="shared" si="6"/>
        <v/>
      </c>
      <c r="G20" s="194"/>
      <c r="H20" s="194"/>
      <c r="I20" s="194"/>
      <c r="J20" s="258" t="str">
        <f>IF((SUMIF('BOM_Phan II'!$J$13:$J$482,'BOM_Phan III'!E20,'BOM_Phan II'!$S$13:$S$482)+1)=1,"",SUMIF('BOM_Phan II'!$J$13:$J$482,'BOM_Phan III'!E20,'BOM_Phan II'!$S$13:$S$482)+0)</f>
        <v/>
      </c>
      <c r="K20" s="258"/>
      <c r="L20" s="258"/>
      <c r="M20" s="259"/>
      <c r="N20" s="257"/>
      <c r="O20" s="141" t="str">
        <f>IF(P20="IN",'BOM_Phan II'!$Y$3,"")</f>
        <v/>
      </c>
      <c r="P20" s="153" t="str">
        <f t="shared" si="8"/>
        <v/>
      </c>
      <c r="AX20" s="155" t="str">
        <f t="shared" si="0"/>
        <v/>
      </c>
    </row>
    <row r="21" spans="1:50" s="155" customFormat="1" ht="30" hidden="1" customHeight="1">
      <c r="A21" s="141" t="str">
        <f t="shared" si="4"/>
        <v/>
      </c>
      <c r="B21" s="141" t="str">
        <f t="shared" si="5"/>
        <v/>
      </c>
      <c r="C21" s="256">
        <f>IF(P21="IN",MAX($C$12:$C20)+1,0)</f>
        <v>0</v>
      </c>
      <c r="D21" s="257"/>
      <c r="E21" s="158"/>
      <c r="F21" s="163" t="str">
        <f t="shared" si="6"/>
        <v/>
      </c>
      <c r="G21" s="194"/>
      <c r="H21" s="194"/>
      <c r="I21" s="194"/>
      <c r="J21" s="258" t="str">
        <f>IF((SUMIF('BOM_Phan II'!$J$13:$J$482,'BOM_Phan III'!E21,'BOM_Phan II'!$S$13:$S$482)+1)=1,"",SUMIF('BOM_Phan II'!$J$13:$J$482,'BOM_Phan III'!E21,'BOM_Phan II'!$S$13:$S$482)+0)</f>
        <v/>
      </c>
      <c r="K21" s="258"/>
      <c r="L21" s="258"/>
      <c r="M21" s="259"/>
      <c r="N21" s="257"/>
      <c r="O21" s="141" t="str">
        <f>IF(P21="IN",'BOM_Phan II'!$Y$3,"")</f>
        <v/>
      </c>
      <c r="P21" s="153" t="str">
        <f t="shared" si="8"/>
        <v/>
      </c>
      <c r="AX21" s="155" t="str">
        <f t="shared" si="0"/>
        <v/>
      </c>
    </row>
    <row r="22" spans="1:50" s="155" customFormat="1" ht="30" hidden="1" customHeight="1">
      <c r="A22" s="141" t="str">
        <f t="shared" si="4"/>
        <v/>
      </c>
      <c r="B22" s="141" t="str">
        <f t="shared" si="5"/>
        <v/>
      </c>
      <c r="C22" s="256">
        <f>IF(P22="IN",MAX($C$12:$C21)+1,0)</f>
        <v>0</v>
      </c>
      <c r="D22" s="257"/>
      <c r="E22" s="158"/>
      <c r="F22" s="163" t="str">
        <f t="shared" si="6"/>
        <v/>
      </c>
      <c r="G22" s="194"/>
      <c r="H22" s="194"/>
      <c r="I22" s="194"/>
      <c r="J22" s="258" t="str">
        <f>IF((SUMIF('BOM_Phan II'!$J$13:$J$482,'BOM_Phan III'!E22,'BOM_Phan II'!$S$13:$S$482)+1)=1,"",SUMIF('BOM_Phan II'!$J$13:$J$482,'BOM_Phan III'!E22,'BOM_Phan II'!$S$13:$S$482)+0)</f>
        <v/>
      </c>
      <c r="K22" s="258"/>
      <c r="L22" s="258"/>
      <c r="M22" s="259"/>
      <c r="N22" s="257"/>
      <c r="O22" s="141" t="str">
        <f>IF(P22="IN",'BOM_Phan II'!$Y$3,"")</f>
        <v/>
      </c>
      <c r="P22" s="153" t="str">
        <f t="shared" si="8"/>
        <v/>
      </c>
      <c r="AX22" s="155" t="str">
        <f t="shared" si="0"/>
        <v/>
      </c>
    </row>
    <row r="23" spans="1:50" s="155" customFormat="1" ht="30" hidden="1" customHeight="1">
      <c r="A23" s="141" t="str">
        <f t="shared" si="4"/>
        <v/>
      </c>
      <c r="B23" s="141" t="str">
        <f t="shared" si="5"/>
        <v/>
      </c>
      <c r="C23" s="256">
        <f>IF(P23="IN",MAX($C$12:$C22)+1,0)</f>
        <v>0</v>
      </c>
      <c r="D23" s="257"/>
      <c r="E23" s="158"/>
      <c r="F23" s="163" t="str">
        <f t="shared" si="6"/>
        <v/>
      </c>
      <c r="G23" s="194"/>
      <c r="H23" s="194"/>
      <c r="I23" s="194"/>
      <c r="J23" s="258" t="str">
        <f>IF((SUMIF('BOM_Phan II'!$J$13:$J$482,'BOM_Phan III'!E23,'BOM_Phan II'!$S$13:$S$482)+1)=1,"",SUMIF('BOM_Phan II'!$J$13:$J$482,'BOM_Phan III'!E23,'BOM_Phan II'!$S$13:$S$482)+0)</f>
        <v/>
      </c>
      <c r="K23" s="258"/>
      <c r="L23" s="258"/>
      <c r="M23" s="259"/>
      <c r="N23" s="257"/>
      <c r="O23" s="141" t="str">
        <f>IF(P23="IN",'BOM_Phan II'!$Y$3,"")</f>
        <v/>
      </c>
      <c r="P23" s="153" t="str">
        <f t="shared" si="8"/>
        <v/>
      </c>
      <c r="AX23" s="155" t="str">
        <f t="shared" si="0"/>
        <v/>
      </c>
    </row>
    <row r="24" spans="1:50" s="155" customFormat="1" ht="30" hidden="1" customHeight="1">
      <c r="A24" s="141" t="str">
        <f t="shared" si="4"/>
        <v/>
      </c>
      <c r="B24" s="141" t="str">
        <f t="shared" si="5"/>
        <v/>
      </c>
      <c r="C24" s="256">
        <f>IF(P24="IN",MAX($C$12:$C23)+1,0)</f>
        <v>0</v>
      </c>
      <c r="D24" s="257"/>
      <c r="E24" s="158"/>
      <c r="F24" s="163" t="str">
        <f t="shared" si="6"/>
        <v/>
      </c>
      <c r="G24" s="194"/>
      <c r="H24" s="194"/>
      <c r="I24" s="194"/>
      <c r="J24" s="258" t="str">
        <f>IF((SUMIF('BOM_Phan II'!$J$13:$J$482,'BOM_Phan III'!E24,'BOM_Phan II'!$S$13:$S$482)+1)=1,"",SUMIF('BOM_Phan II'!$J$13:$J$482,'BOM_Phan III'!E24,'BOM_Phan II'!$S$13:$S$482)+0)</f>
        <v/>
      </c>
      <c r="K24" s="258"/>
      <c r="L24" s="258"/>
      <c r="M24" s="259"/>
      <c r="N24" s="257"/>
      <c r="O24" s="141" t="str">
        <f>IF(P24="IN",'BOM_Phan II'!$Y$3,"")</f>
        <v/>
      </c>
      <c r="P24" s="153" t="str">
        <f t="shared" si="8"/>
        <v/>
      </c>
      <c r="AX24" s="155" t="str">
        <f t="shared" si="0"/>
        <v/>
      </c>
    </row>
    <row r="25" spans="1:50" s="155" customFormat="1" ht="30" hidden="1" customHeight="1">
      <c r="A25" s="141" t="str">
        <f t="shared" si="4"/>
        <v/>
      </c>
      <c r="B25" s="141" t="str">
        <f t="shared" si="5"/>
        <v/>
      </c>
      <c r="C25" s="256">
        <f>IF(P25="IN",MAX($C$12:$C24)+1,0)</f>
        <v>0</v>
      </c>
      <c r="D25" s="257"/>
      <c r="E25" s="158"/>
      <c r="F25" s="163" t="str">
        <f t="shared" si="6"/>
        <v/>
      </c>
      <c r="G25" s="194"/>
      <c r="H25" s="194"/>
      <c r="I25" s="194"/>
      <c r="J25" s="258" t="str">
        <f>IF((SUMIF('BOM_Phan II'!$J$13:$J$482,'BOM_Phan III'!E25,'BOM_Phan II'!$S$13:$S$482)+1)=1,"",SUMIF('BOM_Phan II'!$J$13:$J$482,'BOM_Phan III'!E25,'BOM_Phan II'!$S$13:$S$482)+0)</f>
        <v/>
      </c>
      <c r="K25" s="258"/>
      <c r="L25" s="258"/>
      <c r="M25" s="259"/>
      <c r="N25" s="257"/>
      <c r="O25" s="141" t="str">
        <f>IF(P25="IN",'BOM_Phan II'!$Y$3,"")</f>
        <v/>
      </c>
      <c r="P25" s="153" t="str">
        <f t="shared" si="8"/>
        <v/>
      </c>
      <c r="AX25" s="155" t="str">
        <f t="shared" si="0"/>
        <v/>
      </c>
    </row>
    <row r="26" spans="1:50" s="204" customFormat="1" ht="30" customHeight="1">
      <c r="A26" s="195" t="str">
        <f t="shared" ref="A26:A28" si="9">IF(P26="IN",$E$6,"")</f>
        <v>DC113B(EI60)</v>
      </c>
      <c r="B26" s="195" t="str">
        <f t="shared" ref="B26:B28" si="10">IF(P26="IN","Muc "&amp;$E$7,"")</f>
        <v>Muc 9.1</v>
      </c>
      <c r="C26" s="250" t="str">
        <f>IF($A$9=1,"B","E")</f>
        <v>B</v>
      </c>
      <c r="D26" s="143" t="s">
        <v>86</v>
      </c>
      <c r="E26" s="260"/>
      <c r="F26" s="252"/>
      <c r="G26" s="253"/>
      <c r="H26" s="253"/>
      <c r="I26" s="253"/>
      <c r="J26" s="261"/>
      <c r="K26" s="261"/>
      <c r="L26" s="261"/>
      <c r="M26" s="262"/>
      <c r="N26" s="255"/>
      <c r="O26" s="195">
        <f>IF(P26="IN",'BOM_Phan II'!$Y$3,"")</f>
        <v>6</v>
      </c>
      <c r="P26" s="203" t="str">
        <f t="shared" ref="P26:P34" si="11">IF(OR(E26&lt;&gt;"",D26&lt;&gt;""),"IN","")</f>
        <v>IN</v>
      </c>
      <c r="AX26" s="155" t="str">
        <f t="shared" si="0"/>
        <v>IN</v>
      </c>
    </row>
    <row r="27" spans="1:50" s="204" customFormat="1" ht="30" customHeight="1">
      <c r="A27" s="195" t="str">
        <f t="shared" si="9"/>
        <v>DC113B(EI60)</v>
      </c>
      <c r="B27" s="195" t="str">
        <f t="shared" si="10"/>
        <v>Muc 9.1</v>
      </c>
      <c r="C27" s="250" t="str">
        <f>IF($A$9=1,"B.1","E1")</f>
        <v>B.1</v>
      </c>
      <c r="D27" s="251" t="s">
        <v>87</v>
      </c>
      <c r="E27" s="251"/>
      <c r="F27" s="252"/>
      <c r="G27" s="253"/>
      <c r="H27" s="253"/>
      <c r="I27" s="253"/>
      <c r="J27" s="261"/>
      <c r="K27" s="261"/>
      <c r="L27" s="261"/>
      <c r="M27" s="262"/>
      <c r="N27" s="255"/>
      <c r="O27" s="195">
        <f>IF(P27="IN",'BOM_Phan II'!$Y$3,"")</f>
        <v>6</v>
      </c>
      <c r="P27" s="203" t="str">
        <f t="shared" si="11"/>
        <v>IN</v>
      </c>
      <c r="AX27" s="155" t="str">
        <f t="shared" si="0"/>
        <v>IN</v>
      </c>
    </row>
    <row r="28" spans="1:50" s="155" customFormat="1" ht="30" hidden="1" customHeight="1">
      <c r="A28" s="141" t="str">
        <f t="shared" si="9"/>
        <v/>
      </c>
      <c r="B28" s="141" t="str">
        <f t="shared" si="10"/>
        <v/>
      </c>
      <c r="C28" s="256">
        <f>IF(P28="IN",MAX($C$27:$C27)+1,0)</f>
        <v>0</v>
      </c>
      <c r="D28" s="257"/>
      <c r="E28" s="158"/>
      <c r="F28" s="163"/>
      <c r="G28" s="194"/>
      <c r="H28" s="194"/>
      <c r="I28" s="194"/>
      <c r="J28" s="258"/>
      <c r="K28" s="258"/>
      <c r="L28" s="258"/>
      <c r="M28" s="259"/>
      <c r="N28" s="257"/>
      <c r="O28" s="141" t="str">
        <f>IF(P28="IN",'BOM_Phan II'!$Y$3,"")</f>
        <v/>
      </c>
      <c r="P28" s="153" t="str">
        <f t="shared" si="11"/>
        <v/>
      </c>
      <c r="AX28" s="155" t="str">
        <f t="shared" si="0"/>
        <v/>
      </c>
    </row>
    <row r="29" spans="1:50" s="155" customFormat="1" ht="30" hidden="1" customHeight="1">
      <c r="A29" s="141" t="str">
        <f t="shared" ref="A29:A32" si="12">IF(P29="IN",$E$6,"")</f>
        <v/>
      </c>
      <c r="B29" s="141" t="str">
        <f t="shared" ref="B29:B32" si="13">IF(P29="IN","Muc "&amp;$E$7,"")</f>
        <v/>
      </c>
      <c r="C29" s="256">
        <f>IF(P29="IN",MAX($C$27:$C28)+1,0)</f>
        <v>0</v>
      </c>
      <c r="D29" s="257"/>
      <c r="E29" s="158"/>
      <c r="F29" s="163"/>
      <c r="G29" s="194"/>
      <c r="H29" s="194"/>
      <c r="I29" s="194"/>
      <c r="J29" s="258"/>
      <c r="K29" s="258"/>
      <c r="L29" s="258"/>
      <c r="M29" s="259"/>
      <c r="N29" s="257"/>
      <c r="O29" s="141" t="str">
        <f>IF(P29="IN",'BOM_Phan II'!$Y$3,"")</f>
        <v/>
      </c>
      <c r="P29" s="153" t="str">
        <f t="shared" ref="P29:P32" si="14">IF(OR(E29&lt;&gt;"",D29&lt;&gt;""),"IN","")</f>
        <v/>
      </c>
      <c r="AX29" s="155" t="str">
        <f t="shared" si="0"/>
        <v/>
      </c>
    </row>
    <row r="30" spans="1:50" s="155" customFormat="1" ht="30" hidden="1" customHeight="1">
      <c r="A30" s="141" t="str">
        <f t="shared" si="12"/>
        <v/>
      </c>
      <c r="B30" s="141" t="str">
        <f t="shared" si="13"/>
        <v/>
      </c>
      <c r="C30" s="256">
        <f>IF(P30="IN",MAX($C$27:$C29)+1,0)</f>
        <v>0</v>
      </c>
      <c r="D30" s="257"/>
      <c r="E30" s="158"/>
      <c r="F30" s="163"/>
      <c r="G30" s="194"/>
      <c r="H30" s="194"/>
      <c r="I30" s="194"/>
      <c r="J30" s="258"/>
      <c r="K30" s="258"/>
      <c r="L30" s="258"/>
      <c r="M30" s="259"/>
      <c r="N30" s="257"/>
      <c r="O30" s="141" t="str">
        <f>IF(P30="IN",'BOM_Phan II'!$Y$3,"")</f>
        <v/>
      </c>
      <c r="P30" s="153" t="str">
        <f t="shared" si="14"/>
        <v/>
      </c>
      <c r="AX30" s="155" t="str">
        <f t="shared" si="0"/>
        <v/>
      </c>
    </row>
    <row r="31" spans="1:50" s="155" customFormat="1" ht="30" hidden="1" customHeight="1">
      <c r="A31" s="141" t="str">
        <f t="shared" ref="A31" si="15">IF(P31="IN",$E$6,"")</f>
        <v/>
      </c>
      <c r="B31" s="141" t="str">
        <f t="shared" ref="B31" si="16">IF(P31="IN","Muc "&amp;$E$7,"")</f>
        <v/>
      </c>
      <c r="C31" s="256">
        <f>IF(P31="IN",MAX($C$27:$C30)+1,0)</f>
        <v>0</v>
      </c>
      <c r="D31" s="257"/>
      <c r="E31" s="158"/>
      <c r="F31" s="163"/>
      <c r="G31" s="194"/>
      <c r="H31" s="194"/>
      <c r="I31" s="194"/>
      <c r="J31" s="258"/>
      <c r="K31" s="258"/>
      <c r="L31" s="258"/>
      <c r="M31" s="259"/>
      <c r="N31" s="257"/>
      <c r="O31" s="141" t="str">
        <f>IF(P31="IN",'BOM_Phan II'!$Y$3,"")</f>
        <v/>
      </c>
      <c r="P31" s="153" t="str">
        <f t="shared" ref="P31" si="17">IF(OR(E31&lt;&gt;"",D31&lt;&gt;""),"IN","")</f>
        <v/>
      </c>
      <c r="AX31" s="155" t="str">
        <f t="shared" si="0"/>
        <v/>
      </c>
    </row>
    <row r="32" spans="1:50" s="155" customFormat="1" ht="30" hidden="1" customHeight="1">
      <c r="A32" s="141" t="str">
        <f t="shared" si="12"/>
        <v/>
      </c>
      <c r="B32" s="141" t="str">
        <f t="shared" si="13"/>
        <v/>
      </c>
      <c r="C32" s="256">
        <f>IF(P32="IN",MAX($C$27:$C30)+1,0)</f>
        <v>0</v>
      </c>
      <c r="D32" s="257"/>
      <c r="E32" s="158"/>
      <c r="F32" s="163"/>
      <c r="G32" s="194"/>
      <c r="H32" s="194"/>
      <c r="I32" s="194"/>
      <c r="J32" s="258"/>
      <c r="K32" s="258"/>
      <c r="L32" s="258"/>
      <c r="M32" s="259"/>
      <c r="N32" s="257"/>
      <c r="O32" s="141" t="str">
        <f>IF(P32="IN",'BOM_Phan II'!$Y$3,"")</f>
        <v/>
      </c>
      <c r="P32" s="153" t="str">
        <f t="shared" si="14"/>
        <v/>
      </c>
      <c r="AX32" s="155" t="str">
        <f t="shared" si="0"/>
        <v/>
      </c>
    </row>
    <row r="33" spans="1:50" s="204" customFormat="1" ht="30" customHeight="1">
      <c r="A33" s="195" t="str">
        <f t="shared" ref="A33:A63" si="18">IF(P33="IN",$E$6,"")</f>
        <v>DC113B(EI60)</v>
      </c>
      <c r="B33" s="195" t="str">
        <f t="shared" ref="B33:B63" si="19">IF(P33="IN","Muc "&amp;$E$7,"")</f>
        <v>Muc 9.1</v>
      </c>
      <c r="C33" s="250" t="str">
        <f>IF($A$9=1,"B.2","E2")</f>
        <v>B.2</v>
      </c>
      <c r="D33" s="251" t="s">
        <v>85</v>
      </c>
      <c r="E33" s="251"/>
      <c r="F33" s="252"/>
      <c r="G33" s="253"/>
      <c r="H33" s="253"/>
      <c r="I33" s="253"/>
      <c r="J33" s="261"/>
      <c r="K33" s="261"/>
      <c r="L33" s="261"/>
      <c r="M33" s="262"/>
      <c r="N33" s="255"/>
      <c r="O33" s="195">
        <f>IF(P33="IN",'BOM_Phan II'!$Y$3,"")</f>
        <v>6</v>
      </c>
      <c r="P33" s="203" t="str">
        <f t="shared" si="11"/>
        <v>IN</v>
      </c>
      <c r="Q33" s="263" t="s">
        <v>185</v>
      </c>
      <c r="R33" s="263" t="s">
        <v>101</v>
      </c>
      <c r="S33" s="263" t="s">
        <v>186</v>
      </c>
      <c r="T33" s="263" t="s">
        <v>187</v>
      </c>
      <c r="U33" s="263" t="s">
        <v>184</v>
      </c>
      <c r="AX33" s="155" t="str">
        <f t="shared" si="0"/>
        <v>IN</v>
      </c>
    </row>
    <row r="34" spans="1:50" s="155" customFormat="1" ht="30" hidden="1" customHeight="1">
      <c r="A34" s="141" t="str">
        <f t="shared" si="18"/>
        <v/>
      </c>
      <c r="B34" s="141" t="str">
        <f t="shared" si="19"/>
        <v/>
      </c>
      <c r="C34" s="256">
        <f>IF(P34="IN",MAX($C$33:$C33)+1,0)</f>
        <v>0</v>
      </c>
      <c r="D34" s="158"/>
      <c r="E34" s="158"/>
      <c r="F34" s="159"/>
      <c r="G34" s="264"/>
      <c r="H34" s="264"/>
      <c r="I34" s="264"/>
      <c r="J34" s="258"/>
      <c r="K34" s="258"/>
      <c r="L34" s="258"/>
      <c r="M34" s="259"/>
      <c r="N34" s="257"/>
      <c r="O34" s="141" t="str">
        <f>IF(P34="IN",'BOM_Phan II'!$Y$3,"")</f>
        <v/>
      </c>
      <c r="P34" s="153" t="str">
        <f t="shared" si="11"/>
        <v/>
      </c>
      <c r="Q34" s="265"/>
      <c r="R34" s="265"/>
      <c r="S34" s="265"/>
      <c r="T34" s="265"/>
      <c r="U34" s="265"/>
      <c r="AX34" s="155" t="str">
        <f t="shared" si="0"/>
        <v/>
      </c>
    </row>
    <row r="35" spans="1:50" s="155" customFormat="1" ht="30" hidden="1" customHeight="1">
      <c r="A35" s="141" t="str">
        <f t="shared" ref="A35" si="20">IF(P35="IN",$E$6,"")</f>
        <v/>
      </c>
      <c r="B35" s="141" t="str">
        <f t="shared" ref="B35" si="21">IF(P35="IN","Muc "&amp;$E$7,"")</f>
        <v/>
      </c>
      <c r="C35" s="256">
        <f>IF(P35="IN",MAX($C$33:$C34)+1,0)</f>
        <v>0</v>
      </c>
      <c r="D35" s="158"/>
      <c r="E35" s="158"/>
      <c r="F35" s="159"/>
      <c r="G35" s="264"/>
      <c r="H35" s="264"/>
      <c r="I35" s="264"/>
      <c r="J35" s="258"/>
      <c r="K35" s="258"/>
      <c r="L35" s="258"/>
      <c r="M35" s="259"/>
      <c r="N35" s="266"/>
      <c r="O35" s="141" t="str">
        <f>IF(P35="IN",'BOM_Phan II'!$Y$3,"")</f>
        <v/>
      </c>
      <c r="P35" s="153" t="str">
        <f t="shared" ref="P35" si="22">IF(OR(E35&lt;&gt;"",D35&lt;&gt;""),"IN","")</f>
        <v/>
      </c>
      <c r="Q35" s="265"/>
      <c r="R35" s="265"/>
      <c r="S35" s="265"/>
      <c r="T35" s="265"/>
      <c r="U35" s="265"/>
      <c r="AX35" s="155" t="str">
        <f t="shared" si="0"/>
        <v/>
      </c>
    </row>
    <row r="36" spans="1:50" s="155" customFormat="1" ht="30" hidden="1" customHeight="1">
      <c r="A36" s="141" t="str">
        <f t="shared" ref="A36:A42" si="23">IF(P36="IN",$E$6,"")</f>
        <v/>
      </c>
      <c r="B36" s="141" t="str">
        <f t="shared" ref="B36:B42" si="24">IF(P36="IN","Muc "&amp;$E$7,"")</f>
        <v/>
      </c>
      <c r="C36" s="256">
        <f>IF(P36="IN",MAX($C$33:$C35)+1,0)</f>
        <v>0</v>
      </c>
      <c r="D36" s="158"/>
      <c r="E36" s="158"/>
      <c r="F36" s="159"/>
      <c r="G36" s="264"/>
      <c r="H36" s="264"/>
      <c r="I36" s="264"/>
      <c r="J36" s="258"/>
      <c r="K36" s="258"/>
      <c r="L36" s="258"/>
      <c r="M36" s="259"/>
      <c r="N36" s="266"/>
      <c r="O36" s="141" t="str">
        <f>IF(P36="IN",'BOM_Phan II'!$Y$3,"")</f>
        <v/>
      </c>
      <c r="P36" s="153" t="str">
        <f t="shared" ref="P36:P42" si="25">IF(OR(E36&lt;&gt;"",D36&lt;&gt;""),"IN","")</f>
        <v/>
      </c>
      <c r="Q36" s="265"/>
      <c r="R36" s="265"/>
      <c r="S36" s="265"/>
      <c r="T36" s="265"/>
      <c r="U36" s="265"/>
      <c r="AX36" s="155" t="str">
        <f t="shared" ref="AX36:AX42" si="26">+P36</f>
        <v/>
      </c>
    </row>
    <row r="37" spans="1:50" s="155" customFormat="1" ht="30" hidden="1" customHeight="1">
      <c r="A37" s="141" t="str">
        <f t="shared" si="23"/>
        <v/>
      </c>
      <c r="B37" s="141" t="str">
        <f t="shared" si="24"/>
        <v/>
      </c>
      <c r="C37" s="256">
        <f>IF(P37="IN",MAX($C$33:$C36)+1,0)</f>
        <v>0</v>
      </c>
      <c r="D37" s="158"/>
      <c r="E37" s="158"/>
      <c r="F37" s="159"/>
      <c r="G37" s="264"/>
      <c r="H37" s="264"/>
      <c r="I37" s="264"/>
      <c r="J37" s="258"/>
      <c r="K37" s="258"/>
      <c r="L37" s="258"/>
      <c r="M37" s="259"/>
      <c r="N37" s="266"/>
      <c r="O37" s="141" t="str">
        <f>IF(P37="IN",'BOM_Phan II'!$Y$3,"")</f>
        <v/>
      </c>
      <c r="P37" s="153" t="str">
        <f t="shared" si="25"/>
        <v/>
      </c>
      <c r="Q37" s="265"/>
      <c r="R37" s="265"/>
      <c r="S37" s="265"/>
      <c r="T37" s="265"/>
      <c r="U37" s="265"/>
      <c r="AX37" s="155" t="str">
        <f t="shared" si="26"/>
        <v/>
      </c>
    </row>
    <row r="38" spans="1:50" s="155" customFormat="1" ht="30" hidden="1" customHeight="1">
      <c r="A38" s="141" t="str">
        <f t="shared" si="23"/>
        <v/>
      </c>
      <c r="B38" s="141" t="str">
        <f t="shared" si="24"/>
        <v/>
      </c>
      <c r="C38" s="256">
        <f>IF(P38="IN",MAX($C$33:$C37)+1,0)</f>
        <v>0</v>
      </c>
      <c r="D38" s="158"/>
      <c r="E38" s="158"/>
      <c r="F38" s="159"/>
      <c r="G38" s="264"/>
      <c r="H38" s="264"/>
      <c r="I38" s="264"/>
      <c r="J38" s="258"/>
      <c r="K38" s="258"/>
      <c r="L38" s="258"/>
      <c r="M38" s="259"/>
      <c r="N38" s="266"/>
      <c r="O38" s="141" t="str">
        <f>IF(P38="IN",'BOM_Phan II'!$Y$3,"")</f>
        <v/>
      </c>
      <c r="P38" s="153" t="str">
        <f t="shared" si="25"/>
        <v/>
      </c>
      <c r="Q38" s="265"/>
      <c r="R38" s="265"/>
      <c r="S38" s="265"/>
      <c r="T38" s="265"/>
      <c r="U38" s="265"/>
      <c r="AX38" s="155" t="str">
        <f t="shared" si="26"/>
        <v/>
      </c>
    </row>
    <row r="39" spans="1:50" s="155" customFormat="1" ht="30" hidden="1" customHeight="1">
      <c r="A39" s="141" t="str">
        <f t="shared" si="23"/>
        <v/>
      </c>
      <c r="B39" s="141" t="str">
        <f t="shared" si="24"/>
        <v/>
      </c>
      <c r="C39" s="256">
        <f>IF(P39="IN",MAX($C$33:$C38)+1,0)</f>
        <v>0</v>
      </c>
      <c r="D39" s="158"/>
      <c r="E39" s="158"/>
      <c r="F39" s="159"/>
      <c r="G39" s="264"/>
      <c r="H39" s="264"/>
      <c r="I39" s="264"/>
      <c r="J39" s="258"/>
      <c r="K39" s="258"/>
      <c r="L39" s="258"/>
      <c r="M39" s="259"/>
      <c r="N39" s="266"/>
      <c r="O39" s="141" t="str">
        <f>IF(P39="IN",'BOM_Phan II'!$Y$3,"")</f>
        <v/>
      </c>
      <c r="P39" s="153" t="str">
        <f t="shared" si="25"/>
        <v/>
      </c>
      <c r="Q39" s="265"/>
      <c r="R39" s="265"/>
      <c r="S39" s="265"/>
      <c r="T39" s="265"/>
      <c r="U39" s="265"/>
      <c r="AX39" s="155" t="str">
        <f t="shared" si="26"/>
        <v/>
      </c>
    </row>
    <row r="40" spans="1:50" s="155" customFormat="1" ht="30" hidden="1" customHeight="1">
      <c r="A40" s="141" t="str">
        <f t="shared" si="23"/>
        <v/>
      </c>
      <c r="B40" s="141" t="str">
        <f t="shared" si="24"/>
        <v/>
      </c>
      <c r="C40" s="256">
        <f>IF(P40="IN",MAX($C$33:$C39)+1,0)</f>
        <v>0</v>
      </c>
      <c r="D40" s="158"/>
      <c r="E40" s="158"/>
      <c r="F40" s="159"/>
      <c r="G40" s="264"/>
      <c r="H40" s="264"/>
      <c r="I40" s="264"/>
      <c r="J40" s="258"/>
      <c r="K40" s="258"/>
      <c r="L40" s="258"/>
      <c r="M40" s="259"/>
      <c r="N40" s="266"/>
      <c r="O40" s="141" t="str">
        <f>IF(P40="IN",'BOM_Phan II'!$Y$3,"")</f>
        <v/>
      </c>
      <c r="P40" s="153" t="str">
        <f t="shared" si="25"/>
        <v/>
      </c>
      <c r="Q40" s="265"/>
      <c r="R40" s="265"/>
      <c r="S40" s="265"/>
      <c r="T40" s="265"/>
      <c r="U40" s="265"/>
      <c r="AX40" s="155" t="str">
        <f t="shared" si="26"/>
        <v/>
      </c>
    </row>
    <row r="41" spans="1:50" s="155" customFormat="1" ht="30" hidden="1" customHeight="1">
      <c r="A41" s="141" t="str">
        <f t="shared" si="23"/>
        <v/>
      </c>
      <c r="B41" s="141" t="str">
        <f t="shared" si="24"/>
        <v/>
      </c>
      <c r="C41" s="256">
        <f>IF(P41="IN",MAX($C$33:$C40)+1,0)</f>
        <v>0</v>
      </c>
      <c r="D41" s="158"/>
      <c r="E41" s="158"/>
      <c r="F41" s="159"/>
      <c r="G41" s="264"/>
      <c r="H41" s="264"/>
      <c r="I41" s="264"/>
      <c r="J41" s="258"/>
      <c r="K41" s="258"/>
      <c r="L41" s="258"/>
      <c r="M41" s="259"/>
      <c r="N41" s="266"/>
      <c r="O41" s="141" t="str">
        <f>IF(P41="IN",'BOM_Phan II'!$Y$3,"")</f>
        <v/>
      </c>
      <c r="P41" s="153" t="str">
        <f t="shared" si="25"/>
        <v/>
      </c>
      <c r="Q41" s="265"/>
      <c r="R41" s="265"/>
      <c r="S41" s="265"/>
      <c r="T41" s="265"/>
      <c r="U41" s="265"/>
      <c r="AX41" s="155" t="str">
        <f t="shared" si="26"/>
        <v/>
      </c>
    </row>
    <row r="42" spans="1:50" s="155" customFormat="1" ht="30" hidden="1" customHeight="1">
      <c r="A42" s="141" t="str">
        <f t="shared" si="23"/>
        <v/>
      </c>
      <c r="B42" s="141" t="str">
        <f t="shared" si="24"/>
        <v/>
      </c>
      <c r="C42" s="256">
        <f>IF(P42="IN",MAX($C$33:$C41)+1,0)</f>
        <v>0</v>
      </c>
      <c r="D42" s="158"/>
      <c r="E42" s="158"/>
      <c r="F42" s="159"/>
      <c r="G42" s="264"/>
      <c r="H42" s="264"/>
      <c r="I42" s="264"/>
      <c r="J42" s="258"/>
      <c r="K42" s="258"/>
      <c r="L42" s="258"/>
      <c r="M42" s="259"/>
      <c r="N42" s="266"/>
      <c r="O42" s="141" t="str">
        <f>IF(P42="IN",'BOM_Phan II'!$Y$3,"")</f>
        <v/>
      </c>
      <c r="P42" s="153" t="str">
        <f t="shared" si="25"/>
        <v/>
      </c>
      <c r="Q42" s="265"/>
      <c r="R42" s="265"/>
      <c r="S42" s="265"/>
      <c r="T42" s="265"/>
      <c r="U42" s="265"/>
      <c r="AX42" s="155" t="str">
        <f t="shared" si="26"/>
        <v/>
      </c>
    </row>
    <row r="43" spans="1:50" s="204" customFormat="1" ht="30" customHeight="1">
      <c r="A43" s="195" t="str">
        <f t="shared" si="18"/>
        <v>DC113B(EI60)</v>
      </c>
      <c r="B43" s="195" t="str">
        <f t="shared" si="19"/>
        <v>Muc 9.1</v>
      </c>
      <c r="C43" s="250" t="str">
        <f>IF($A$9=1,"C","F")</f>
        <v>C</v>
      </c>
      <c r="D43" s="251" t="s">
        <v>50</v>
      </c>
      <c r="E43" s="251"/>
      <c r="F43" s="252"/>
      <c r="G43" s="253"/>
      <c r="H43" s="253"/>
      <c r="I43" s="253"/>
      <c r="J43" s="261"/>
      <c r="K43" s="261"/>
      <c r="L43" s="261"/>
      <c r="M43" s="262"/>
      <c r="N43" s="255"/>
      <c r="O43" s="195">
        <f>IF(P43="IN",'BOM_Phan II'!$Y$3,"")</f>
        <v>6</v>
      </c>
      <c r="P43" s="203" t="str">
        <f t="shared" ref="P43:P63" si="27">IF(OR(E43&lt;&gt;"",D43&lt;&gt;""),"IN","")</f>
        <v>IN</v>
      </c>
      <c r="Q43" s="267"/>
      <c r="R43" s="267"/>
      <c r="S43" s="267"/>
      <c r="T43" s="267"/>
      <c r="U43" s="267"/>
      <c r="AX43" s="155" t="str">
        <f t="shared" si="0"/>
        <v>IN</v>
      </c>
    </row>
    <row r="44" spans="1:50" s="155" customFormat="1" ht="30" hidden="1" customHeight="1">
      <c r="A44" s="141" t="str">
        <f t="shared" ref="A44:A46" si="28">IF(P44="IN",$E$6,"")</f>
        <v/>
      </c>
      <c r="B44" s="141" t="str">
        <f t="shared" ref="B44:B46" si="29">IF(P44="IN","Muc "&amp;$E$7,"")</f>
        <v/>
      </c>
      <c r="C44" s="256">
        <f>IF(P44="IN",MAX($C43:$C$43)+1,0)</f>
        <v>0</v>
      </c>
      <c r="D44" s="257"/>
      <c r="E44" s="268"/>
      <c r="F44" s="163"/>
      <c r="G44" s="194"/>
      <c r="H44" s="194"/>
      <c r="I44" s="194"/>
      <c r="J44" s="258"/>
      <c r="K44" s="258"/>
      <c r="L44" s="258"/>
      <c r="M44" s="259"/>
      <c r="N44" s="257"/>
      <c r="O44" s="141" t="str">
        <f>IF(P44="IN",'BOM_Phan II'!$Y$3,"")</f>
        <v/>
      </c>
      <c r="P44" s="153" t="str">
        <f t="shared" ref="P44:P46" si="30">IF(OR(E44&lt;&gt;"",D44&lt;&gt;""),"IN","")</f>
        <v/>
      </c>
      <c r="Q44" s="265"/>
      <c r="R44" s="265"/>
      <c r="S44" s="265"/>
      <c r="T44" s="265"/>
      <c r="U44" s="265"/>
      <c r="AX44" s="155" t="str">
        <f t="shared" si="0"/>
        <v/>
      </c>
    </row>
    <row r="45" spans="1:50" s="155" customFormat="1" ht="30" hidden="1" customHeight="1">
      <c r="A45" s="141" t="str">
        <f t="shared" si="28"/>
        <v/>
      </c>
      <c r="B45" s="141" t="str">
        <f t="shared" si="29"/>
        <v/>
      </c>
      <c r="C45" s="256">
        <f>IF(P45="IN",MAX($C$43:$C44)+1,0)</f>
        <v>0</v>
      </c>
      <c r="D45" s="257"/>
      <c r="E45" s="268"/>
      <c r="F45" s="163"/>
      <c r="G45" s="194"/>
      <c r="H45" s="194"/>
      <c r="I45" s="194"/>
      <c r="J45" s="258"/>
      <c r="K45" s="258"/>
      <c r="L45" s="258"/>
      <c r="M45" s="259"/>
      <c r="N45" s="257"/>
      <c r="O45" s="141" t="str">
        <f>IF(P45="IN",'BOM_Phan II'!$Y$3,"")</f>
        <v/>
      </c>
      <c r="P45" s="153" t="str">
        <f t="shared" si="30"/>
        <v/>
      </c>
      <c r="Q45" s="265"/>
      <c r="R45" s="265"/>
      <c r="S45" s="265"/>
      <c r="T45" s="265"/>
      <c r="U45" s="265"/>
      <c r="AX45" s="155" t="str">
        <f t="shared" si="0"/>
        <v/>
      </c>
    </row>
    <row r="46" spans="1:50" s="155" customFormat="1" ht="30" customHeight="1">
      <c r="A46" s="141" t="str">
        <f t="shared" si="28"/>
        <v>DC113B(EI60)</v>
      </c>
      <c r="B46" s="141" t="str">
        <f t="shared" si="29"/>
        <v>Muc 9.1</v>
      </c>
      <c r="C46" s="256">
        <f>IF(P46="IN",MAX($C$43:$C45)+1,0)</f>
        <v>1</v>
      </c>
      <c r="D46" s="257" t="s">
        <v>244</v>
      </c>
      <c r="E46" s="268" t="s">
        <v>245</v>
      </c>
      <c r="F46" s="163" t="s">
        <v>175</v>
      </c>
      <c r="G46" s="194"/>
      <c r="H46" s="194"/>
      <c r="I46" s="194"/>
      <c r="J46" s="258">
        <v>2.5</v>
      </c>
      <c r="K46" s="258"/>
      <c r="L46" s="258"/>
      <c r="M46" s="259" t="s">
        <v>246</v>
      </c>
      <c r="N46" s="257" t="s">
        <v>247</v>
      </c>
      <c r="O46" s="141">
        <f>IF(P46="IN",'BOM_Phan II'!$Y$3,"")</f>
        <v>6</v>
      </c>
      <c r="P46" s="153" t="str">
        <f t="shared" si="30"/>
        <v>IN</v>
      </c>
      <c r="Q46" s="265"/>
      <c r="R46" s="265"/>
      <c r="S46" s="265"/>
      <c r="T46" s="265"/>
      <c r="U46" s="265"/>
      <c r="AX46" s="155" t="str">
        <f t="shared" si="0"/>
        <v>IN</v>
      </c>
    </row>
    <row r="47" spans="1:50" s="155" customFormat="1" ht="30" customHeight="1">
      <c r="A47" s="141" t="str">
        <f t="shared" ref="A47:A49" si="31">IF(P47="IN",$E$6,"")</f>
        <v>DC113B(EI60)</v>
      </c>
      <c r="B47" s="141" t="str">
        <f t="shared" ref="B47:B49" si="32">IF(P47="IN","Muc "&amp;$E$7,"")</f>
        <v>Muc 9.1</v>
      </c>
      <c r="C47" s="256">
        <f>IF(P47="IN",MAX($C$43:$C46)+1,0)</f>
        <v>2</v>
      </c>
      <c r="D47" s="257" t="s">
        <v>248</v>
      </c>
      <c r="E47" s="268" t="s">
        <v>249</v>
      </c>
      <c r="F47" s="163" t="s">
        <v>175</v>
      </c>
      <c r="G47" s="194"/>
      <c r="H47" s="194"/>
      <c r="I47" s="194"/>
      <c r="J47" s="258">
        <v>0.375</v>
      </c>
      <c r="K47" s="258"/>
      <c r="L47" s="258"/>
      <c r="M47" s="259" t="s">
        <v>250</v>
      </c>
      <c r="N47" s="257" t="s">
        <v>247</v>
      </c>
      <c r="O47" s="141">
        <f>IF(P47="IN",'BOM_Phan II'!$Y$3,"")</f>
        <v>6</v>
      </c>
      <c r="P47" s="153" t="str">
        <f t="shared" ref="P47:P49" si="33">IF(OR(E47&lt;&gt;"",D47&lt;&gt;""),"IN","")</f>
        <v>IN</v>
      </c>
      <c r="Q47" s="265"/>
      <c r="R47" s="265"/>
      <c r="S47" s="265"/>
      <c r="T47" s="265"/>
      <c r="U47" s="265"/>
      <c r="AX47" s="155" t="str">
        <f t="shared" si="0"/>
        <v>IN</v>
      </c>
    </row>
    <row r="48" spans="1:50" s="155" customFormat="1" ht="16.5">
      <c r="A48" s="141" t="str">
        <f t="shared" si="31"/>
        <v>DC113B(EI60)</v>
      </c>
      <c r="B48" s="141" t="str">
        <f t="shared" si="32"/>
        <v>Muc 9.1</v>
      </c>
      <c r="C48" s="256">
        <f>IF(P48="IN",MAX($C$43:$C47)+1,0)</f>
        <v>3</v>
      </c>
      <c r="D48" s="257" t="s">
        <v>275</v>
      </c>
      <c r="E48" s="268" t="s">
        <v>251</v>
      </c>
      <c r="F48" s="163" t="s">
        <v>252</v>
      </c>
      <c r="G48" s="194" t="s">
        <v>253</v>
      </c>
      <c r="H48" s="194"/>
      <c r="I48" s="194"/>
      <c r="J48" s="258">
        <v>0.04</v>
      </c>
      <c r="K48" s="258"/>
      <c r="L48" s="258"/>
      <c r="M48" s="259"/>
      <c r="N48" s="281"/>
      <c r="O48" s="141">
        <f>IF(P48="IN",'BOM_Phan II'!$Y$3,"")</f>
        <v>6</v>
      </c>
      <c r="P48" s="153" t="str">
        <f t="shared" si="33"/>
        <v>IN</v>
      </c>
      <c r="Q48" s="265"/>
      <c r="R48" s="265"/>
      <c r="S48" s="265"/>
      <c r="T48" s="265"/>
      <c r="U48" s="265"/>
      <c r="AX48" s="155" t="str">
        <f t="shared" si="0"/>
        <v>IN</v>
      </c>
    </row>
    <row r="49" spans="1:50" s="155" customFormat="1" ht="16.5">
      <c r="A49" s="141" t="str">
        <f t="shared" si="31"/>
        <v>DC113B(EI60)</v>
      </c>
      <c r="B49" s="141" t="str">
        <f t="shared" si="32"/>
        <v>Muc 9.1</v>
      </c>
      <c r="C49" s="256">
        <f>IF(P49="IN",MAX($C$43:$C48)+1,0)</f>
        <v>4</v>
      </c>
      <c r="D49" s="257" t="s">
        <v>276</v>
      </c>
      <c r="E49" s="268" t="s">
        <v>254</v>
      </c>
      <c r="F49" s="163" t="s">
        <v>252</v>
      </c>
      <c r="G49" s="194" t="s">
        <v>253</v>
      </c>
      <c r="H49" s="194"/>
      <c r="I49" s="194"/>
      <c r="J49" s="258">
        <v>0.1</v>
      </c>
      <c r="K49" s="258"/>
      <c r="L49" s="258"/>
      <c r="M49" s="259"/>
      <c r="N49" s="281"/>
      <c r="O49" s="141">
        <f>IF(P49="IN",'BOM_Phan II'!$Y$3,"")</f>
        <v>6</v>
      </c>
      <c r="P49" s="153" t="str">
        <f t="shared" si="33"/>
        <v>IN</v>
      </c>
      <c r="Q49" s="265"/>
      <c r="R49" s="265"/>
      <c r="S49" s="265"/>
      <c r="T49" s="265"/>
      <c r="U49" s="265"/>
      <c r="AX49" s="155" t="str">
        <f t="shared" si="0"/>
        <v>IN</v>
      </c>
    </row>
    <row r="50" spans="1:50" s="155" customFormat="1" ht="16.5">
      <c r="A50" s="141" t="str">
        <f t="shared" ref="A50:A60" si="34">IF(P50="IN",$E$6,"")</f>
        <v>DC113B(EI60)</v>
      </c>
      <c r="B50" s="141" t="str">
        <f t="shared" ref="B50:B60" si="35">IF(P50="IN","Muc "&amp;$E$7,"")</f>
        <v>Muc 9.1</v>
      </c>
      <c r="C50" s="256">
        <f>IF(P50="IN",MAX($C$43:$C49)+1,0)</f>
        <v>5</v>
      </c>
      <c r="D50" s="257" t="s">
        <v>277</v>
      </c>
      <c r="E50" s="268" t="s">
        <v>255</v>
      </c>
      <c r="F50" s="163" t="s">
        <v>256</v>
      </c>
      <c r="G50" s="194" t="s">
        <v>257</v>
      </c>
      <c r="H50" s="194" t="s">
        <v>258</v>
      </c>
      <c r="I50" s="194"/>
      <c r="J50" s="258"/>
      <c r="K50" s="258">
        <v>4</v>
      </c>
      <c r="L50" s="258"/>
      <c r="M50" s="259"/>
      <c r="N50" s="282"/>
      <c r="O50" s="141">
        <f>IF(P50="IN",'BOM_Phan II'!$Y$3,"")</f>
        <v>6</v>
      </c>
      <c r="P50" s="153" t="str">
        <f t="shared" ref="P50:P60" si="36">IF(OR(E50&lt;&gt;"",D50&lt;&gt;""),"IN","")</f>
        <v>IN</v>
      </c>
      <c r="Q50" s="265"/>
      <c r="R50" s="265"/>
      <c r="S50" s="265"/>
      <c r="T50" s="265"/>
      <c r="U50" s="265"/>
      <c r="AX50" s="155" t="str">
        <f t="shared" ref="AX50:AX60" si="37">+P50</f>
        <v>IN</v>
      </c>
    </row>
    <row r="51" spans="1:50" s="155" customFormat="1" ht="30" customHeight="1">
      <c r="A51" s="141" t="str">
        <f t="shared" si="34"/>
        <v>DC113B(EI60)</v>
      </c>
      <c r="B51" s="141" t="str">
        <f t="shared" si="35"/>
        <v>Muc 9.1</v>
      </c>
      <c r="C51" s="256">
        <f>IF(P51="IN",MAX($C$43:$C50)+1,0)</f>
        <v>6</v>
      </c>
      <c r="D51" s="257"/>
      <c r="E51" s="268" t="s">
        <v>259</v>
      </c>
      <c r="F51" s="163" t="s">
        <v>260</v>
      </c>
      <c r="G51" s="194"/>
      <c r="H51" s="194"/>
      <c r="I51" s="194"/>
      <c r="J51" s="258"/>
      <c r="K51" s="258">
        <v>0.67</v>
      </c>
      <c r="L51" s="258"/>
      <c r="M51" s="259"/>
      <c r="N51" s="269"/>
      <c r="O51" s="141">
        <f>IF(P51="IN",'BOM_Phan II'!$Y$3,"")</f>
        <v>6</v>
      </c>
      <c r="P51" s="153" t="str">
        <f t="shared" si="36"/>
        <v>IN</v>
      </c>
      <c r="Q51" s="265"/>
      <c r="R51" s="265"/>
      <c r="S51" s="265"/>
      <c r="T51" s="265"/>
      <c r="U51" s="265"/>
      <c r="AX51" s="155" t="str">
        <f t="shared" si="37"/>
        <v>IN</v>
      </c>
    </row>
    <row r="52" spans="1:50" s="155" customFormat="1" ht="30" customHeight="1">
      <c r="A52" s="141" t="str">
        <f t="shared" si="34"/>
        <v>DC113B(EI60)</v>
      </c>
      <c r="B52" s="141" t="str">
        <f t="shared" si="35"/>
        <v>Muc 9.1</v>
      </c>
      <c r="C52" s="256">
        <f>IF(P52="IN",MAX($C$43:$C51)+1,0)</f>
        <v>7</v>
      </c>
      <c r="D52" s="257" t="s">
        <v>261</v>
      </c>
      <c r="E52" s="268" t="s">
        <v>262</v>
      </c>
      <c r="F52" s="163" t="s">
        <v>256</v>
      </c>
      <c r="G52" s="194" t="s">
        <v>263</v>
      </c>
      <c r="H52" s="194" t="s">
        <v>264</v>
      </c>
      <c r="I52" s="194"/>
      <c r="J52" s="258">
        <v>40</v>
      </c>
      <c r="K52" s="258"/>
      <c r="L52" s="258"/>
      <c r="M52" s="259"/>
      <c r="N52" s="269"/>
      <c r="O52" s="141">
        <f>IF(P52="IN",'BOM_Phan II'!$Y$3,"")</f>
        <v>6</v>
      </c>
      <c r="P52" s="153" t="str">
        <f t="shared" si="36"/>
        <v>IN</v>
      </c>
      <c r="Q52" s="265"/>
      <c r="R52" s="265"/>
      <c r="S52" s="265"/>
      <c r="T52" s="265"/>
      <c r="U52" s="265"/>
      <c r="AX52" s="155" t="str">
        <f t="shared" si="37"/>
        <v>IN</v>
      </c>
    </row>
    <row r="53" spans="1:50" s="155" customFormat="1" ht="16.5">
      <c r="A53" s="141" t="str">
        <f t="shared" si="34"/>
        <v>DC113B(EI60)</v>
      </c>
      <c r="B53" s="141" t="str">
        <f t="shared" si="35"/>
        <v>Muc 9.1</v>
      </c>
      <c r="C53" s="256">
        <f>IF(P53="IN",MAX($C$43:$C52)+1,0)</f>
        <v>8</v>
      </c>
      <c r="D53" s="257" t="s">
        <v>278</v>
      </c>
      <c r="E53" s="268" t="s">
        <v>265</v>
      </c>
      <c r="F53" s="163" t="s">
        <v>256</v>
      </c>
      <c r="G53" s="194" t="s">
        <v>266</v>
      </c>
      <c r="H53" s="194" t="s">
        <v>264</v>
      </c>
      <c r="I53" s="194"/>
      <c r="J53" s="258"/>
      <c r="K53" s="258">
        <v>4</v>
      </c>
      <c r="L53" s="258"/>
      <c r="M53" s="259"/>
      <c r="N53" s="282"/>
      <c r="O53" s="141">
        <f>IF(P53="IN",'BOM_Phan II'!$Y$3,"")</f>
        <v>6</v>
      </c>
      <c r="P53" s="153" t="str">
        <f t="shared" si="36"/>
        <v>IN</v>
      </c>
      <c r="Q53" s="265"/>
      <c r="R53" s="265"/>
      <c r="S53" s="265"/>
      <c r="T53" s="265"/>
      <c r="U53" s="265"/>
      <c r="AX53" s="155" t="str">
        <f t="shared" si="37"/>
        <v>IN</v>
      </c>
    </row>
    <row r="54" spans="1:50" s="155" customFormat="1" ht="33">
      <c r="A54" s="141" t="str">
        <f t="shared" si="34"/>
        <v>DC113B(EI60)</v>
      </c>
      <c r="B54" s="141" t="str">
        <f t="shared" si="35"/>
        <v>Muc 9.1</v>
      </c>
      <c r="C54" s="256">
        <f>IF(P54="IN",MAX($C$43:$C53)+1,0)</f>
        <v>9</v>
      </c>
      <c r="D54" s="257" t="s">
        <v>279</v>
      </c>
      <c r="E54" s="268" t="s">
        <v>267</v>
      </c>
      <c r="F54" s="163" t="s">
        <v>268</v>
      </c>
      <c r="G54" s="194" t="s">
        <v>269</v>
      </c>
      <c r="H54" s="194" t="s">
        <v>280</v>
      </c>
      <c r="I54" s="194"/>
      <c r="J54" s="258"/>
      <c r="K54" s="258">
        <v>9</v>
      </c>
      <c r="L54" s="258"/>
      <c r="M54" s="259"/>
      <c r="N54" s="282"/>
      <c r="O54" s="141">
        <f>IF(P54="IN",'BOM_Phan II'!$Y$3,"")</f>
        <v>6</v>
      </c>
      <c r="P54" s="153" t="str">
        <f t="shared" si="36"/>
        <v>IN</v>
      </c>
      <c r="Q54" s="265"/>
      <c r="R54" s="265"/>
      <c r="S54" s="265"/>
      <c r="T54" s="265"/>
      <c r="U54" s="265"/>
      <c r="AX54" s="155" t="str">
        <f t="shared" si="37"/>
        <v>IN</v>
      </c>
    </row>
    <row r="55" spans="1:50" s="155" customFormat="1" ht="33">
      <c r="A55" s="141" t="str">
        <f t="shared" si="34"/>
        <v>DC113B(EI60)</v>
      </c>
      <c r="B55" s="141" t="str">
        <f t="shared" si="35"/>
        <v>Muc 9.1</v>
      </c>
      <c r="C55" s="256">
        <f>IF(P55="IN",MAX($C$43:$C54)+1,0)</f>
        <v>10</v>
      </c>
      <c r="D55" s="257" t="s">
        <v>281</v>
      </c>
      <c r="E55" s="268" t="s">
        <v>270</v>
      </c>
      <c r="F55" s="163" t="s">
        <v>260</v>
      </c>
      <c r="G55" s="194" t="s">
        <v>271</v>
      </c>
      <c r="H55" s="194" t="s">
        <v>272</v>
      </c>
      <c r="I55" s="194" t="s">
        <v>273</v>
      </c>
      <c r="J55" s="258"/>
      <c r="K55" s="258">
        <v>0.5</v>
      </c>
      <c r="L55" s="258"/>
      <c r="M55" s="259"/>
      <c r="N55" s="281"/>
      <c r="O55" s="141">
        <f>IF(P55="IN",'BOM_Phan II'!$Y$3,"")</f>
        <v>6</v>
      </c>
      <c r="P55" s="153" t="str">
        <f t="shared" si="36"/>
        <v>IN</v>
      </c>
      <c r="Q55" s="265"/>
      <c r="R55" s="265"/>
      <c r="S55" s="265"/>
      <c r="T55" s="265"/>
      <c r="U55" s="265"/>
      <c r="AX55" s="155" t="str">
        <f t="shared" si="37"/>
        <v>IN</v>
      </c>
    </row>
    <row r="56" spans="1:50" s="155" customFormat="1" ht="16.5">
      <c r="A56" s="141" t="str">
        <f t="shared" si="34"/>
        <v>DC113B(EI60)</v>
      </c>
      <c r="B56" s="141" t="str">
        <f t="shared" si="35"/>
        <v>Muc 9.1</v>
      </c>
      <c r="C56" s="256">
        <f>IF(P56="IN",MAX($C$43:$C55)+1,0)</f>
        <v>11</v>
      </c>
      <c r="D56" s="257" t="s">
        <v>282</v>
      </c>
      <c r="E56" s="268" t="s">
        <v>274</v>
      </c>
      <c r="F56" s="163" t="s">
        <v>252</v>
      </c>
      <c r="G56" s="194" t="s">
        <v>253</v>
      </c>
      <c r="H56" s="194"/>
      <c r="I56" s="194"/>
      <c r="J56" s="258">
        <v>0.1</v>
      </c>
      <c r="K56" s="258"/>
      <c r="L56" s="258"/>
      <c r="M56" s="259"/>
      <c r="N56" s="281"/>
      <c r="O56" s="141">
        <f>IF(P56="IN",'BOM_Phan II'!$Y$3,"")</f>
        <v>6</v>
      </c>
      <c r="P56" s="153" t="str">
        <f t="shared" si="36"/>
        <v>IN</v>
      </c>
      <c r="Q56" s="265"/>
      <c r="R56" s="265"/>
      <c r="S56" s="265"/>
      <c r="T56" s="265"/>
      <c r="U56" s="265"/>
      <c r="AX56" s="155" t="str">
        <f t="shared" si="37"/>
        <v>IN</v>
      </c>
    </row>
    <row r="57" spans="1:50" s="155" customFormat="1" ht="82.5">
      <c r="A57" s="141" t="str">
        <f t="shared" si="34"/>
        <v>DC113B(EI60)</v>
      </c>
      <c r="B57" s="141" t="str">
        <f t="shared" si="35"/>
        <v>Muc 9.1</v>
      </c>
      <c r="C57" s="256">
        <f>IF(P57="IN",MAX($C$43:$C56)+1,0)</f>
        <v>12</v>
      </c>
      <c r="D57" s="257" t="s">
        <v>284</v>
      </c>
      <c r="E57" s="268" t="s">
        <v>283</v>
      </c>
      <c r="F57" s="163" t="s">
        <v>175</v>
      </c>
      <c r="G57" s="194" t="s">
        <v>285</v>
      </c>
      <c r="H57" s="194"/>
      <c r="I57" s="194" t="s">
        <v>286</v>
      </c>
      <c r="J57" s="258">
        <v>0.5</v>
      </c>
      <c r="K57" s="258"/>
      <c r="L57" s="258"/>
      <c r="M57" s="259" t="s">
        <v>287</v>
      </c>
      <c r="N57" s="282"/>
      <c r="O57" s="141">
        <f>IF(P57="IN",'BOM_Phan II'!$Y$3,"")</f>
        <v>6</v>
      </c>
      <c r="P57" s="153" t="str">
        <f t="shared" si="36"/>
        <v>IN</v>
      </c>
      <c r="Q57" s="265"/>
      <c r="R57" s="265"/>
      <c r="S57" s="265"/>
      <c r="T57" s="265"/>
      <c r="U57" s="265"/>
      <c r="AX57" s="155" t="str">
        <f t="shared" si="37"/>
        <v>IN</v>
      </c>
    </row>
    <row r="58" spans="1:50" s="155" customFormat="1" ht="30" hidden="1" customHeight="1">
      <c r="A58" s="141" t="str">
        <f t="shared" si="34"/>
        <v/>
      </c>
      <c r="B58" s="141" t="str">
        <f t="shared" si="35"/>
        <v/>
      </c>
      <c r="C58" s="256">
        <f>IF(P58="IN",MAX($C$43:$C57)+1,0)</f>
        <v>0</v>
      </c>
      <c r="D58" s="257"/>
      <c r="E58" s="268"/>
      <c r="F58" s="163"/>
      <c r="G58" s="194"/>
      <c r="H58" s="194"/>
      <c r="I58" s="194"/>
      <c r="J58" s="258"/>
      <c r="K58" s="258"/>
      <c r="L58" s="258"/>
      <c r="M58" s="259"/>
      <c r="N58" s="269"/>
      <c r="O58" s="141" t="str">
        <f>IF(P58="IN",'BOM_Phan II'!$Y$3,"")</f>
        <v/>
      </c>
      <c r="P58" s="153" t="str">
        <f t="shared" si="36"/>
        <v/>
      </c>
      <c r="Q58" s="265"/>
      <c r="R58" s="265"/>
      <c r="S58" s="265"/>
      <c r="T58" s="265"/>
      <c r="U58" s="265"/>
      <c r="AX58" s="155" t="str">
        <f t="shared" si="37"/>
        <v/>
      </c>
    </row>
    <row r="59" spans="1:50" s="155" customFormat="1" ht="30" hidden="1" customHeight="1">
      <c r="A59" s="141" t="str">
        <f t="shared" si="34"/>
        <v/>
      </c>
      <c r="B59" s="141" t="str">
        <f t="shared" si="35"/>
        <v/>
      </c>
      <c r="C59" s="256">
        <f>IF(P59="IN",MAX($C$43:$C58)+1,0)</f>
        <v>0</v>
      </c>
      <c r="D59" s="257"/>
      <c r="E59" s="268"/>
      <c r="F59" s="163"/>
      <c r="G59" s="194"/>
      <c r="H59" s="194"/>
      <c r="I59" s="194"/>
      <c r="J59" s="258"/>
      <c r="K59" s="258"/>
      <c r="L59" s="258"/>
      <c r="M59" s="259"/>
      <c r="N59" s="269"/>
      <c r="O59" s="141" t="str">
        <f>IF(P59="IN",'BOM_Phan II'!$Y$3,"")</f>
        <v/>
      </c>
      <c r="P59" s="153" t="str">
        <f t="shared" si="36"/>
        <v/>
      </c>
      <c r="Q59" s="265"/>
      <c r="R59" s="265"/>
      <c r="S59" s="265"/>
      <c r="T59" s="265"/>
      <c r="U59" s="265"/>
      <c r="AX59" s="155" t="str">
        <f t="shared" si="37"/>
        <v/>
      </c>
    </row>
    <row r="60" spans="1:50" s="155" customFormat="1" ht="30" hidden="1" customHeight="1">
      <c r="A60" s="141" t="str">
        <f t="shared" si="34"/>
        <v/>
      </c>
      <c r="B60" s="141" t="str">
        <f t="shared" si="35"/>
        <v/>
      </c>
      <c r="C60" s="256">
        <f>IF(P60="IN",MAX($C$43:$C59)+1,0)</f>
        <v>0</v>
      </c>
      <c r="D60" s="257"/>
      <c r="E60" s="268"/>
      <c r="F60" s="163"/>
      <c r="G60" s="194"/>
      <c r="H60" s="194"/>
      <c r="I60" s="194"/>
      <c r="J60" s="258"/>
      <c r="K60" s="258"/>
      <c r="L60" s="258"/>
      <c r="M60" s="259"/>
      <c r="N60" s="269"/>
      <c r="O60" s="141" t="str">
        <f>IF(P60="IN",'BOM_Phan II'!$Y$3,"")</f>
        <v/>
      </c>
      <c r="P60" s="153" t="str">
        <f t="shared" si="36"/>
        <v/>
      </c>
      <c r="Q60" s="265"/>
      <c r="R60" s="265"/>
      <c r="S60" s="265"/>
      <c r="T60" s="265"/>
      <c r="U60" s="265"/>
      <c r="AX60" s="155" t="str">
        <f t="shared" si="37"/>
        <v/>
      </c>
    </row>
    <row r="61" spans="1:50" s="155" customFormat="1" ht="30" hidden="1" customHeight="1">
      <c r="A61" s="141" t="str">
        <f t="shared" si="18"/>
        <v/>
      </c>
      <c r="B61" s="141" t="str">
        <f t="shared" si="19"/>
        <v/>
      </c>
      <c r="C61" s="256">
        <f>IF(P61="IN",MAX($C$43:$C60)+1,0)</f>
        <v>0</v>
      </c>
      <c r="D61" s="257"/>
      <c r="E61" s="268"/>
      <c r="F61" s="163"/>
      <c r="G61" s="194"/>
      <c r="H61" s="194"/>
      <c r="I61" s="194"/>
      <c r="J61" s="258"/>
      <c r="K61" s="258"/>
      <c r="L61" s="258"/>
      <c r="M61" s="259"/>
      <c r="N61" s="257"/>
      <c r="O61" s="141" t="str">
        <f>IF(P61="IN",'BOM_Phan II'!$Y$3,"")</f>
        <v/>
      </c>
      <c r="P61" s="153" t="str">
        <f t="shared" si="27"/>
        <v/>
      </c>
      <c r="Q61" s="265"/>
      <c r="R61" s="265"/>
      <c r="S61" s="265"/>
      <c r="T61" s="265"/>
      <c r="U61" s="265"/>
      <c r="AX61" s="155" t="str">
        <f t="shared" si="0"/>
        <v/>
      </c>
    </row>
    <row r="62" spans="1:50" s="155" customFormat="1" ht="30" hidden="1" customHeight="1">
      <c r="A62" s="141" t="str">
        <f t="shared" ref="A62" si="38">IF(P62="IN",$E$6,"")</f>
        <v/>
      </c>
      <c r="B62" s="141" t="str">
        <f t="shared" ref="B62" si="39">IF(P62="IN","Muc "&amp;$E$7,"")</f>
        <v/>
      </c>
      <c r="C62" s="256">
        <f>IF(P62="IN",MAX($C$43:$C61)+1,0)</f>
        <v>0</v>
      </c>
      <c r="D62" s="257"/>
      <c r="E62" s="268"/>
      <c r="F62" s="163"/>
      <c r="G62" s="194"/>
      <c r="H62" s="194"/>
      <c r="I62" s="194"/>
      <c r="J62" s="258"/>
      <c r="K62" s="258"/>
      <c r="L62" s="258"/>
      <c r="M62" s="259"/>
      <c r="N62" s="257"/>
      <c r="O62" s="141" t="str">
        <f>IF(P62="IN",'BOM_Phan II'!$Y$3,"")</f>
        <v/>
      </c>
      <c r="P62" s="153" t="str">
        <f t="shared" ref="P62" si="40">IF(OR(E62&lt;&gt;"",D62&lt;&gt;""),"IN","")</f>
        <v/>
      </c>
      <c r="Q62" s="265"/>
      <c r="R62" s="265"/>
      <c r="S62" s="265"/>
      <c r="T62" s="265"/>
      <c r="U62" s="265"/>
      <c r="AX62" s="155" t="str">
        <f t="shared" si="0"/>
        <v/>
      </c>
    </row>
    <row r="63" spans="1:50" s="155" customFormat="1" ht="30" hidden="1" customHeight="1">
      <c r="A63" s="141" t="str">
        <f t="shared" si="18"/>
        <v/>
      </c>
      <c r="B63" s="141" t="str">
        <f t="shared" si="19"/>
        <v/>
      </c>
      <c r="C63" s="256">
        <f>IF(P63="IN",MAX($C$43:$C62)+1,0)</f>
        <v>0</v>
      </c>
      <c r="D63" s="257"/>
      <c r="E63" s="268"/>
      <c r="F63" s="163"/>
      <c r="G63" s="194"/>
      <c r="H63" s="194"/>
      <c r="I63" s="194"/>
      <c r="J63" s="258"/>
      <c r="K63" s="258"/>
      <c r="L63" s="258"/>
      <c r="M63" s="259"/>
      <c r="N63" s="257"/>
      <c r="O63" s="141" t="str">
        <f>IF(P63="IN",'BOM_Phan II'!$Y$3,"")</f>
        <v/>
      </c>
      <c r="P63" s="153" t="str">
        <f t="shared" si="27"/>
        <v/>
      </c>
      <c r="Q63" s="265"/>
      <c r="R63" s="265"/>
      <c r="S63" s="265"/>
      <c r="T63" s="265"/>
      <c r="U63" s="265"/>
      <c r="AX63" s="155" t="str">
        <f t="shared" si="0"/>
        <v/>
      </c>
    </row>
    <row r="64" spans="1:50" s="155" customFormat="1" ht="30" hidden="1" customHeight="1">
      <c r="A64" s="141" t="str">
        <f t="shared" ref="A64" si="41">IF(P64="IN",$E$6,"")</f>
        <v/>
      </c>
      <c r="B64" s="141" t="str">
        <f t="shared" ref="B64" si="42">IF(P64="IN","Muc "&amp;$E$7,"")</f>
        <v/>
      </c>
      <c r="C64" s="256">
        <f>IF(P64="IN",MAX($C$43:$C63)+1,0)</f>
        <v>0</v>
      </c>
      <c r="D64" s="257"/>
      <c r="E64" s="268"/>
      <c r="F64" s="163"/>
      <c r="G64" s="194"/>
      <c r="H64" s="194"/>
      <c r="I64" s="194"/>
      <c r="J64" s="258"/>
      <c r="K64" s="258"/>
      <c r="L64" s="258"/>
      <c r="M64" s="259"/>
      <c r="N64" s="257"/>
      <c r="O64" s="141" t="str">
        <f>IF(P64="IN",'BOM_Phan II'!$Y$3,"")</f>
        <v/>
      </c>
      <c r="P64" s="153" t="str">
        <f t="shared" ref="P64" si="43">IF(OR(E64&lt;&gt;"",D64&lt;&gt;""),"IN","")</f>
        <v/>
      </c>
      <c r="Q64" s="265"/>
      <c r="R64" s="265"/>
      <c r="S64" s="265"/>
      <c r="T64" s="265"/>
      <c r="U64" s="265"/>
      <c r="AX64" s="155" t="str">
        <f t="shared" si="0"/>
        <v/>
      </c>
    </row>
    <row r="65" spans="1:50" s="204" customFormat="1" ht="30" customHeight="1">
      <c r="A65" s="195" t="str">
        <f t="shared" ref="A65:A70" si="44">IF(P65="IN",$E$6,"")</f>
        <v>DC113B(EI60)</v>
      </c>
      <c r="B65" s="195" t="str">
        <f t="shared" ref="B65:B70" si="45">IF(P65="IN","Muc "&amp;$E$7,"")</f>
        <v>Muc 9.1</v>
      </c>
      <c r="C65" s="250" t="str">
        <f>IF($A$9=1,"D","G")</f>
        <v>D</v>
      </c>
      <c r="D65" s="251" t="s">
        <v>51</v>
      </c>
      <c r="E65" s="251"/>
      <c r="F65" s="252"/>
      <c r="G65" s="253"/>
      <c r="H65" s="253"/>
      <c r="I65" s="253"/>
      <c r="J65" s="270"/>
      <c r="K65" s="270"/>
      <c r="L65" s="270"/>
      <c r="M65" s="271"/>
      <c r="N65" s="255"/>
      <c r="O65" s="195">
        <f>IF(P65="IN",'BOM_Phan II'!$Y$3,"")</f>
        <v>6</v>
      </c>
      <c r="P65" s="203" t="str">
        <f t="shared" ref="P65:P70" si="46">IF(OR(E65&lt;&gt;"",D65&lt;&gt;""),"IN","")</f>
        <v>IN</v>
      </c>
      <c r="Q65" s="267"/>
      <c r="R65" s="267"/>
      <c r="S65" s="267"/>
      <c r="T65" s="267"/>
      <c r="U65" s="267"/>
      <c r="AX65" s="155" t="str">
        <f t="shared" si="0"/>
        <v>IN</v>
      </c>
    </row>
    <row r="66" spans="1:50" s="155" customFormat="1" ht="30" customHeight="1">
      <c r="A66" s="141" t="str">
        <f t="shared" ref="A66:A69" si="47">IF(P66="IN",$E$6,"")</f>
        <v>DC113B(EI60)</v>
      </c>
      <c r="B66" s="141" t="str">
        <f t="shared" ref="B66:B69" si="48">IF(P66="IN","Muc "&amp;$E$7,"")</f>
        <v>Muc 9.1</v>
      </c>
      <c r="C66" s="256">
        <f>IF(P66="IN",MAX($C65:$C$65)+1,0)</f>
        <v>1</v>
      </c>
      <c r="D66" s="257"/>
      <c r="E66" s="158" t="s">
        <v>288</v>
      </c>
      <c r="F66" s="163" t="s">
        <v>268</v>
      </c>
      <c r="G66" s="194"/>
      <c r="H66" s="194"/>
      <c r="I66" s="194"/>
      <c r="J66" s="258">
        <v>1</v>
      </c>
      <c r="K66" s="258"/>
      <c r="L66" s="258"/>
      <c r="M66" s="259" t="s">
        <v>289</v>
      </c>
      <c r="N66" s="272"/>
      <c r="O66" s="141">
        <f>IF(P66="IN",'BOM_Phan II'!$Y$3,"")</f>
        <v>6</v>
      </c>
      <c r="P66" s="153" t="str">
        <f t="shared" ref="P66:P69" si="49">IF(OR(E66&lt;&gt;"",D66&lt;&gt;""),"IN","")</f>
        <v>IN</v>
      </c>
      <c r="Q66" s="265"/>
      <c r="R66" s="265"/>
      <c r="S66" s="265"/>
      <c r="T66" s="265"/>
      <c r="U66" s="265"/>
      <c r="AX66" s="155" t="str">
        <f t="shared" si="0"/>
        <v>IN</v>
      </c>
    </row>
    <row r="67" spans="1:50" s="155" customFormat="1" ht="30" customHeight="1">
      <c r="A67" s="141" t="str">
        <f t="shared" si="47"/>
        <v>DC113B(EI60)</v>
      </c>
      <c r="B67" s="141" t="str">
        <f t="shared" si="48"/>
        <v>Muc 9.1</v>
      </c>
      <c r="C67" s="256">
        <f>IF(P67="IN",MAX($C$65:$C66)+1,0)</f>
        <v>2</v>
      </c>
      <c r="D67" s="257"/>
      <c r="E67" s="158" t="s">
        <v>290</v>
      </c>
      <c r="F67" s="163" t="s">
        <v>109</v>
      </c>
      <c r="G67" s="194"/>
      <c r="H67" s="194"/>
      <c r="I67" s="194"/>
      <c r="J67" s="258"/>
      <c r="K67" s="258">
        <v>6</v>
      </c>
      <c r="L67" s="258"/>
      <c r="M67" s="259" t="s">
        <v>291</v>
      </c>
      <c r="N67" s="272"/>
      <c r="O67" s="141">
        <f>IF(P67="IN",'BOM_Phan II'!$Y$3,"")</f>
        <v>6</v>
      </c>
      <c r="P67" s="153" t="str">
        <f t="shared" si="49"/>
        <v>IN</v>
      </c>
      <c r="Q67" s="265"/>
      <c r="R67" s="265"/>
      <c r="S67" s="265"/>
      <c r="T67" s="265"/>
      <c r="U67" s="265"/>
      <c r="AX67" s="155" t="str">
        <f t="shared" si="0"/>
        <v>IN</v>
      </c>
    </row>
    <row r="68" spans="1:50" s="155" customFormat="1" ht="30" customHeight="1">
      <c r="A68" s="141" t="str">
        <f t="shared" si="47"/>
        <v>DC113B(EI60)</v>
      </c>
      <c r="B68" s="141" t="str">
        <f t="shared" si="48"/>
        <v>Muc 9.1</v>
      </c>
      <c r="C68" s="256">
        <f>IF(P68="IN",MAX($C$65:$C67)+1,0)</f>
        <v>3</v>
      </c>
      <c r="D68" s="257"/>
      <c r="E68" s="158" t="s">
        <v>292</v>
      </c>
      <c r="F68" s="163" t="s">
        <v>105</v>
      </c>
      <c r="G68" s="194"/>
      <c r="H68" s="194"/>
      <c r="I68" s="194"/>
      <c r="J68" s="258">
        <v>3</v>
      </c>
      <c r="K68" s="258"/>
      <c r="L68" s="258"/>
      <c r="M68" s="259" t="s">
        <v>291</v>
      </c>
      <c r="N68" s="272"/>
      <c r="O68" s="141">
        <f>IF(P68="IN",'BOM_Phan II'!$Y$3,"")</f>
        <v>6</v>
      </c>
      <c r="P68" s="153" t="str">
        <f t="shared" si="49"/>
        <v>IN</v>
      </c>
      <c r="Q68" s="265"/>
      <c r="R68" s="265"/>
      <c r="S68" s="265"/>
      <c r="T68" s="265"/>
      <c r="U68" s="265"/>
      <c r="AX68" s="155" t="str">
        <f t="shared" si="0"/>
        <v>IN</v>
      </c>
    </row>
    <row r="69" spans="1:50" s="155" customFormat="1" ht="30" hidden="1" customHeight="1">
      <c r="A69" s="141" t="str">
        <f t="shared" si="47"/>
        <v/>
      </c>
      <c r="B69" s="141" t="str">
        <f t="shared" si="48"/>
        <v/>
      </c>
      <c r="C69" s="256">
        <f>IF(P69="IN",MAX($C$65:$C68)+1,0)</f>
        <v>0</v>
      </c>
      <c r="D69" s="257"/>
      <c r="E69" s="158"/>
      <c r="F69" s="163"/>
      <c r="G69" s="194"/>
      <c r="H69" s="194"/>
      <c r="I69" s="194"/>
      <c r="J69" s="258"/>
      <c r="K69" s="258"/>
      <c r="L69" s="258"/>
      <c r="M69" s="259"/>
      <c r="N69" s="272"/>
      <c r="O69" s="141" t="str">
        <f>IF(P69="IN",'BOM_Phan II'!$Y$3,"")</f>
        <v/>
      </c>
      <c r="P69" s="153" t="str">
        <f t="shared" si="49"/>
        <v/>
      </c>
      <c r="Q69" s="265"/>
      <c r="R69" s="265"/>
      <c r="S69" s="265"/>
      <c r="T69" s="265"/>
      <c r="U69" s="265"/>
      <c r="AX69" s="155" t="str">
        <f t="shared" si="0"/>
        <v/>
      </c>
    </row>
    <row r="70" spans="1:50" s="155" customFormat="1" ht="30" hidden="1" customHeight="1">
      <c r="A70" s="141" t="str">
        <f t="shared" si="44"/>
        <v/>
      </c>
      <c r="B70" s="141" t="str">
        <f t="shared" si="45"/>
        <v/>
      </c>
      <c r="C70" s="256">
        <f>IF(P70="IN",MAX($C$65:$C69)+1,0)</f>
        <v>0</v>
      </c>
      <c r="D70" s="257"/>
      <c r="E70" s="158"/>
      <c r="F70" s="163"/>
      <c r="G70" s="194"/>
      <c r="H70" s="194"/>
      <c r="I70" s="194"/>
      <c r="J70" s="258"/>
      <c r="K70" s="258"/>
      <c r="L70" s="258"/>
      <c r="M70" s="259"/>
      <c r="N70" s="272"/>
      <c r="O70" s="141" t="str">
        <f>IF(P70="IN",'BOM_Phan II'!$Y$3,"")</f>
        <v/>
      </c>
      <c r="P70" s="153" t="str">
        <f t="shared" si="46"/>
        <v/>
      </c>
      <c r="Q70" s="265"/>
      <c r="R70" s="265"/>
      <c r="S70" s="265"/>
      <c r="T70" s="265"/>
      <c r="U70" s="265"/>
      <c r="AX70" s="155" t="str">
        <f t="shared" si="0"/>
        <v/>
      </c>
    </row>
    <row r="71" spans="1:50" s="155" customFormat="1" ht="30" hidden="1" customHeight="1">
      <c r="A71" s="141" t="str">
        <f t="shared" ref="A71:A73" si="50">IF(P71="IN",$E$6,"")</f>
        <v/>
      </c>
      <c r="B71" s="141" t="str">
        <f t="shared" ref="B71:B73" si="51">IF(P71="IN","Muc "&amp;$E$7,"")</f>
        <v/>
      </c>
      <c r="C71" s="256">
        <f>IF(P71="IN",MAX($C$65:$C70)+1,0)</f>
        <v>0</v>
      </c>
      <c r="D71" s="257"/>
      <c r="E71" s="158"/>
      <c r="F71" s="163"/>
      <c r="G71" s="194"/>
      <c r="H71" s="194"/>
      <c r="I71" s="194"/>
      <c r="J71" s="258"/>
      <c r="K71" s="258"/>
      <c r="L71" s="258"/>
      <c r="M71" s="259"/>
      <c r="N71" s="272"/>
      <c r="O71" s="141" t="str">
        <f>IF(P71="IN",'BOM_Phan II'!$Y$3,"")</f>
        <v/>
      </c>
      <c r="P71" s="153" t="str">
        <f t="shared" ref="P71:P73" si="52">IF(OR(E71&lt;&gt;"",D71&lt;&gt;""),"IN","")</f>
        <v/>
      </c>
      <c r="Q71" s="265"/>
      <c r="R71" s="265"/>
      <c r="S71" s="265"/>
      <c r="T71" s="265"/>
      <c r="U71" s="265"/>
      <c r="AX71" s="155" t="str">
        <f t="shared" si="0"/>
        <v/>
      </c>
    </row>
    <row r="72" spans="1:50" s="155" customFormat="1" ht="30" hidden="1" customHeight="1">
      <c r="A72" s="141" t="str">
        <f t="shared" si="50"/>
        <v/>
      </c>
      <c r="B72" s="141" t="str">
        <f t="shared" si="51"/>
        <v/>
      </c>
      <c r="C72" s="256">
        <f>IF(P72="IN",MAX($C$65:$C71)+1,0)</f>
        <v>0</v>
      </c>
      <c r="D72" s="257"/>
      <c r="E72" s="158"/>
      <c r="F72" s="163"/>
      <c r="G72" s="194"/>
      <c r="H72" s="194"/>
      <c r="I72" s="194"/>
      <c r="J72" s="258"/>
      <c r="K72" s="258"/>
      <c r="L72" s="258"/>
      <c r="M72" s="259"/>
      <c r="N72" s="272"/>
      <c r="O72" s="141" t="str">
        <f>IF(P72="IN",'BOM_Phan II'!$Y$3,"")</f>
        <v/>
      </c>
      <c r="P72" s="153" t="str">
        <f t="shared" si="52"/>
        <v/>
      </c>
      <c r="Q72" s="265"/>
      <c r="R72" s="265"/>
      <c r="S72" s="265"/>
      <c r="T72" s="265"/>
      <c r="U72" s="265"/>
      <c r="AX72" s="155" t="str">
        <f t="shared" si="0"/>
        <v/>
      </c>
    </row>
    <row r="73" spans="1:50" s="155" customFormat="1" ht="30" hidden="1" customHeight="1">
      <c r="A73" s="141" t="str">
        <f t="shared" si="50"/>
        <v/>
      </c>
      <c r="B73" s="141" t="str">
        <f t="shared" si="51"/>
        <v/>
      </c>
      <c r="C73" s="256">
        <f>IF(P73="IN",MAX($C$65:$C72)+1,0)</f>
        <v>0</v>
      </c>
      <c r="D73" s="257"/>
      <c r="E73" s="158"/>
      <c r="F73" s="163"/>
      <c r="G73" s="194"/>
      <c r="H73" s="194"/>
      <c r="I73" s="194"/>
      <c r="J73" s="258"/>
      <c r="K73" s="258"/>
      <c r="L73" s="258"/>
      <c r="M73" s="259"/>
      <c r="N73" s="272"/>
      <c r="O73" s="141" t="str">
        <f>IF(P73="IN",'BOM_Phan II'!$Y$3,"")</f>
        <v/>
      </c>
      <c r="P73" s="153" t="str">
        <f t="shared" si="52"/>
        <v/>
      </c>
      <c r="Q73" s="265"/>
      <c r="R73" s="265"/>
      <c r="S73" s="265"/>
      <c r="T73" s="265"/>
      <c r="U73" s="265"/>
      <c r="AX73" s="155" t="str">
        <f t="shared" si="0"/>
        <v/>
      </c>
    </row>
    <row r="74" spans="1:50" s="204" customFormat="1" ht="30" customHeight="1">
      <c r="A74" s="195" t="str">
        <f t="shared" ref="A74" si="53">IF(P74="IN",$E$6,"")</f>
        <v>DC113B(EI60)</v>
      </c>
      <c r="B74" s="195" t="str">
        <f t="shared" ref="B74" si="54">IF(P74="IN","Muc "&amp;$E$7,"")</f>
        <v>Muc 9.1</v>
      </c>
      <c r="C74" s="250" t="str">
        <f>IF($A$9=1,"E","H")</f>
        <v>E</v>
      </c>
      <c r="D74" s="251" t="s">
        <v>52</v>
      </c>
      <c r="E74" s="251"/>
      <c r="F74" s="273"/>
      <c r="G74" s="274"/>
      <c r="H74" s="274"/>
      <c r="I74" s="274"/>
      <c r="J74" s="270"/>
      <c r="K74" s="270"/>
      <c r="L74" s="270"/>
      <c r="M74" s="271"/>
      <c r="N74" s="255"/>
      <c r="O74" s="195">
        <f>IF(P74="IN",'BOM_Phan II'!$Y$3,"")</f>
        <v>6</v>
      </c>
      <c r="P74" s="203" t="str">
        <f t="shared" ref="P74" si="55">IF(OR(E74&lt;&gt;"",D74&lt;&gt;""),"IN","")</f>
        <v>IN</v>
      </c>
      <c r="Q74" s="265"/>
      <c r="R74" s="265"/>
      <c r="S74" s="265"/>
      <c r="T74" s="265"/>
      <c r="U74" s="265"/>
      <c r="AX74" s="155" t="str">
        <f t="shared" si="0"/>
        <v>IN</v>
      </c>
    </row>
    <row r="75" spans="1:50" s="155" customFormat="1" ht="30" hidden="1" customHeight="1">
      <c r="A75" s="141" t="str">
        <f t="shared" ref="A75" si="56">IF(P75="IN",$E$6,"")</f>
        <v/>
      </c>
      <c r="B75" s="141" t="str">
        <f t="shared" ref="B75" si="57">IF(P75="IN","Muc "&amp;$E$7,"")</f>
        <v/>
      </c>
      <c r="C75" s="256">
        <f>IF(P75="IN",MAX($C$74:$C74)+1,0)</f>
        <v>0</v>
      </c>
      <c r="D75" s="257"/>
      <c r="E75" s="158"/>
      <c r="F75" s="163"/>
      <c r="G75" s="194"/>
      <c r="H75" s="194"/>
      <c r="I75" s="194"/>
      <c r="J75" s="258"/>
      <c r="K75" s="258"/>
      <c r="L75" s="258"/>
      <c r="M75" s="259"/>
      <c r="N75" s="272"/>
      <c r="O75" s="141" t="str">
        <f>IF(P75="IN",'BOM_Phan II'!$Y$3,"")</f>
        <v/>
      </c>
      <c r="P75" s="153" t="str">
        <f t="shared" ref="P75" si="58">IF(OR(E75&lt;&gt;"",D75&lt;&gt;""),"IN","")</f>
        <v/>
      </c>
      <c r="Q75" s="265"/>
      <c r="R75" s="265"/>
      <c r="S75" s="265"/>
      <c r="T75" s="265"/>
      <c r="U75" s="265"/>
      <c r="AX75" s="155" t="str">
        <f t="shared" si="0"/>
        <v/>
      </c>
    </row>
    <row r="76" spans="1:50" s="155" customFormat="1" ht="30" hidden="1" customHeight="1">
      <c r="A76" s="141" t="str">
        <f t="shared" ref="A76:A78" si="59">IF(P76="IN",$E$6,"")</f>
        <v/>
      </c>
      <c r="B76" s="141" t="str">
        <f t="shared" ref="B76:B78" si="60">IF(P76="IN","Muc "&amp;$E$7,"")</f>
        <v/>
      </c>
      <c r="C76" s="256">
        <f>IF(P76="IN",MAX($C$74:$C75)+1,0)</f>
        <v>0</v>
      </c>
      <c r="D76" s="257"/>
      <c r="E76" s="158"/>
      <c r="F76" s="163"/>
      <c r="G76" s="194"/>
      <c r="H76" s="194"/>
      <c r="I76" s="194"/>
      <c r="J76" s="258"/>
      <c r="K76" s="258"/>
      <c r="L76" s="258"/>
      <c r="M76" s="259"/>
      <c r="N76" s="272"/>
      <c r="O76" s="141" t="str">
        <f>IF(P76="IN",'BOM_Phan II'!$Y$3,"")</f>
        <v/>
      </c>
      <c r="P76" s="153" t="str">
        <f t="shared" ref="P76:P78" si="61">IF(OR(E76&lt;&gt;"",D76&lt;&gt;""),"IN","")</f>
        <v/>
      </c>
      <c r="Q76" s="265"/>
      <c r="R76" s="265"/>
      <c r="S76" s="265"/>
      <c r="T76" s="265"/>
      <c r="U76" s="265"/>
      <c r="AX76" s="155" t="str">
        <f t="shared" si="0"/>
        <v/>
      </c>
    </row>
    <row r="77" spans="1:50" s="155" customFormat="1" ht="30" hidden="1" customHeight="1">
      <c r="A77" s="141" t="str">
        <f t="shared" ref="A77" si="62">IF(P77="IN",$E$6,"")</f>
        <v/>
      </c>
      <c r="B77" s="141" t="str">
        <f t="shared" ref="B77" si="63">IF(P77="IN","Muc "&amp;$E$7,"")</f>
        <v/>
      </c>
      <c r="C77" s="256">
        <f>IF(P77="IN",MAX($C$74:$C76)+1,0)</f>
        <v>0</v>
      </c>
      <c r="D77" s="257"/>
      <c r="E77" s="158"/>
      <c r="F77" s="163"/>
      <c r="G77" s="194"/>
      <c r="H77" s="194"/>
      <c r="I77" s="194"/>
      <c r="J77" s="258"/>
      <c r="K77" s="258"/>
      <c r="L77" s="258"/>
      <c r="M77" s="259"/>
      <c r="N77" s="272"/>
      <c r="O77" s="141" t="str">
        <f>IF(P77="IN",'BOM_Phan II'!$Y$3,"")</f>
        <v/>
      </c>
      <c r="P77" s="153" t="str">
        <f t="shared" ref="P77" si="64">IF(OR(E77&lt;&gt;"",D77&lt;&gt;""),"IN","")</f>
        <v/>
      </c>
      <c r="Q77" s="265"/>
      <c r="R77" s="265"/>
      <c r="S77" s="265"/>
      <c r="T77" s="265"/>
      <c r="U77" s="265"/>
      <c r="AX77" s="155" t="str">
        <f t="shared" si="0"/>
        <v/>
      </c>
    </row>
    <row r="78" spans="1:50" s="155" customFormat="1" ht="30" hidden="1" customHeight="1">
      <c r="A78" s="141" t="str">
        <f t="shared" si="59"/>
        <v/>
      </c>
      <c r="B78" s="141" t="str">
        <f t="shared" si="60"/>
        <v/>
      </c>
      <c r="C78" s="256">
        <f>IF(P78="IN",MAX($C$74:$C77)+1,0)</f>
        <v>0</v>
      </c>
      <c r="D78" s="257"/>
      <c r="E78" s="158"/>
      <c r="F78" s="163"/>
      <c r="G78" s="194"/>
      <c r="H78" s="194"/>
      <c r="I78" s="194"/>
      <c r="J78" s="258"/>
      <c r="K78" s="258"/>
      <c r="L78" s="258"/>
      <c r="M78" s="259"/>
      <c r="N78" s="272"/>
      <c r="O78" s="141" t="str">
        <f>IF(P78="IN",'BOM_Phan II'!$Y$3,"")</f>
        <v/>
      </c>
      <c r="P78" s="153" t="str">
        <f t="shared" si="61"/>
        <v/>
      </c>
      <c r="Q78" s="265"/>
      <c r="R78" s="265"/>
      <c r="S78" s="265"/>
      <c r="T78" s="265"/>
      <c r="U78" s="265"/>
      <c r="AX78" s="155" t="str">
        <f t="shared" si="0"/>
        <v/>
      </c>
    </row>
    <row r="79" spans="1:50" ht="20.100000000000001" customHeight="1">
      <c r="C79" s="11"/>
      <c r="D79" s="13"/>
      <c r="E79" s="13"/>
      <c r="F79" s="11"/>
      <c r="G79" s="11"/>
      <c r="H79" s="11"/>
      <c r="I79" s="11"/>
      <c r="J79" s="19"/>
      <c r="K79" s="19"/>
      <c r="L79" s="19"/>
      <c r="M79" s="19"/>
      <c r="N79" s="13"/>
      <c r="O79" s="107"/>
      <c r="P79" s="70" t="s">
        <v>73</v>
      </c>
      <c r="AX79" s="3" t="str">
        <f t="shared" si="0"/>
        <v>IN</v>
      </c>
    </row>
    <row r="80" spans="1:50" ht="20.100000000000001" customHeight="1">
      <c r="C80" s="9"/>
      <c r="D80" s="9"/>
      <c r="E80" s="9"/>
      <c r="F80" s="9"/>
      <c r="G80" s="9"/>
      <c r="H80" s="9"/>
      <c r="I80" s="9"/>
      <c r="J80" s="65"/>
      <c r="K80" s="137"/>
      <c r="L80" s="65" t="str">
        <f ca="1">'BOM_Phan II'!P494</f>
        <v>Ngày 10 tháng 8 năm 2026</v>
      </c>
      <c r="M80" s="137"/>
      <c r="N80" s="13"/>
      <c r="O80" s="107"/>
      <c r="P80" s="70" t="s">
        <v>73</v>
      </c>
      <c r="AX80" s="3" t="str">
        <f t="shared" si="0"/>
        <v>IN</v>
      </c>
    </row>
    <row r="81" spans="3:50" ht="20.100000000000001" customHeight="1">
      <c r="C81" s="43"/>
      <c r="D81" s="71" t="str">
        <f>'BOM_Phan II'!G495</f>
        <v>Kiểm duyệt</v>
      </c>
      <c r="E81" s="39"/>
      <c r="F81" s="39"/>
      <c r="G81" s="39"/>
      <c r="H81" s="39"/>
      <c r="I81" s="39"/>
      <c r="J81" s="71"/>
      <c r="K81" s="74"/>
      <c r="L81" s="71" t="str">
        <f>'BOM_Phan II'!P495</f>
        <v>Người Lập</v>
      </c>
      <c r="M81" s="74"/>
      <c r="N81" s="72"/>
      <c r="O81" s="108"/>
      <c r="P81" s="70" t="s">
        <v>73</v>
      </c>
      <c r="AX81" s="3" t="str">
        <f t="shared" si="0"/>
        <v>IN</v>
      </c>
    </row>
    <row r="82" spans="3:50" ht="20.100000000000001" customHeight="1">
      <c r="C82" s="43"/>
      <c r="D82" s="73"/>
      <c r="E82" s="39"/>
      <c r="F82" s="39"/>
      <c r="G82" s="39"/>
      <c r="H82" s="39"/>
      <c r="I82" s="39"/>
      <c r="J82" s="74"/>
      <c r="K82" s="74"/>
      <c r="L82" s="74"/>
      <c r="M82" s="74"/>
      <c r="N82" s="72"/>
      <c r="O82" s="108"/>
      <c r="P82" s="70" t="s">
        <v>73</v>
      </c>
      <c r="AX82" s="3" t="str">
        <f t="shared" si="0"/>
        <v>IN</v>
      </c>
    </row>
    <row r="83" spans="3:50" ht="20.100000000000001" customHeight="1">
      <c r="C83" s="43"/>
      <c r="D83" s="73"/>
      <c r="E83" s="39"/>
      <c r="F83" s="39"/>
      <c r="G83" s="39"/>
      <c r="H83" s="39"/>
      <c r="I83" s="39"/>
      <c r="J83" s="74"/>
      <c r="K83" s="74"/>
      <c r="L83" s="74"/>
      <c r="M83" s="74"/>
      <c r="N83" s="72"/>
      <c r="O83" s="108"/>
      <c r="P83" s="70" t="s">
        <v>73</v>
      </c>
      <c r="AX83" s="3" t="str">
        <f t="shared" si="0"/>
        <v>IN</v>
      </c>
    </row>
    <row r="84" spans="3:50" ht="20.100000000000001" customHeight="1">
      <c r="C84" s="43"/>
      <c r="D84" s="39"/>
      <c r="E84" s="10"/>
      <c r="F84" s="9"/>
      <c r="G84" s="9"/>
      <c r="H84" s="75"/>
      <c r="I84" s="75"/>
      <c r="J84" s="74"/>
      <c r="K84" s="74"/>
      <c r="L84" s="74"/>
      <c r="M84" s="74"/>
      <c r="N84" s="76"/>
      <c r="O84" s="109"/>
      <c r="P84" s="70" t="s">
        <v>73</v>
      </c>
      <c r="AX84" s="3" t="str">
        <f t="shared" si="0"/>
        <v>IN</v>
      </c>
    </row>
    <row r="85" spans="3:50" ht="20.100000000000001" customHeight="1">
      <c r="C85" s="92"/>
      <c r="D85" s="71" t="str">
        <f>'BOM_Phan II'!G499</f>
        <v xml:space="preserve"> Đỗ Hồng Thái</v>
      </c>
      <c r="E85" s="77"/>
      <c r="F85" s="77"/>
      <c r="G85" s="77"/>
      <c r="H85" s="77"/>
      <c r="I85" s="77"/>
      <c r="J85" s="71"/>
      <c r="K85" s="74"/>
      <c r="L85" s="71" t="str">
        <f>'BOM_Phan II'!P499</f>
        <v>Phạm Thanh Huy</v>
      </c>
      <c r="M85" s="74"/>
      <c r="N85" s="78"/>
      <c r="O85" s="110"/>
      <c r="P85" s="70" t="s">
        <v>73</v>
      </c>
      <c r="AX85" s="3" t="str">
        <f t="shared" si="0"/>
        <v>IN</v>
      </c>
    </row>
    <row r="86" spans="3:50" ht="20.100000000000001" customHeight="1">
      <c r="D86" s="16"/>
      <c r="E86" s="17"/>
      <c r="F86" s="17"/>
      <c r="N86" s="17"/>
      <c r="O86" s="17"/>
      <c r="P86" s="17"/>
    </row>
    <row r="87" spans="3:50" ht="15">
      <c r="D87" s="13"/>
      <c r="E87" s="390"/>
      <c r="F87" s="390"/>
      <c r="G87" s="11"/>
      <c r="H87" s="11"/>
      <c r="I87" s="11"/>
      <c r="J87" s="11"/>
      <c r="K87" s="11"/>
      <c r="L87" s="11"/>
      <c r="M87" s="11"/>
    </row>
  </sheetData>
  <sheetProtection formatCells="0" formatColumns="0" formatRows="0" insertHyperlinks="0" sort="0" autoFilter="0" pivotTables="0"/>
  <autoFilter ref="A11:AX85" xr:uid="{00000000-0001-0000-0200-000000000000}">
    <filterColumn colId="49">
      <customFilters>
        <customFilter operator="notEqual" val=" "/>
      </customFilters>
    </filterColumn>
  </autoFilter>
  <mergeCells count="25">
    <mergeCell ref="L1:N1"/>
    <mergeCell ref="L2:N2"/>
    <mergeCell ref="L3:N3"/>
    <mergeCell ref="E1:J3"/>
    <mergeCell ref="J10:L10"/>
    <mergeCell ref="N10:N11"/>
    <mergeCell ref="O10:O11"/>
    <mergeCell ref="A10:A11"/>
    <mergeCell ref="B10:B11"/>
    <mergeCell ref="C9:N9"/>
    <mergeCell ref="E87:F87"/>
    <mergeCell ref="C10:C11"/>
    <mergeCell ref="D10:D11"/>
    <mergeCell ref="E10:E11"/>
    <mergeCell ref="F10:F11"/>
    <mergeCell ref="G10:G11"/>
    <mergeCell ref="H10:H11"/>
    <mergeCell ref="I10:I11"/>
    <mergeCell ref="M10:M11"/>
    <mergeCell ref="C8:D8"/>
    <mergeCell ref="C1:D3"/>
    <mergeCell ref="C4:D4"/>
    <mergeCell ref="C5:D5"/>
    <mergeCell ref="C6:D6"/>
    <mergeCell ref="C7:D7"/>
  </mergeCells>
  <phoneticPr fontId="24" type="noConversion"/>
  <conditionalFormatting sqref="D13:D25">
    <cfRule type="cellIs" dxfId="110" priority="222" operator="equal">
      <formula>0</formula>
    </cfRule>
    <cfRule type="expression" dxfId="109" priority="224">
      <formula>D13="LỖI DỮ LIỆU"</formula>
    </cfRule>
  </conditionalFormatting>
  <conditionalFormatting sqref="D28:D32">
    <cfRule type="cellIs" dxfId="108" priority="276" operator="equal">
      <formula>0</formula>
    </cfRule>
    <cfRule type="expression" dxfId="107" priority="278">
      <formula>D28="LỖI DỮ LIỆU"</formula>
    </cfRule>
  </conditionalFormatting>
  <conditionalFormatting sqref="D44:D64">
    <cfRule type="cellIs" dxfId="106" priority="17" operator="equal">
      <formula>0</formula>
    </cfRule>
    <cfRule type="expression" dxfId="105" priority="19">
      <formula>D44="LỖI DỮ LIỆU"</formula>
    </cfRule>
  </conditionalFormatting>
  <conditionalFormatting sqref="D66:D73">
    <cfRule type="cellIs" dxfId="104" priority="40" operator="equal">
      <formula>0</formula>
    </cfRule>
    <cfRule type="expression" dxfId="103" priority="42">
      <formula>D66="LỖI DỮ LIỆU"</formula>
    </cfRule>
  </conditionalFormatting>
  <conditionalFormatting sqref="D13:E25">
    <cfRule type="duplicateValues" dxfId="102" priority="61"/>
  </conditionalFormatting>
  <conditionalFormatting sqref="D28:E32">
    <cfRule type="duplicateValues" dxfId="101" priority="292"/>
  </conditionalFormatting>
  <conditionalFormatting sqref="D46:E46 D44:D45">
    <cfRule type="duplicateValues" dxfId="100" priority="55"/>
  </conditionalFormatting>
  <conditionalFormatting sqref="D47:E47">
    <cfRule type="duplicateValues" dxfId="99" priority="20"/>
  </conditionalFormatting>
  <conditionalFormatting sqref="D48 D49:E60">
    <cfRule type="duplicateValues" dxfId="98" priority="32"/>
  </conditionalFormatting>
  <conditionalFormatting sqref="D62:E64 D61">
    <cfRule type="duplicateValues" dxfId="97" priority="293"/>
  </conditionalFormatting>
  <conditionalFormatting sqref="D66:E69">
    <cfRule type="duplicateValues" dxfId="96" priority="43"/>
  </conditionalFormatting>
  <conditionalFormatting sqref="D70:E73">
    <cfRule type="duplicateValues" dxfId="95" priority="295"/>
  </conditionalFormatting>
  <conditionalFormatting sqref="E44:E45">
    <cfRule type="duplicateValues" dxfId="94" priority="45"/>
  </conditionalFormatting>
  <conditionalFormatting sqref="E46">
    <cfRule type="duplicateValues" dxfId="93" priority="56"/>
  </conditionalFormatting>
  <conditionalFormatting sqref="E47">
    <cfRule type="duplicateValues" dxfId="92" priority="21"/>
  </conditionalFormatting>
  <conditionalFormatting sqref="E48">
    <cfRule type="duplicateValues" dxfId="91" priority="10"/>
  </conditionalFormatting>
  <conditionalFormatting sqref="E49:E60">
    <cfRule type="duplicateValues" dxfId="90" priority="33"/>
  </conditionalFormatting>
  <conditionalFormatting sqref="E61">
    <cfRule type="duplicateValues" dxfId="89" priority="57"/>
  </conditionalFormatting>
  <conditionalFormatting sqref="E62:E64 E70:E73 E28:E32 E13:E26">
    <cfRule type="duplicateValues" dxfId="88" priority="296"/>
  </conditionalFormatting>
  <conditionalFormatting sqref="E66:E69">
    <cfRule type="duplicateValues" dxfId="87" priority="44"/>
  </conditionalFormatting>
  <conditionalFormatting sqref="F13:I25">
    <cfRule type="cellIs" dxfId="86" priority="58" operator="equal">
      <formula>0</formula>
    </cfRule>
    <cfRule type="expression" dxfId="85" priority="60">
      <formula>F13="LỖI DỮ LIỆU"</formula>
    </cfRule>
  </conditionalFormatting>
  <conditionalFormatting sqref="F28:I32">
    <cfRule type="cellIs" dxfId="84" priority="101" operator="equal">
      <formula>0</formula>
    </cfRule>
    <cfRule type="expression" dxfId="83" priority="103">
      <formula>F28="LỖI DỮ LIỆU"</formula>
    </cfRule>
  </conditionalFormatting>
  <conditionalFormatting sqref="F44:I64">
    <cfRule type="cellIs" dxfId="82" priority="11" operator="equal">
      <formula>0</formula>
    </cfRule>
    <cfRule type="expression" dxfId="81" priority="13">
      <formula>F44="LỖI DỮ LIỆU"</formula>
    </cfRule>
  </conditionalFormatting>
  <conditionalFormatting sqref="F66:I73">
    <cfRule type="cellIs" dxfId="80" priority="34" operator="equal">
      <formula>0</formula>
    </cfRule>
    <cfRule type="expression" dxfId="79" priority="36">
      <formula>F66="LỖI DỮ LIỆU"</formula>
    </cfRule>
  </conditionalFormatting>
  <conditionalFormatting sqref="D75:D78">
    <cfRule type="cellIs" dxfId="78" priority="5" operator="equal">
      <formula>0</formula>
    </cfRule>
    <cfRule type="expression" dxfId="77" priority="6">
      <formula>D75="LỖI DỮ LIỆU"</formula>
    </cfRule>
  </conditionalFormatting>
  <conditionalFormatting sqref="D75:E78">
    <cfRule type="duplicateValues" dxfId="76" priority="7"/>
  </conditionalFormatting>
  <conditionalFormatting sqref="E75:E78">
    <cfRule type="duplicateValues" dxfId="75" priority="8"/>
  </conditionalFormatting>
  <conditionalFormatting sqref="F75:I78">
    <cfRule type="cellIs" dxfId="74" priority="3" operator="equal">
      <formula>0</formula>
    </cfRule>
    <cfRule type="expression" dxfId="73" priority="4">
      <formula>F75="LỖI DỮ LIỆU"</formula>
    </cfRule>
  </conditionalFormatting>
  <conditionalFormatting sqref="Q33:U33">
    <cfRule type="expression" dxfId="72" priority="2">
      <formula>AND(ROW()=CELL("row"),COLUMN()=CELL("col"))</formula>
    </cfRule>
  </conditionalFormatting>
  <conditionalFormatting sqref="A9">
    <cfRule type="expression" dxfId="71" priority="1">
      <formula>AND(ROW()=CELL("row"),COLUMN()=CELL("col"))</formula>
    </cfRule>
  </conditionalFormatting>
  <printOptions horizontalCentered="1"/>
  <pageMargins left="0" right="0" top="0.25" bottom="0.25" header="0" footer="0"/>
  <pageSetup paperSize="9" scale="50" orientation="landscape" r:id="rId1"/>
  <headerFooter scaleWithDoc="0" alignWithMargins="0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lblUpdateStatus">
          <controlPr defaultSize="0" autoLine="0" autoPict="0" r:id="rId5">
            <anchor moveWithCells="1">
              <from>
                <xdr:col>15</xdr:col>
                <xdr:colOff>200025</xdr:colOff>
                <xdr:row>1</xdr:row>
                <xdr:rowOff>219075</xdr:rowOff>
              </from>
              <to>
                <xdr:col>24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3" r:id="rId4" name="lblUpdateStatu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F154-2318-46B1-B127-A1F90CED92B1}">
  <sheetPr codeName="Sheet4" filterMode="1">
    <tabColor rgb="FFFFFF00"/>
  </sheetPr>
  <dimension ref="A1:AX844"/>
  <sheetViews>
    <sheetView view="pageBreakPreview" topLeftCell="B1" zoomScale="55" zoomScaleNormal="100" zoomScaleSheetLayoutView="55" workbookViewId="0">
      <pane ySplit="11" topLeftCell="A12" activePane="bottomLeft" state="frozen"/>
      <selection activeCell="C8" sqref="C8:D8"/>
      <selection pane="bottomLeft" activeCell="C12" sqref="C12"/>
    </sheetView>
  </sheetViews>
  <sheetFormatPr defaultColWidth="4.85546875" defaultRowHeight="25.35" customHeight="1"/>
  <cols>
    <col min="1" max="1" width="5.85546875" style="3" customWidth="1"/>
    <col min="2" max="2" width="6" style="3" customWidth="1"/>
    <col min="3" max="3" width="19.140625" style="16" customWidth="1"/>
    <col min="4" max="4" width="15.28515625" style="3" customWidth="1"/>
    <col min="5" max="5" width="54.85546875" style="3" customWidth="1"/>
    <col min="6" max="6" width="13.28515625" style="16" customWidth="1"/>
    <col min="7" max="8" width="13.28515625" style="17" customWidth="1"/>
    <col min="9" max="9" width="9.7109375" style="17" customWidth="1"/>
    <col min="10" max="10" width="25.28515625" style="17" customWidth="1"/>
    <col min="11" max="13" width="12.140625" style="17" customWidth="1"/>
    <col min="14" max="14" width="8.28515625" style="17" customWidth="1"/>
    <col min="15" max="15" width="23.42578125" style="17" customWidth="1"/>
    <col min="16" max="16" width="12.85546875" style="17" customWidth="1"/>
    <col min="17" max="17" width="42.7109375" style="3" customWidth="1"/>
    <col min="18" max="18" width="4.5703125" style="3" customWidth="1"/>
    <col min="19" max="19" width="15.7109375" style="3" customWidth="1"/>
    <col min="20" max="20" width="9" style="3" customWidth="1"/>
    <col min="21" max="22" width="14.5703125" style="3" customWidth="1"/>
    <col min="23" max="23" width="4.85546875" style="3"/>
    <col min="24" max="24" width="21.42578125" style="3" bestFit="1" customWidth="1"/>
    <col min="25" max="25" width="4.85546875" style="3"/>
    <col min="26" max="26" width="14.140625" style="3" bestFit="1" customWidth="1"/>
    <col min="27" max="29" width="16.5703125" style="3" customWidth="1"/>
    <col min="30" max="30" width="11.42578125" style="231" bestFit="1" customWidth="1"/>
    <col min="31" max="31" width="11.28515625" style="3" bestFit="1" customWidth="1"/>
    <col min="32" max="16384" width="4.85546875" style="3"/>
  </cols>
  <sheetData>
    <row r="1" spans="1:50" ht="21" customHeight="1">
      <c r="C1" s="372"/>
      <c r="D1" s="373"/>
      <c r="E1" s="399" t="s">
        <v>80</v>
      </c>
      <c r="F1" s="400"/>
      <c r="G1" s="400"/>
      <c r="H1" s="400"/>
      <c r="I1" s="400"/>
      <c r="J1" s="401"/>
      <c r="K1" s="132" t="str">
        <f>'BOM_Phan II'!$P$1</f>
        <v>Số hiệu:</v>
      </c>
      <c r="L1" s="328" t="s">
        <v>41</v>
      </c>
      <c r="M1" s="329"/>
      <c r="N1" s="329"/>
      <c r="O1" s="329"/>
      <c r="P1" s="329"/>
      <c r="Q1" s="330"/>
      <c r="R1" s="247" t="s">
        <v>188</v>
      </c>
      <c r="S1" s="248" t="s">
        <v>189</v>
      </c>
    </row>
    <row r="2" spans="1:50" ht="24" customHeight="1">
      <c r="C2" s="374"/>
      <c r="D2" s="375"/>
      <c r="E2" s="402"/>
      <c r="F2" s="403"/>
      <c r="G2" s="403"/>
      <c r="H2" s="403"/>
      <c r="I2" s="403"/>
      <c r="J2" s="404"/>
      <c r="K2" s="69" t="str">
        <f>'BOM_Phan II'!$P$2</f>
        <v>Lần ban hành:</v>
      </c>
      <c r="L2" s="396"/>
      <c r="M2" s="397"/>
      <c r="N2" s="397"/>
      <c r="O2" s="397"/>
      <c r="P2" s="397"/>
      <c r="Q2" s="398"/>
      <c r="R2" s="105"/>
    </row>
    <row r="3" spans="1:50" ht="28.5" customHeight="1">
      <c r="C3" s="376"/>
      <c r="D3" s="377"/>
      <c r="E3" s="405"/>
      <c r="F3" s="406"/>
      <c r="G3" s="406"/>
      <c r="H3" s="406"/>
      <c r="I3" s="406"/>
      <c r="J3" s="407"/>
      <c r="K3" s="69" t="str">
        <f>'BOM_Phan II'!$P$3</f>
        <v>Ngày hiệu lực:</v>
      </c>
      <c r="L3" s="396"/>
      <c r="M3" s="397"/>
      <c r="N3" s="397"/>
      <c r="O3" s="397"/>
      <c r="P3" s="397"/>
      <c r="Q3" s="398"/>
      <c r="R3" s="106"/>
    </row>
    <row r="4" spans="1:50" ht="20.100000000000001" customHeight="1">
      <c r="C4" s="378" t="str">
        <f>'BOM_Phan II'!$C$4:$E$4</f>
        <v>Dự án :</v>
      </c>
      <c r="D4" s="379"/>
      <c r="E4" s="113" t="str">
        <f>'BOM_Phan II'!E4</f>
        <v>SYCAMORE</v>
      </c>
      <c r="F4" s="81"/>
      <c r="G4" s="116"/>
      <c r="H4" s="116"/>
      <c r="I4" s="116"/>
      <c r="J4" s="113" t="str">
        <f>'BOM_Phan II'!$O$4</f>
        <v>Đơn hàng :</v>
      </c>
      <c r="K4" s="113" t="str">
        <f>'BOM_Phan II'!P4</f>
        <v>2511_SYCAMORE_CT01_REV01</v>
      </c>
      <c r="L4" s="82"/>
      <c r="M4" s="138"/>
      <c r="N4" s="138"/>
      <c r="O4" s="138"/>
      <c r="P4" s="138" t="str">
        <f>IF(COUNTIF(P5:P500, "&gt;25") &gt; 0, "VƯỢT KL", "")</f>
        <v/>
      </c>
      <c r="Q4" s="133"/>
    </row>
    <row r="5" spans="1:50" ht="20.100000000000001" customHeight="1" thickBot="1">
      <c r="C5" s="380" t="str">
        <f>'BOM_Phan II'!$C$5:$E$5</f>
        <v>Tên Sản phẩm:</v>
      </c>
      <c r="D5" s="381"/>
      <c r="E5" s="100" t="str">
        <f>'BOM_Phan II'!E5</f>
        <v>Cửa chính căn hộ , 1 cánh mở</v>
      </c>
      <c r="F5" s="83"/>
      <c r="G5" s="118"/>
      <c r="H5" s="118"/>
      <c r="I5" s="118"/>
      <c r="J5" s="114" t="str">
        <f>'BOM_Phan II'!$O$5</f>
        <v>Kích thước :</v>
      </c>
      <c r="K5" s="114" t="str">
        <f>'BOM_Phan II'!P5</f>
        <v>Theo bản vẽ</v>
      </c>
      <c r="L5" s="84"/>
      <c r="M5" s="139"/>
      <c r="N5" s="139"/>
      <c r="O5" s="139"/>
      <c r="P5" s="139"/>
      <c r="Q5" s="134"/>
      <c r="S5" s="193" t="s">
        <v>98</v>
      </c>
    </row>
    <row r="6" spans="1:50" ht="20.100000000000001" customHeight="1">
      <c r="C6" s="382" t="str">
        <f>'BOM_Phan II'!$C$6:$E$6</f>
        <v>Mã sản phẩm :</v>
      </c>
      <c r="D6" s="383"/>
      <c r="E6" s="100" t="str">
        <f>'BOM_Phan II'!E6</f>
        <v>DC113B(EI60)</v>
      </c>
      <c r="F6" s="83"/>
      <c r="G6" s="118"/>
      <c r="H6" s="118"/>
      <c r="I6" s="118"/>
      <c r="J6" s="114" t="str">
        <f>'BOM_Phan II'!$O$6</f>
        <v>Số lượng :</v>
      </c>
      <c r="K6" s="114" t="str">
        <f>'BOM_Phan II'!P6</f>
        <v>1 BỘ</v>
      </c>
      <c r="L6" s="84"/>
      <c r="M6" s="139"/>
      <c r="N6" s="139"/>
      <c r="O6" s="139"/>
      <c r="P6" s="139"/>
      <c r="Q6" s="134"/>
      <c r="S6" s="411">
        <v>750</v>
      </c>
      <c r="V6" s="3" t="s">
        <v>153</v>
      </c>
    </row>
    <row r="7" spans="1:50" ht="20.100000000000001" customHeight="1" thickBot="1">
      <c r="C7" s="382" t="str">
        <f>'BOM_Phan II'!C7:$E$7</f>
        <v>Mục số :</v>
      </c>
      <c r="D7" s="383"/>
      <c r="E7" s="100">
        <f>'BOM_Phan II'!E7</f>
        <v>9.1</v>
      </c>
      <c r="F7" s="83"/>
      <c r="G7" s="118"/>
      <c r="H7" s="118"/>
      <c r="I7" s="118"/>
      <c r="J7" s="114" t="str">
        <f>'BOM_Phan II'!$O$7</f>
        <v>Kết cấu :</v>
      </c>
      <c r="K7" s="114" t="str">
        <f>'BOM_Phan II'!P7</f>
        <v>Module</v>
      </c>
      <c r="L7" s="84"/>
      <c r="M7" s="139"/>
      <c r="N7" s="139"/>
      <c r="O7" s="139"/>
      <c r="P7" s="139"/>
      <c r="Q7" s="134"/>
      <c r="S7" s="412"/>
    </row>
    <row r="8" spans="1:50" ht="20.100000000000001" customHeight="1">
      <c r="C8" s="370" t="str">
        <f>'BOM_Phan II'!$C$8:$E$8</f>
        <v>Vật liệu:</v>
      </c>
      <c r="D8" s="371"/>
      <c r="E8" s="112" t="str">
        <f>'BOM_Phan II'!E8</f>
        <v>MDF LAMINATE</v>
      </c>
      <c r="F8" s="89"/>
      <c r="G8" s="120"/>
      <c r="H8" s="120"/>
      <c r="I8" s="120"/>
      <c r="J8" s="112" t="str">
        <f>'BOM_Phan II'!$O$8</f>
        <v>Hoàn thiện :</v>
      </c>
      <c r="K8" s="112" t="str">
        <f>'BOM_Phan II'!P8</f>
        <v>Theo bản vẽ</v>
      </c>
      <c r="L8" s="90"/>
      <c r="M8" s="140"/>
      <c r="N8" s="140"/>
      <c r="O8" s="140"/>
      <c r="P8" s="140"/>
      <c r="Q8" s="135"/>
    </row>
    <row r="9" spans="1:50" ht="20.100000000000001" customHeight="1" thickBot="1">
      <c r="C9" s="387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8"/>
      <c r="O9" s="388"/>
      <c r="P9" s="388"/>
      <c r="Q9" s="389"/>
      <c r="R9" s="136"/>
    </row>
    <row r="10" spans="1:50" ht="26.45" customHeight="1">
      <c r="A10" s="385" t="s">
        <v>71</v>
      </c>
      <c r="B10" s="385" t="s">
        <v>72</v>
      </c>
      <c r="C10" s="391" t="s">
        <v>91</v>
      </c>
      <c r="D10" s="292" t="s">
        <v>10</v>
      </c>
      <c r="E10" s="308" t="s">
        <v>40</v>
      </c>
      <c r="F10" s="308" t="s">
        <v>1</v>
      </c>
      <c r="G10" s="309"/>
      <c r="H10" s="309"/>
      <c r="I10" s="306" t="s">
        <v>66</v>
      </c>
      <c r="J10" s="394" t="s">
        <v>92</v>
      </c>
      <c r="K10" s="408" t="s">
        <v>93</v>
      </c>
      <c r="L10" s="408"/>
      <c r="M10" s="408"/>
      <c r="N10" s="394" t="s">
        <v>66</v>
      </c>
      <c r="O10" s="394" t="s">
        <v>94</v>
      </c>
      <c r="P10" s="394" t="s">
        <v>95</v>
      </c>
      <c r="Q10" s="409" t="s">
        <v>82</v>
      </c>
      <c r="R10" s="384" t="s">
        <v>76</v>
      </c>
    </row>
    <row r="11" spans="1:50" ht="29.85" customHeight="1">
      <c r="A11" s="386"/>
      <c r="B11" s="386"/>
      <c r="C11" s="392"/>
      <c r="D11" s="293"/>
      <c r="E11" s="393"/>
      <c r="F11" s="94" t="s">
        <v>18</v>
      </c>
      <c r="G11" s="94" t="s">
        <v>19</v>
      </c>
      <c r="H11" s="94" t="s">
        <v>20</v>
      </c>
      <c r="I11" s="307"/>
      <c r="J11" s="307"/>
      <c r="K11" s="130" t="s">
        <v>18</v>
      </c>
      <c r="L11" s="131" t="s">
        <v>19</v>
      </c>
      <c r="M11" s="129" t="s">
        <v>20</v>
      </c>
      <c r="N11" s="395"/>
      <c r="O11" s="413"/>
      <c r="P11" s="395"/>
      <c r="Q11" s="410"/>
      <c r="R11" s="384"/>
      <c r="S11" s="33" t="s">
        <v>53</v>
      </c>
      <c r="T11" s="33"/>
      <c r="U11" s="33" t="s">
        <v>99</v>
      </c>
      <c r="W11" s="240"/>
      <c r="X11" s="241" t="s">
        <v>168</v>
      </c>
      <c r="Y11" s="241"/>
      <c r="Z11" s="242" t="s">
        <v>169</v>
      </c>
      <c r="AX11" s="3" t="str">
        <f>+S11</f>
        <v>LỌC IN</v>
      </c>
    </row>
    <row r="12" spans="1:50" s="204" customFormat="1" ht="30" customHeight="1" thickBot="1">
      <c r="A12" s="195" t="str">
        <f>IF(S12="IN",$E$6,"")</f>
        <v>DC113B(EI60)</v>
      </c>
      <c r="B12" s="195" t="str">
        <f>IF(S12="IN","Muc "&amp;$E$7,"")</f>
        <v>Muc 9.1</v>
      </c>
      <c r="C12" s="196" t="s">
        <v>96</v>
      </c>
      <c r="D12" s="197" t="str">
        <f>IF('BOM_Phan III'!A9,"F","I")</f>
        <v>F</v>
      </c>
      <c r="E12" s="198" t="s">
        <v>97</v>
      </c>
      <c r="F12" s="199"/>
      <c r="G12" s="200"/>
      <c r="H12" s="200"/>
      <c r="I12" s="200"/>
      <c r="J12" s="199"/>
      <c r="K12" s="199"/>
      <c r="L12" s="199"/>
      <c r="M12" s="199"/>
      <c r="N12" s="201"/>
      <c r="O12" s="275" t="s">
        <v>242</v>
      </c>
      <c r="P12" s="237"/>
      <c r="Q12" s="202"/>
      <c r="R12" s="195">
        <f>IF(S12="IN",'BOM_Phan II'!$Y$3,"")</f>
        <v>6</v>
      </c>
      <c r="S12" s="203" t="str">
        <f>IF(OR(E12&lt;&gt;"",D12&lt;&gt;""),"IN","")</f>
        <v>IN</v>
      </c>
      <c r="W12" s="240" t="str" cm="1">
        <f t="array" ref="W12">SUBSTITUTE(_xlfn._xlws.FILTER('[2]BOM_Phan II'!X12:X765, ('[2]BOM_Phan II'!$X$13:$X$766=1) + ('[2]BOM_Phan II'!$X$13:$X$766=2), ""), 0, "")</f>
        <v/>
      </c>
      <c r="X12" s="240"/>
      <c r="Y12" s="240" t="str">
        <f t="shared" ref="Y12" si="0">IFERROR(VALUE(RIGHT(C12,LEN(C12)-5)),"")</f>
        <v/>
      </c>
      <c r="Z12" s="240"/>
      <c r="AA12" s="246"/>
      <c r="AD12" s="232" t="str">
        <f t="shared" ref="AD12:AD77" si="1">IFERROR(VALUE(RIGHT(C12,LEN(C12)-5)),"")</f>
        <v/>
      </c>
      <c r="AF12" s="155"/>
      <c r="AX12" s="3" t="str">
        <f t="shared" ref="AX12:AX75" si="2">+S12</f>
        <v>IN</v>
      </c>
    </row>
    <row r="13" spans="1:50" s="155" customFormat="1" ht="30" customHeight="1">
      <c r="A13" s="141" t="str">
        <f t="shared" ref="A13" si="3">IF(S13="IN",$E$6,"")</f>
        <v>DC113B(EI60)</v>
      </c>
      <c r="B13" s="141" t="str">
        <f t="shared" ref="B13" si="4">IF(S13="IN","Muc "&amp;$E$7,"")</f>
        <v>Muc 9.1</v>
      </c>
      <c r="C13" s="205" t="str" cm="1">
        <f t="array" ref="C13">IF(D13="","",
    IF(AND(ISNUMBER(D13), D13=INT(D13)),
        $V$6 &amp; " " &amp; (IFERROR(MAX($Y$12:$Y12), 0) + 1),
        IF(ISNUMBER(SEARCH(".", D13)), "", INDEX($C$12:$C13, MATCH(2, 1/($C$12:$C13 &lt;&gt; ""))))
    )
)</f>
        <v>KIỆN 1</v>
      </c>
      <c r="D13" s="206" cm="1">
        <f t="array" ref="D13:D22">_xlfn.LET(
    _xlpm.Data_PhanII, 'BOM_Phan II'!C13:C482,
    _xlpm.Cond_PhanII, ('BOM_Phan II'!$X$13:$X$482=1) + ('BOM_Phan II'!$X$13:$X$482=2),
    _xlpm.Filtered_PhanII, _xlfn._xlws.FILTER(_xlpm.Data_PhanII, _xlpm.Cond_PhanII, ""),
    _xlpm.Data_PhanIII, 'BOM_Phan III'!C13:C514,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1</v>
      </c>
      <c r="E13" s="206" t="str">
        <f>IF(AA13 = "", "",
    IF(ISNUMBER(SEARCH("Kiện", C13)),
       " GÓI " &amp; COUNTIF($C$13:C13, "*Kiện*") &amp; "/" &amp; COUNTIF($C$13:$C$1000, "*Kiện*") &amp; " " &amp; AA13,
       AA13)
)</f>
        <v xml:space="preserve"> GÓI 1/9 KHUNG BAO ĐỨNG (KT TINH)</v>
      </c>
      <c r="F13" s="206" cm="1">
        <f t="array" ref="F13:F22">_xlfn.LET(
    _xlpm.Data_PhanII, 'BOM_Phan II'!E13:E700,
    _xlpm.Cond_PhanII, ('BOM_Phan II'!$X$13:$X$700=1) + ('BOM_Phan II'!$X$13:$X$700=2),
    _xlpm.Filtered_PhanII, _xlfn._xlws.FILTER(_xlpm.Data_PhanII, _xlpm.Cond_PhanII, ""),
    _xlpm.Data_PhanIII, 'BOM_Phan III'!Q13:Q514,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48</v>
      </c>
      <c r="G13" s="206" cm="1">
        <f t="array" ref="G13:G22">_xlfn.LET(
    _xlpm.Data_PhanII, 'BOM_Phan II'!F13:F700,
    _xlpm.Cond_PhanII, ('BOM_Phan II'!$X$13:$X$700=1) + ('BOM_Phan II'!$X$13:$X$700=2),
    _xlpm.Filtered_PhanII, _xlfn._xlws.FILTER(_xlpm.Data_PhanII, _xlpm.Cond_PhanII, ""),
    _xlpm.Data_PhanIII, 'BOM_Phan III'!R13:R514,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150</v>
      </c>
      <c r="H13" s="206" cm="1">
        <f t="array" ref="H13:H22">_xlfn.LET(
    _xlpm.Data_PhanII, 'BOM_Phan II'!G13:G700,
    _xlpm.Cond_PhanII, ('BOM_Phan II'!$X$13:$X$700=1) + ('BOM_Phan II'!$X$13:$X$700=2),
    _xlpm.Filtered_PhanII, _xlfn._xlws.FILTER(_xlpm.Data_PhanII, _xlpm.Cond_PhanII, ""),
    _xlpm.Data_PhanIII, 'BOM_Phan III'!S13:S514,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2333</v>
      </c>
      <c r="I13" s="206" cm="1">
        <f t="array" ref="I13:I22">_xlfn.LET(
    _xlpm.Data_PhanII, 'BOM_Phan II'!H13:H700,
    _xlpm.Cond_PhanII, ('BOM_Phan II'!$X$13:$X$700=1) + ('BOM_Phan II'!$X$13:$X$700=2),
    _xlpm.Filtered_PhanII, _xlfn._xlws.FILTER(_xlpm.Data_PhanII, _xlpm.Cond_PhanII, ""),
    _xlpm.Data_PhanIII, 'BOM_Phan III'!T13:T514,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2</v>
      </c>
      <c r="J13" s="206" t="str">
        <f t="shared" ref="J13:J16" si="5">IF(C13&lt;&gt;"",C13&amp;"_"&amp;$E$6,"")</f>
        <v>KIỆN 1_DC113B(EI60)</v>
      </c>
      <c r="K13" s="206">
        <f>IFERROR(IF($C13&lt;&gt;"",IF($T$13=1,F13+20,IF($T$13=2,F13+20,IF($T$13=3,F13+50,IF($T$13=4,F13+40,IF($T$13=5,F13+50,IF($T$13=51,F13+50,IF($T$13=6,F13+50,IF($T$13=7,F13+50,"")))))))),""),"")</f>
        <v>98</v>
      </c>
      <c r="L13" s="206">
        <f>IFERROR(IF($C13&lt;&gt;"",IF($T$13=1,G13+20,IF($T$13=2,G13+20,IF($T$13=3,G13+50,IF($T$13=4,G13+40,IF($T$13=5,G13+50,IF($T$13=51,G13+50,IF($T$13=6,G13+50,IF($T$13=7,G13+50,"")))))))),""),"")</f>
        <v>200</v>
      </c>
      <c r="M13" s="206">
        <f>IFERROR(IF($C13&lt;&gt;"",IF($T$13=1,H13+20,IF($T$13=2,H13+20,IF($T$13=3,H13+70,IF($T$13=4,H13+40,IF($T$13=5,H13+50,IF($T$13=51,H13+150,IF($T$13=6,H13+50,IF($T$13=7,H13+50,"")))))))),""),"")</f>
        <v>2383</v>
      </c>
      <c r="N13" s="206">
        <f t="shared" ref="N13:N16" si="6">IF(C13&lt;&gt;"",I13,"")</f>
        <v>2</v>
      </c>
      <c r="O13" s="206" t="str">
        <f>IF(C13&lt;&gt;"",$O$12,"")</f>
        <v>TIÊU CHUẨN DỰ ÁN</v>
      </c>
      <c r="P13" s="165">
        <f>IFERROR(IF(C13&lt;&gt;"",SUMIFS($V$13:$V$969,$U$13:$U$969,C13)*$S$6,V13*$S$6),"")</f>
        <v>0</v>
      </c>
      <c r="Q13" s="207" t="str" cm="1">
        <f t="array" ref="Q13:Q22">_xlfn.LET(
    _xlpm.Data_PhanII, 'BOM_Phan II'!O13:O700,
    _xlpm.Cond_PhanII, ('BOM_Phan II'!$X$13:$X$700=1) + ('BOM_Phan II'!$X$13:$X$700=2),
    _xlpm.Filtered_PhanII, _xlfn._xlws.FILTER(_xlpm.Data_PhanII, _xlpm.Cond_PhanII, ""),
    _xlpm.Data_PhanIII, 'BOM_Phan III'!N13:N514,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HOÀN THIỆN ĐI MODULE</v>
      </c>
      <c r="R13" s="141">
        <f>IF(S13="IN",'BOM_Phan II'!$Y$3,"")</f>
        <v>6</v>
      </c>
      <c r="S13" s="153" t="str">
        <f>IF(OR(E13&lt;&gt;"",D13&lt;&gt;""),"IN","")</f>
        <v>IN</v>
      </c>
      <c r="T13">
        <f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13" s="208" t="str">
        <f>$C$13</f>
        <v>KIỆN 1</v>
      </c>
      <c r="V13" s="208" t="str">
        <f>IFERROR(IF(AND(C13="", OR($W13="1", $W13="2")), IF(I13="", "", F13*G13*H13*I13/10^9), ""), "")</f>
        <v/>
      </c>
      <c r="W13" s="240" t="str" cm="1">
        <f t="array" ref="W13:W21">SUBSTITUTE(_xlfn._xlws.FILTER('BOM_Phan II'!X13:X766, ('BOM_Phan II'!$X$13:$X$766=1) + ('BOM_Phan II'!$X$13:$X$766=2), ""), 0, "")</f>
        <v>1</v>
      </c>
      <c r="X13" s="240" t="str" cm="1">
        <f t="array" ref="X13:X22">_xlfn.LET(
    _xlpm.Data_PhanII, 'BOM_Phan II'!I13:I700,
    _xlpm.Cond_PhanII, ('BOM_Phan II'!$X$13:$X$700=1) + ('BOM_Phan II'!$X$13:$X$700=2),
    _xlpm.Filtered_PhanII, _xlfn._xlws.FILTER(_xlpm.Data_PhanII, _xlpm.Cond_PhanII, ""),
    _xlpm.Data_PhanIII, 'BOM_Phan III'!H13:H514,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 xml:space="preserve">MDF HMR E1 1M LAM LK 4588A - 3x1220x2440 (mm) + Tấm chống cháy Eron/MgO (Magie Oxit) - 10x1220x2440 (mm) + Ván gỗ ghép tràm CC - 23x1220x2440 (mm) + Tấm chống cháy Eron/MgO (Magie Oxit) - 5x1220x2440 (mm) + MDF HMR E1 - 6x1220x2440 (mm) </v>
      </c>
      <c r="Y13" s="240">
        <f>IFERROR(VALUE(RIGHT(C13,LEN(C13)-5)),"")</f>
        <v>1</v>
      </c>
      <c r="Z13" s="240"/>
      <c r="AA13" s="246" t="str" cm="1">
        <f t="array" ref="AA13:AA22">_xlfn.LET(
    _xlpm.Data_PhanII, 'BOM_Phan II'!D13:D700,
    _xlpm.Cond_PhanII, ('BOM_Phan II'!$X$13:$X$700=1) + ('BOM_Phan II'!$X$13:$X$700=2),
    _xlpm.Filtered_PhanII, _xlfn._xlws.FILTER(_xlpm.Data_PhanII, _xlpm.Cond_PhanII, ""),
    _xlpm.Data_PhanIII, 'BOM_Phan III'!E13:E514,
    _xlpm.Cond_PhanIII, ('BOM_Phan III'!$U$13:$U$514=1) + ('BOM_Phan III'!$U$13:$U$514=2),
    _xlpm.Filtered_PhanIII, _xlfn._xlws.FILTER(_xlpm.Data_PhanIII, _xlpm.Cond_PhanIII, ""),
    _xlpm.Combined_Data, _xlfn.VSTACK(_xlpm.Filtered_PhanII, _xlpm.Filtered_PhanIII),
    IF(_xlpm.Combined_Data = 0, "", _xlpm.Combined_Data)
)</f>
        <v>KHUNG BAO ĐỨNG (KT TINH)</v>
      </c>
      <c r="AD13" s="232">
        <f t="shared" si="1"/>
        <v>1</v>
      </c>
      <c r="AE13" s="204"/>
      <c r="AX13" s="3" t="str">
        <f t="shared" si="2"/>
        <v>IN</v>
      </c>
    </row>
    <row r="14" spans="1:50" s="155" customFormat="1" ht="30" customHeight="1">
      <c r="A14" s="141" t="str">
        <f t="shared" ref="A14:A15" si="7">IF(S14="IN",$E$6,"")</f>
        <v>DC113B(EI60)</v>
      </c>
      <c r="B14" s="141" t="str">
        <f t="shared" ref="B14:B15" si="8">IF(S14="IN","Muc "&amp;$E$7,"")</f>
        <v>Muc 9.1</v>
      </c>
      <c r="C14" s="205" t="str" cm="1">
        <f t="array" ref="C14">IF(D14="","",
    IF(AND(ISNUMBER(D14), D14=INT(D14)),
        $V$6 &amp; " " &amp; (IFERROR(MAX($Y$12:$Y13), 0) + 1),
        IF(ISNUMBER(SEARCH(".", D14)), "", INDEX($C$12:$C14, MATCH(2, 1/($C$12:$C14 &lt;&gt; ""))))
    )
)</f>
        <v>KIỆN 2</v>
      </c>
      <c r="D14" s="206">
        <v>2</v>
      </c>
      <c r="E14" s="206" t="str">
        <f>IF(AA14 = "", "",
    IF(ISNUMBER(SEARCH("Kiện", C14)),
       " GÓI " &amp; COUNTIF($C$13:C14, "*Kiện*") &amp; "/" &amp; COUNTIF($C$13:$C$1000, "*Kiện*") &amp; " " &amp; AA14,
       AA14)
)</f>
        <v xml:space="preserve"> GÓI 2/9 KHUNG BAO NGANG (KT TINH)</v>
      </c>
      <c r="F14" s="206">
        <v>48</v>
      </c>
      <c r="G14" s="206">
        <v>150</v>
      </c>
      <c r="H14" s="206">
        <v>818</v>
      </c>
      <c r="I14" s="206">
        <v>1</v>
      </c>
      <c r="J14" s="206" t="str">
        <f t="shared" si="5"/>
        <v>KIỆN 2_DC113B(EI60)</v>
      </c>
      <c r="K14" s="206">
        <f t="shared" ref="K14:K19" si="9">IFERROR(IF($C14&lt;&gt;"",IF($T$13=1,F14+20,IF($T$13=2,F14+20,IF($T$13=3,F14+50,IF($T$13=4,F14+40,IF($T$13=5,F14+50,IF($T$13=51,F14+50,IF($T$13=6,F14+50,IF($T$13=7,F14+50,"")))))))),""),"")</f>
        <v>98</v>
      </c>
      <c r="L14" s="206">
        <f t="shared" ref="L14:L19" si="10">IFERROR(IF($C14&lt;&gt;"",IF($T$13=1,G14+20,IF($T$13=2,G14+20,IF($T$13=3,G14+50,IF($T$13=4,G14+40,IF($T$13=5,G14+50,IF($T$13=51,G14+50,IF($T$13=6,G14+50,IF($T$13=7,G14+50,"")))))))),""),"")</f>
        <v>200</v>
      </c>
      <c r="M14" s="206">
        <f t="shared" ref="M14:M19" si="11">IFERROR(IF($C14&lt;&gt;"",IF($T$13=1,H14+20,IF($T$13=2,H14+20,IF($T$13=3,H14+70,IF($T$13=4,H14+40,IF($T$13=5,H14+50,IF($T$13=51,H14+150,IF($T$13=6,H14+50,IF($T$13=7,H14+50,"")))))))),""),"")</f>
        <v>868</v>
      </c>
      <c r="N14" s="206">
        <f t="shared" si="6"/>
        <v>1</v>
      </c>
      <c r="O14" s="206" t="str">
        <f t="shared" ref="O14:O77" si="12">IF(C14&lt;&gt;"",$O$12,"")</f>
        <v>TIÊU CHUẨN DỰ ÁN</v>
      </c>
      <c r="P14" s="165">
        <f t="shared" ref="P14:P77" si="13">IFERROR(IF(C14&lt;&gt;"",SUMIFS($V$13:$V$969,$U$13:$U$969,C14)*$S$6,V14*$S$6),"")</f>
        <v>0</v>
      </c>
      <c r="Q14" s="207" t="str">
        <v>HOÀN THIỆN ĐI MODULE</v>
      </c>
      <c r="R14" s="141">
        <f>IF(S14="IN",'BOM_Phan II'!$Y$3,"")</f>
        <v>6</v>
      </c>
      <c r="S14" s="153" t="str">
        <f t="shared" ref="S14:S77" si="14">IF(OR(E14&lt;&gt;"",D14&lt;&gt;""),"IN","")</f>
        <v>IN</v>
      </c>
      <c r="T14">
        <f t="shared" ref="T14:T77" si="15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14" s="208" t="str">
        <f>IF(C14="",U13,C14)</f>
        <v>KIỆN 2</v>
      </c>
      <c r="V14" s="208" t="str">
        <f t="shared" ref="V14:V77" si="16">IFERROR(IF(AND(C14="", OR($W14="1", $W14="2")), IF(I14="", "", F14*G14*H14*I14/10^9), ""), "")</f>
        <v/>
      </c>
      <c r="W14" s="240" t="str">
        <v>1</v>
      </c>
      <c r="X14" s="240" t="str">
        <v xml:space="preserve">MDF HMR E1 1M LAM LK 4588A - 3x1220x2440 (mm) + Tấm chống cháy Eron/MgO (Magie Oxit) - 10x1220x2440 (mm) + Ván gỗ ghép tràm CC - 23x1220x2440 (mm) + Tấm chống cháy Eron/MgO (Magie Oxit) - 5x1220x2440 (mm) + MDF HMR E1 - 6x1220x2440 (mm) </v>
      </c>
      <c r="Y14" s="240">
        <f t="shared" ref="Y14:Y77" si="17">IFERROR(VALUE(RIGHT(C14,LEN(C14)-5)),"")</f>
        <v>2</v>
      </c>
      <c r="Z14" s="240"/>
      <c r="AA14" s="155" t="str">
        <v>KHUNG BAO NGANG (KT TINH)</v>
      </c>
      <c r="AD14" s="232">
        <f t="shared" si="1"/>
        <v>2</v>
      </c>
      <c r="AE14" s="204"/>
      <c r="AX14" s="3" t="str">
        <f t="shared" si="2"/>
        <v>IN</v>
      </c>
    </row>
    <row r="15" spans="1:50" s="155" customFormat="1" ht="30" customHeight="1">
      <c r="A15" s="141" t="str">
        <f t="shared" si="7"/>
        <v>DC113B(EI60)</v>
      </c>
      <c r="B15" s="141" t="str">
        <f t="shared" si="8"/>
        <v>Muc 9.1</v>
      </c>
      <c r="C15" s="205" t="str" cm="1">
        <f t="array" ref="C15">IF(D15="","",
    IF(AND(ISNUMBER(D15), D15=INT(D15)),
        $V$6 &amp; " " &amp; (IFERROR(MAX($Y$12:$Y14), 0) + 1),
        IF(ISNUMBER(SEARCH(".", D15)), "", INDEX($C$12:$C15, MATCH(2, 1/($C$12:$C15 &lt;&gt; ""))))
    )
)</f>
        <v>KIỆN 3</v>
      </c>
      <c r="D15" s="206">
        <v>3</v>
      </c>
      <c r="E15" s="206" t="str">
        <f>IF(AA15 = "", "",
    IF(ISNUMBER(SEARCH("Kiện", C15)),
       " GÓI " &amp; COUNTIF($C$13:C15, "*Kiện*") &amp; "/" &amp; COUNTIF($C$13:$C$1000, "*Kiện*") &amp; " " &amp; AA15,
       AA15)
)</f>
        <v xml:space="preserve"> GÓI 3/9 REBATE-DUNG-KT-TINH</v>
      </c>
      <c r="F15" s="206">
        <v>26</v>
      </c>
      <c r="G15" s="206">
        <v>78</v>
      </c>
      <c r="H15" s="206">
        <v>2285</v>
      </c>
      <c r="I15" s="206">
        <v>2</v>
      </c>
      <c r="J15" s="206" t="str">
        <f t="shared" si="5"/>
        <v>KIỆN 3_DC113B(EI60)</v>
      </c>
      <c r="K15" s="206">
        <f t="shared" si="9"/>
        <v>76</v>
      </c>
      <c r="L15" s="206">
        <f t="shared" si="10"/>
        <v>128</v>
      </c>
      <c r="M15" s="206">
        <f t="shared" si="11"/>
        <v>2335</v>
      </c>
      <c r="N15" s="206">
        <f t="shared" si="6"/>
        <v>2</v>
      </c>
      <c r="O15" s="206" t="str">
        <f t="shared" si="12"/>
        <v>TIÊU CHUẨN DỰ ÁN</v>
      </c>
      <c r="P15" s="165">
        <f t="shared" si="13"/>
        <v>0</v>
      </c>
      <c r="Q15" s="207" t="str">
        <v>HOÀN THIỆN ĐI MODULE</v>
      </c>
      <c r="R15" s="141">
        <f>IF(S15="IN",'BOM_Phan II'!$Y$3,"")</f>
        <v>6</v>
      </c>
      <c r="S15" s="153" t="str">
        <f t="shared" si="14"/>
        <v>IN</v>
      </c>
      <c r="T15">
        <f t="shared" si="15"/>
        <v>6</v>
      </c>
      <c r="U15" s="208" t="str">
        <f t="shared" ref="U15" si="18">IF(C15="",U14,C15)</f>
        <v>KIỆN 3</v>
      </c>
      <c r="V15" s="208" t="str">
        <f t="shared" si="16"/>
        <v/>
      </c>
      <c r="W15" s="240" t="str">
        <v>1</v>
      </c>
      <c r="X15" s="240" t="str">
        <v/>
      </c>
      <c r="Y15" s="240">
        <f t="shared" si="17"/>
        <v>3</v>
      </c>
      <c r="Z15" s="240"/>
      <c r="AA15" s="155" t="str">
        <v>REBATE-DUNG-KT-TINH</v>
      </c>
      <c r="AD15" s="232">
        <f t="shared" si="1"/>
        <v>3</v>
      </c>
      <c r="AE15" s="204"/>
      <c r="AX15" s="3" t="str">
        <f t="shared" si="2"/>
        <v>IN</v>
      </c>
    </row>
    <row r="16" spans="1:50" s="155" customFormat="1" ht="30" customHeight="1">
      <c r="A16" s="141" t="str">
        <f t="shared" ref="A16:A79" si="19">IF(S16="IN",$E$6,"")</f>
        <v>DC113B(EI60)</v>
      </c>
      <c r="B16" s="141" t="str">
        <f t="shared" ref="B16:B79" si="20">IF(S16="IN","Muc "&amp;$E$7,"")</f>
        <v>Muc 9.1</v>
      </c>
      <c r="C16" s="205" t="str" cm="1">
        <f t="array" ref="C16">IF(D16="","",
    IF(AND(ISNUMBER(D16), D16=INT(D16)),
        $V$6 &amp; " " &amp; (IFERROR(MAX($Y$12:$Y15), 0) + 1),
        IF(ISNUMBER(SEARCH(".", D16)), "", INDEX($C$12:$C16, MATCH(2, 1/($C$12:$C16 &lt;&gt; ""))))
    )
)</f>
        <v>KIỆN 4</v>
      </c>
      <c r="D16" s="206">
        <v>4</v>
      </c>
      <c r="E16" s="206" t="str">
        <f>IF(AA16 = "", "",
    IF(ISNUMBER(SEARCH("Kiện", C16)),
       " GÓI " &amp; COUNTIF($C$13:C16, "*Kiện*") &amp; "/" &amp; COUNTIF($C$13:$C$1000, "*Kiện*") &amp; " " &amp; AA16,
       AA16)
)</f>
        <v xml:space="preserve"> GÓI 4/9 REBATE-NGANG-KT-TINH</v>
      </c>
      <c r="F16" s="206">
        <v>26</v>
      </c>
      <c r="G16" s="206">
        <v>78</v>
      </c>
      <c r="H16" s="206">
        <v>722</v>
      </c>
      <c r="I16" s="206">
        <v>1</v>
      </c>
      <c r="J16" s="206" t="str">
        <f t="shared" si="5"/>
        <v>KIỆN 4_DC113B(EI60)</v>
      </c>
      <c r="K16" s="206">
        <f t="shared" si="9"/>
        <v>76</v>
      </c>
      <c r="L16" s="206">
        <f t="shared" si="10"/>
        <v>128</v>
      </c>
      <c r="M16" s="206">
        <f t="shared" si="11"/>
        <v>772</v>
      </c>
      <c r="N16" s="206">
        <f t="shared" si="6"/>
        <v>1</v>
      </c>
      <c r="O16" s="206" t="str">
        <f t="shared" si="12"/>
        <v>TIÊU CHUẨN DỰ ÁN</v>
      </c>
      <c r="P16" s="165">
        <f t="shared" si="13"/>
        <v>0</v>
      </c>
      <c r="Q16" s="207" t="str">
        <v>HOÀN THIỆN ĐI MODULE</v>
      </c>
      <c r="R16" s="141">
        <f>IF(S16="IN",'BOM_Phan II'!$Y$3,"")</f>
        <v>6</v>
      </c>
      <c r="S16" s="153" t="str">
        <f t="shared" si="14"/>
        <v>IN</v>
      </c>
      <c r="T16">
        <f t="shared" si="15"/>
        <v>6</v>
      </c>
      <c r="U16" s="208" t="str">
        <f t="shared" ref="U16:U79" si="21">IF(C16="",U15,C16)</f>
        <v>KIỆN 4</v>
      </c>
      <c r="V16" s="208" t="str">
        <f t="shared" si="16"/>
        <v/>
      </c>
      <c r="W16" s="240" t="str">
        <v>1</v>
      </c>
      <c r="X16" s="240" t="str">
        <v/>
      </c>
      <c r="Y16" s="240">
        <f t="shared" si="17"/>
        <v>4</v>
      </c>
      <c r="Z16" s="240"/>
      <c r="AA16" s="155" t="str">
        <v>REBATE-NGANG-KT-TINH</v>
      </c>
      <c r="AD16" s="232">
        <f t="shared" si="1"/>
        <v>4</v>
      </c>
      <c r="AE16" s="204"/>
      <c r="AX16" s="3" t="str">
        <f t="shared" si="2"/>
        <v>IN</v>
      </c>
    </row>
    <row r="17" spans="1:50" s="155" customFormat="1" ht="30" customHeight="1">
      <c r="A17" s="141" t="str">
        <f t="shared" si="19"/>
        <v>DC113B(EI60)</v>
      </c>
      <c r="B17" s="141" t="str">
        <f t="shared" si="20"/>
        <v>Muc 9.1</v>
      </c>
      <c r="C17" s="205" t="str" cm="1">
        <f t="array" ref="C17">IF(D17="","",
    IF(AND(ISNUMBER(D17), D17=INT(D17)),
        $V$6 &amp; " " &amp; (IFERROR(MAX($Y$12:$Y16), 0) + 1),
        IF(ISNUMBER(SEARCH(".", D17)), "", INDEX($C$12:$C17, MATCH(2, 1/($C$12:$C17 &lt;&gt; ""))))
    )
)</f>
        <v>KIỆN 5</v>
      </c>
      <c r="D17" s="206">
        <v>5</v>
      </c>
      <c r="E17" s="206" t="str">
        <f>IF(AA17 = "", "",
    IF(ISNUMBER(SEARCH("Kiện", C17)),
       " GÓI " &amp; COUNTIF($C$13:C17, "*Kiện*") &amp; "/" &amp; COUNTIF($C$13:$C$1000, "*Kiện*") &amp; " " &amp; AA17,
       AA17)
)</f>
        <v xml:space="preserve"> GÓI 5/9 CCHUP-DUNG1-KT-TINH</v>
      </c>
      <c r="F17" s="206">
        <v>23</v>
      </c>
      <c r="G17" s="206">
        <v>97</v>
      </c>
      <c r="H17" s="206">
        <v>2397</v>
      </c>
      <c r="I17" s="206">
        <v>2</v>
      </c>
      <c r="J17" s="206" t="str">
        <f t="shared" ref="J17:J79" si="22">IF(C17&lt;&gt;"",C17&amp;"_"&amp;$E$6,"")</f>
        <v>KIỆN 5_DC113B(EI60)</v>
      </c>
      <c r="K17" s="206">
        <f t="shared" si="9"/>
        <v>73</v>
      </c>
      <c r="L17" s="206">
        <f t="shared" si="10"/>
        <v>147</v>
      </c>
      <c r="M17" s="206">
        <f t="shared" si="11"/>
        <v>2447</v>
      </c>
      <c r="N17" s="206">
        <f t="shared" ref="N17:N79" si="23">IF(C17&lt;&gt;"",I17,"")</f>
        <v>2</v>
      </c>
      <c r="O17" s="206" t="str">
        <f t="shared" si="12"/>
        <v>TIÊU CHUẨN DỰ ÁN</v>
      </c>
      <c r="P17" s="165">
        <f t="shared" si="13"/>
        <v>0</v>
      </c>
      <c r="Q17" s="207" t="str">
        <v>HOÀN THIỆN ĐI MODULE</v>
      </c>
      <c r="R17" s="141">
        <f>IF(S17="IN",'BOM_Phan II'!$Y$3,"")</f>
        <v>6</v>
      </c>
      <c r="S17" s="153" t="str">
        <f t="shared" si="14"/>
        <v>IN</v>
      </c>
      <c r="T17">
        <f t="shared" si="15"/>
        <v>6</v>
      </c>
      <c r="U17" s="208" t="str">
        <f t="shared" si="21"/>
        <v>KIỆN 5</v>
      </c>
      <c r="V17" s="208" t="str">
        <f t="shared" si="16"/>
        <v/>
      </c>
      <c r="W17" s="240" t="str">
        <v>1</v>
      </c>
      <c r="X17" s="240" t="str">
        <v/>
      </c>
      <c r="Y17" s="240">
        <f t="shared" si="17"/>
        <v>5</v>
      </c>
      <c r="Z17" s="240"/>
      <c r="AA17" s="155" t="str">
        <v>CCHUP-DUNG1-KT-TINH</v>
      </c>
      <c r="AD17" s="232">
        <f t="shared" si="1"/>
        <v>5</v>
      </c>
      <c r="AE17" s="204"/>
      <c r="AX17" s="3" t="str">
        <f t="shared" si="2"/>
        <v>IN</v>
      </c>
    </row>
    <row r="18" spans="1:50" s="155" customFormat="1" ht="30" customHeight="1">
      <c r="A18" s="141" t="str">
        <f t="shared" si="19"/>
        <v>DC113B(EI60)</v>
      </c>
      <c r="B18" s="141" t="str">
        <f t="shared" si="20"/>
        <v>Muc 9.1</v>
      </c>
      <c r="C18" s="205" t="str" cm="1">
        <f t="array" ref="C18">IF(D18="","",
    IF(AND(ISNUMBER(D18), D18=INT(D18)),
        $V$6 &amp; " " &amp; (IFERROR(MAX($Y$12:$Y17), 0) + 1),
        IF(ISNUMBER(SEARCH(".", D18)), "", INDEX($C$12:$C18, MATCH(2, 1/($C$12:$C18 &lt;&gt; ""))))
    )
)</f>
        <v>KIỆN 6</v>
      </c>
      <c r="D18" s="206">
        <v>6</v>
      </c>
      <c r="E18" s="206" t="str">
        <f>IF(AA18 = "", "",
    IF(ISNUMBER(SEARCH("Kiện", C18)),
       " GÓI " &amp; COUNTIF($C$13:C18, "*Kiện*") &amp; "/" &amp; COUNTIF($C$13:$C$1000, "*Kiện*") &amp; " " &amp; AA18,
       AA18)
)</f>
        <v xml:space="preserve"> GÓI 6/9 CCHUPNGANG1-KT-TINH</v>
      </c>
      <c r="F18" s="206">
        <v>23</v>
      </c>
      <c r="G18" s="206">
        <v>97</v>
      </c>
      <c r="H18" s="206">
        <v>946</v>
      </c>
      <c r="I18" s="206">
        <v>1</v>
      </c>
      <c r="J18" s="206" t="str">
        <f t="shared" si="22"/>
        <v>KIỆN 6_DC113B(EI60)</v>
      </c>
      <c r="K18" s="206">
        <f t="shared" si="9"/>
        <v>73</v>
      </c>
      <c r="L18" s="206">
        <f t="shared" si="10"/>
        <v>147</v>
      </c>
      <c r="M18" s="206">
        <f t="shared" si="11"/>
        <v>996</v>
      </c>
      <c r="N18" s="206">
        <f t="shared" si="23"/>
        <v>1</v>
      </c>
      <c r="O18" s="206" t="str">
        <f t="shared" si="12"/>
        <v>TIÊU CHUẨN DỰ ÁN</v>
      </c>
      <c r="P18" s="165">
        <f t="shared" si="13"/>
        <v>0</v>
      </c>
      <c r="Q18" s="207" t="str">
        <v>HOÀN THIỆN ĐI MODULE</v>
      </c>
      <c r="R18" s="141">
        <f>IF(S18="IN",'BOM_Phan II'!$Y$3,"")</f>
        <v>6</v>
      </c>
      <c r="S18" s="153" t="str">
        <f t="shared" si="14"/>
        <v>IN</v>
      </c>
      <c r="T18">
        <f t="shared" si="15"/>
        <v>6</v>
      </c>
      <c r="U18" s="208" t="str">
        <f t="shared" si="21"/>
        <v>KIỆN 6</v>
      </c>
      <c r="V18" s="208" t="str">
        <f t="shared" si="16"/>
        <v/>
      </c>
      <c r="W18" s="240" t="str">
        <v>1</v>
      </c>
      <c r="X18" s="240" t="str">
        <v/>
      </c>
      <c r="Y18" s="240">
        <f t="shared" si="17"/>
        <v>6</v>
      </c>
      <c r="Z18" s="240"/>
      <c r="AA18" s="155" t="str">
        <v>CCHUPNGANG1-KT-TINH</v>
      </c>
      <c r="AD18" s="232">
        <f t="shared" si="1"/>
        <v>6</v>
      </c>
      <c r="AE18" s="204"/>
      <c r="AX18" s="3" t="str">
        <f t="shared" si="2"/>
        <v>IN</v>
      </c>
    </row>
    <row r="19" spans="1:50" s="155" customFormat="1" ht="30" customHeight="1">
      <c r="A19" s="141" t="str">
        <f t="shared" si="19"/>
        <v>DC113B(EI60)</v>
      </c>
      <c r="B19" s="141" t="str">
        <f t="shared" si="20"/>
        <v>Muc 9.1</v>
      </c>
      <c r="C19" s="205" t="str" cm="1">
        <f t="array" ref="C19">IF(D19="","",
    IF(AND(ISNUMBER(D19), D19=INT(D19)),
        $V$6 &amp; " " &amp; (IFERROR(MAX($Y$12:$Y18), 0) + 1),
        IF(ISNUMBER(SEARCH(".", D19)), "", INDEX($C$12:$C19, MATCH(2, 1/($C$12:$C19 &lt;&gt; ""))))
    )
)</f>
        <v>KIỆN 7</v>
      </c>
      <c r="D19" s="206">
        <v>7</v>
      </c>
      <c r="E19" s="206" t="str">
        <f>IF(AA19 = "", "",
    IF(ISNUMBER(SEARCH("Kiện", C19)),
       " GÓI " &amp; COUNTIF($C$13:C19, "*Kiện*") &amp; "/" &amp; COUNTIF($C$13:$C$1000, "*Kiện*") &amp; " " &amp; AA19,
       AA19)
)</f>
        <v xml:space="preserve"> GÓI 7/9 CCHUP-DUNG2-KT-TINH</v>
      </c>
      <c r="F19" s="206">
        <v>23</v>
      </c>
      <c r="G19" s="206">
        <v>80</v>
      </c>
      <c r="H19" s="206">
        <v>2380</v>
      </c>
      <c r="I19" s="206">
        <v>2</v>
      </c>
      <c r="J19" s="206" t="str">
        <f t="shared" si="22"/>
        <v>KIỆN 7_DC113B(EI60)</v>
      </c>
      <c r="K19" s="206">
        <f t="shared" si="9"/>
        <v>73</v>
      </c>
      <c r="L19" s="206">
        <f t="shared" si="10"/>
        <v>130</v>
      </c>
      <c r="M19" s="206">
        <f t="shared" si="11"/>
        <v>2430</v>
      </c>
      <c r="N19" s="206">
        <f t="shared" si="23"/>
        <v>2</v>
      </c>
      <c r="O19" s="206" t="str">
        <f t="shared" si="12"/>
        <v>TIÊU CHUẨN DỰ ÁN</v>
      </c>
      <c r="P19" s="165">
        <f t="shared" si="13"/>
        <v>0</v>
      </c>
      <c r="Q19" s="207" t="str">
        <v>HOÀN THIỆN ĐI MODULE</v>
      </c>
      <c r="R19" s="141">
        <f>IF(S19="IN",'BOM_Phan II'!$Y$3,"")</f>
        <v>6</v>
      </c>
      <c r="S19" s="153" t="str">
        <f t="shared" si="14"/>
        <v>IN</v>
      </c>
      <c r="T19">
        <f t="shared" si="15"/>
        <v>6</v>
      </c>
      <c r="U19" s="208" t="str">
        <f t="shared" si="21"/>
        <v>KIỆN 7</v>
      </c>
      <c r="V19" s="208" t="str">
        <f t="shared" si="16"/>
        <v/>
      </c>
      <c r="W19" s="240" t="str">
        <v>1</v>
      </c>
      <c r="X19" s="240" t="str">
        <v/>
      </c>
      <c r="Y19" s="240">
        <f t="shared" si="17"/>
        <v>7</v>
      </c>
      <c r="Z19" s="240"/>
      <c r="AA19" s="155" t="str">
        <v>CCHUP-DUNG2-KT-TINH</v>
      </c>
      <c r="AD19" s="232">
        <f t="shared" si="1"/>
        <v>7</v>
      </c>
      <c r="AE19" s="204"/>
      <c r="AX19" s="3" t="str">
        <f t="shared" si="2"/>
        <v>IN</v>
      </c>
    </row>
    <row r="20" spans="1:50" s="155" customFormat="1" ht="30" customHeight="1">
      <c r="A20" s="141" t="str">
        <f t="shared" si="19"/>
        <v>DC113B(EI60)</v>
      </c>
      <c r="B20" s="141" t="str">
        <f t="shared" si="20"/>
        <v>Muc 9.1</v>
      </c>
      <c r="C20" s="205" t="str" cm="1">
        <f t="array" ref="C20">IF(D20="","",
    IF(AND(ISNUMBER(D20), D20=INT(D20)),
        $V$6 &amp; " " &amp; (IFERROR(MAX($Y$12:$Y19), 0) + 1),
        IF(ISNUMBER(SEARCH(".", D20)), "", INDEX($C$12:$C20, MATCH(2, 1/($C$12:$C20 &lt;&gt; ""))))
    )
)</f>
        <v>KIỆN 8</v>
      </c>
      <c r="D20" s="206">
        <v>8</v>
      </c>
      <c r="E20" s="206" t="str">
        <f>IF(AA20 = "", "",
    IF(ISNUMBER(SEARCH("Kiện", C20)),
       " GÓI " &amp; COUNTIF($C$13:C20, "*Kiện*") &amp; "/" &amp; COUNTIF($C$13:$C$1000, "*Kiện*") &amp; " " &amp; AA20,
       AA20)
)</f>
        <v xml:space="preserve"> GÓI 8/9 CCHUPNGANG2-KT-TINH</v>
      </c>
      <c r="F20" s="206">
        <v>23</v>
      </c>
      <c r="G20" s="206">
        <v>80</v>
      </c>
      <c r="H20" s="206">
        <v>912</v>
      </c>
      <c r="I20" s="206">
        <v>1</v>
      </c>
      <c r="J20" s="206" t="str">
        <f t="shared" si="22"/>
        <v>KIỆN 8_DC113B(EI60)</v>
      </c>
      <c r="K20" s="206">
        <f t="shared" ref="K20:K77" si="24">IFERROR(IF($C20&lt;&gt;"",IF($T$13=1,F20+20,IF($T$13=2,F20+20,IF($T$13=3,F20+50,IF($T$13=4,F20+40,IF($T$13=5,F20+50,IF($T$13=51,F20+50,IF($T$13=6,F20+50,IF($T$13=7,F20+50,"")))))))),""),"")</f>
        <v>73</v>
      </c>
      <c r="L20" s="206">
        <f t="shared" ref="L20:L77" si="25">IFERROR(IF($C20&lt;&gt;"",IF($T$13=1,G20+20,IF($T$13=2,G20+20,IF($T$13=3,G20+50,IF($T$13=4,G20+40,IF($T$13=5,G20+50,IF($T$13=51,G20+50,IF($T$13=6,G20+50,IF($T$13=7,G20+50,"")))))))),""),"")</f>
        <v>130</v>
      </c>
      <c r="M20" s="206">
        <f t="shared" ref="M20:M77" si="26">IFERROR(IF($C20&lt;&gt;"",IF($T$13=1,H20+20,IF($T$13=2,H20+20,IF($T$13=3,H20+70,IF($T$13=4,H20+40,IF($T$13=5,H20+50,IF($T$13=51,H20+150,IF($T$13=6,H20+50,IF($T$13=7,H20+50,"")))))))),""),"")</f>
        <v>962</v>
      </c>
      <c r="N20" s="206">
        <f t="shared" si="23"/>
        <v>1</v>
      </c>
      <c r="O20" s="206" t="str">
        <f t="shared" si="12"/>
        <v>TIÊU CHUẨN DỰ ÁN</v>
      </c>
      <c r="P20" s="165">
        <f t="shared" si="13"/>
        <v>0</v>
      </c>
      <c r="Q20" s="207" t="str">
        <v>HOÀN THIỆN ĐI MODULE</v>
      </c>
      <c r="R20" s="141">
        <f>IF(S20="IN",'BOM_Phan II'!$Y$3,"")</f>
        <v>6</v>
      </c>
      <c r="S20" s="153" t="str">
        <f t="shared" si="14"/>
        <v>IN</v>
      </c>
      <c r="T20">
        <f t="shared" si="15"/>
        <v>6</v>
      </c>
      <c r="U20" s="208" t="str">
        <f t="shared" si="21"/>
        <v>KIỆN 8</v>
      </c>
      <c r="V20" s="208" t="str">
        <f t="shared" si="16"/>
        <v/>
      </c>
      <c r="W20" s="240" t="str">
        <v>1</v>
      </c>
      <c r="X20" s="240" t="str">
        <v/>
      </c>
      <c r="Y20" s="240">
        <f t="shared" si="17"/>
        <v>8</v>
      </c>
      <c r="Z20" s="240"/>
      <c r="AA20" s="155" t="str">
        <v>CCHUPNGANG2-KT-TINH</v>
      </c>
      <c r="AD20" s="232">
        <f t="shared" si="1"/>
        <v>8</v>
      </c>
      <c r="AE20" s="204"/>
      <c r="AX20" s="3" t="str">
        <f t="shared" si="2"/>
        <v>IN</v>
      </c>
    </row>
    <row r="21" spans="1:50" s="155" customFormat="1" ht="30" customHeight="1">
      <c r="A21" s="141" t="str">
        <f t="shared" si="19"/>
        <v>DC113B(EI60)</v>
      </c>
      <c r="B21" s="141" t="str">
        <f t="shared" si="20"/>
        <v>Muc 9.1</v>
      </c>
      <c r="C21" s="205" t="str" cm="1">
        <f t="array" ref="C21">IF(D21="","",
    IF(AND(ISNUMBER(D21), D21=INT(D21)),
        $V$6 &amp; " " &amp; (IFERROR(MAX($Y$12:$Y20), 0) + 1),
        IF(ISNUMBER(SEARCH(".", D21)), "", INDEX($C$12:$C21, MATCH(2, 1/($C$12:$C21 &lt;&gt; ""))))
    )
)</f>
        <v>KIỆN 9</v>
      </c>
      <c r="D21" s="206">
        <v>9</v>
      </c>
      <c r="E21" s="206" t="str">
        <f>IF(AA21 = "", "",
    IF(ISNUMBER(SEARCH("Kiện", C21)),
       " GÓI " &amp; COUNTIF($C$13:C21, "*Kiện*") &amp; "/" &amp; COUNTIF($C$13:$C$1000, "*Kiện*") &amp; " " &amp; AA21,
       AA21)
)</f>
        <v xml:space="preserve"> GÓI 9/9 CANH</v>
      </c>
      <c r="F21" s="206">
        <v>53</v>
      </c>
      <c r="G21" s="206">
        <v>716</v>
      </c>
      <c r="H21" s="206">
        <v>2275</v>
      </c>
      <c r="I21" s="206">
        <v>1</v>
      </c>
      <c r="J21" s="206" t="str">
        <f t="shared" si="22"/>
        <v>KIỆN 9_DC113B(EI60)</v>
      </c>
      <c r="K21" s="206">
        <f t="shared" si="24"/>
        <v>103</v>
      </c>
      <c r="L21" s="206">
        <f t="shared" si="25"/>
        <v>766</v>
      </c>
      <c r="M21" s="206">
        <f t="shared" si="26"/>
        <v>2325</v>
      </c>
      <c r="N21" s="206">
        <f t="shared" si="23"/>
        <v>1</v>
      </c>
      <c r="O21" s="206" t="str">
        <f t="shared" si="12"/>
        <v>TIÊU CHUẨN DỰ ÁN</v>
      </c>
      <c r="P21" s="165">
        <f t="shared" si="13"/>
        <v>0</v>
      </c>
      <c r="Q21" s="207" t="str">
        <v>HOÀN THIỆN ĐI MODULE</v>
      </c>
      <c r="R21" s="141">
        <f>IF(S21="IN",'BOM_Phan II'!$Y$3,"")</f>
        <v>6</v>
      </c>
      <c r="S21" s="153" t="str">
        <f t="shared" si="14"/>
        <v>IN</v>
      </c>
      <c r="T21">
        <f t="shared" si="15"/>
        <v>6</v>
      </c>
      <c r="U21" s="208" t="str">
        <f t="shared" si="21"/>
        <v>KIỆN 9</v>
      </c>
      <c r="V21" s="208" t="str">
        <f t="shared" si="16"/>
        <v/>
      </c>
      <c r="W21" s="240" t="str">
        <v>1</v>
      </c>
      <c r="X21" s="240" t="str">
        <v/>
      </c>
      <c r="Y21" s="240">
        <f t="shared" si="17"/>
        <v>9</v>
      </c>
      <c r="Z21" s="240"/>
      <c r="AA21" s="155" t="str">
        <v>CANH</v>
      </c>
      <c r="AD21" s="232">
        <f t="shared" si="1"/>
        <v>9</v>
      </c>
      <c r="AE21" s="204"/>
      <c r="AX21" s="3" t="str">
        <f t="shared" si="2"/>
        <v>IN</v>
      </c>
    </row>
    <row r="22" spans="1:50" s="155" customFormat="1" ht="30" hidden="1" customHeight="1">
      <c r="A22" s="141" t="str">
        <f t="shared" si="19"/>
        <v/>
      </c>
      <c r="B22" s="141" t="str">
        <f t="shared" si="20"/>
        <v/>
      </c>
      <c r="C22" s="205" t="str" cm="1">
        <f t="array" ref="C22">IF(D22="","",
    IF(AND(ISNUMBER(D22), D22=INT(D22)),
        $V$6 &amp; " " &amp; (IFERROR(MAX($Y$12:$Y21), 0) + 1),
        IF(ISNUMBER(SEARCH(".", D22)), "", INDEX($C$12:$C22, MATCH(2, 1/($C$12:$C22 &lt;&gt; ""))))
    )
)</f>
        <v/>
      </c>
      <c r="D22" s="206" t="str">
        <v/>
      </c>
      <c r="E22" s="206" t="str">
        <f>IF(AA22 = "", "",
    IF(ISNUMBER(SEARCH("Kiện", C22)),
       " GÓI " &amp; COUNTIF($C$13:C22, "*Kiện*") &amp; "/" &amp; COUNTIF($C$13:$C$1000, "*Kiện*") &amp; " " &amp; AA22,
       AA22)
)</f>
        <v/>
      </c>
      <c r="F22" s="206" t="str">
        <v/>
      </c>
      <c r="G22" s="206" t="str">
        <v/>
      </c>
      <c r="H22" s="206" t="str">
        <v/>
      </c>
      <c r="I22" s="206" t="str">
        <v/>
      </c>
      <c r="J22" s="206" t="str">
        <f t="shared" si="22"/>
        <v/>
      </c>
      <c r="K22" s="206" t="str">
        <f t="shared" si="24"/>
        <v/>
      </c>
      <c r="L22" s="206" t="str">
        <f t="shared" si="25"/>
        <v/>
      </c>
      <c r="M22" s="206" t="str">
        <f t="shared" si="26"/>
        <v/>
      </c>
      <c r="N22" s="206" t="str">
        <f t="shared" si="23"/>
        <v/>
      </c>
      <c r="O22" s="206" t="str">
        <f t="shared" si="12"/>
        <v/>
      </c>
      <c r="P22" s="165" t="str">
        <f t="shared" si="13"/>
        <v/>
      </c>
      <c r="Q22" s="207" t="str">
        <v/>
      </c>
      <c r="R22" s="141" t="str">
        <f>IF(S22="IN",'BOM_Phan II'!$Y$3,"")</f>
        <v/>
      </c>
      <c r="S22" s="153" t="str">
        <f t="shared" si="14"/>
        <v/>
      </c>
      <c r="T22">
        <f t="shared" si="15"/>
        <v>6</v>
      </c>
      <c r="U22" s="208" t="str">
        <f t="shared" si="21"/>
        <v>KIỆN 9</v>
      </c>
      <c r="V22" s="208" t="str">
        <f t="shared" si="16"/>
        <v/>
      </c>
      <c r="W22" s="240"/>
      <c r="X22" s="240" t="str">
        <v/>
      </c>
      <c r="Y22" s="240" t="str">
        <f t="shared" si="17"/>
        <v/>
      </c>
      <c r="Z22" s="240"/>
      <c r="AA22" s="155" t="str">
        <v/>
      </c>
      <c r="AD22" s="232" t="str">
        <f t="shared" si="1"/>
        <v/>
      </c>
      <c r="AE22" s="204"/>
      <c r="AX22" s="3" t="str">
        <f t="shared" si="2"/>
        <v/>
      </c>
    </row>
    <row r="23" spans="1:50" s="155" customFormat="1" ht="30" hidden="1" customHeight="1">
      <c r="A23" s="141" t="str">
        <f t="shared" si="19"/>
        <v/>
      </c>
      <c r="B23" s="141" t="str">
        <f t="shared" si="20"/>
        <v/>
      </c>
      <c r="C23" s="205" t="str" cm="1">
        <f t="array" ref="C23">IF(D23="","",
    IF(AND(ISNUMBER(D23), D23=INT(D23)),
        $V$6 &amp; " " &amp; (IFERROR(MAX($Y$12:$Y22), 0) + 1),
        IF(ISNUMBER(SEARCH(".", D23)), "", INDEX($C$12:$C23, MATCH(2, 1/($C$12:$C23 &lt;&gt; ""))))
    )
)</f>
        <v/>
      </c>
      <c r="D23" s="206"/>
      <c r="E23" s="206" t="str">
        <f>IF(AA23 = "", "",
    IF(ISNUMBER(SEARCH("Kiện", C23)),
       " GÓI " &amp; COUNTIF($C$13:C23, "*Kiện*") &amp; "/" &amp; COUNTIF($C$13:$C$1000, "*Kiện*") &amp; " " &amp; AA23,
       AA23)
)</f>
        <v/>
      </c>
      <c r="F23" s="206"/>
      <c r="G23" s="206"/>
      <c r="H23" s="206"/>
      <c r="I23" s="206"/>
      <c r="J23" s="206" t="str">
        <f t="shared" si="22"/>
        <v/>
      </c>
      <c r="K23" s="206" t="str">
        <f t="shared" si="24"/>
        <v/>
      </c>
      <c r="L23" s="206" t="str">
        <f t="shared" si="25"/>
        <v/>
      </c>
      <c r="M23" s="206" t="str">
        <f t="shared" si="26"/>
        <v/>
      </c>
      <c r="N23" s="206" t="str">
        <f t="shared" si="23"/>
        <v/>
      </c>
      <c r="O23" s="206" t="str">
        <f t="shared" si="12"/>
        <v/>
      </c>
      <c r="P23" s="165" t="str">
        <f t="shared" si="13"/>
        <v/>
      </c>
      <c r="Q23" s="207"/>
      <c r="R23" s="141" t="str">
        <f>IF(S23="IN",'BOM_Phan II'!$Y$3,"")</f>
        <v/>
      </c>
      <c r="S23" s="153" t="str">
        <f t="shared" si="14"/>
        <v/>
      </c>
      <c r="T23">
        <f t="shared" si="15"/>
        <v>6</v>
      </c>
      <c r="U23" s="208" t="str">
        <f t="shared" si="21"/>
        <v>KIỆN 9</v>
      </c>
      <c r="V23" s="208" t="str">
        <f t="shared" si="16"/>
        <v/>
      </c>
      <c r="W23" s="240"/>
      <c r="X23" s="240"/>
      <c r="Y23" s="240" t="str">
        <f t="shared" si="17"/>
        <v/>
      </c>
      <c r="Z23" s="240"/>
      <c r="AD23" s="232" t="str">
        <f t="shared" si="1"/>
        <v/>
      </c>
      <c r="AE23" s="204"/>
      <c r="AX23" s="3" t="str">
        <f t="shared" si="2"/>
        <v/>
      </c>
    </row>
    <row r="24" spans="1:50" s="155" customFormat="1" ht="30" hidden="1" customHeight="1">
      <c r="A24" s="141" t="str">
        <f t="shared" si="19"/>
        <v/>
      </c>
      <c r="B24" s="141" t="str">
        <f t="shared" si="20"/>
        <v/>
      </c>
      <c r="C24" s="205" t="str" cm="1">
        <f t="array" ref="C24">IF(D24="","",
    IF(AND(ISNUMBER(D24), D24=INT(D24)),
        $V$6 &amp; " " &amp; (IFERROR(MAX($Y$12:$Y23), 0) + 1),
        IF(ISNUMBER(SEARCH(".", D24)), "", INDEX($C$12:$C24, MATCH(2, 1/($C$12:$C24 &lt;&gt; ""))))
    )
)</f>
        <v/>
      </c>
      <c r="D24" s="206"/>
      <c r="E24" s="206" t="str">
        <f>IF(AA24 = "", "",
    IF(ISNUMBER(SEARCH("Kiện", C24)),
       " GÓI " &amp; COUNTIF($C$13:C24, "*Kiện*") &amp; "/" &amp; COUNTIF($C$13:$C$1000, "*Kiện*") &amp; " " &amp; AA24,
       AA24)
)</f>
        <v/>
      </c>
      <c r="F24" s="206"/>
      <c r="G24" s="206"/>
      <c r="H24" s="206"/>
      <c r="I24" s="206"/>
      <c r="J24" s="206" t="str">
        <f t="shared" si="22"/>
        <v/>
      </c>
      <c r="K24" s="206" t="str">
        <f t="shared" si="24"/>
        <v/>
      </c>
      <c r="L24" s="206" t="str">
        <f t="shared" si="25"/>
        <v/>
      </c>
      <c r="M24" s="206" t="str">
        <f t="shared" si="26"/>
        <v/>
      </c>
      <c r="N24" s="206" t="str">
        <f t="shared" si="23"/>
        <v/>
      </c>
      <c r="O24" s="206" t="str">
        <f t="shared" si="12"/>
        <v/>
      </c>
      <c r="P24" s="165" t="str">
        <f t="shared" si="13"/>
        <v/>
      </c>
      <c r="Q24" s="207"/>
      <c r="R24" s="141" t="str">
        <f>IF(S24="IN",'BOM_Phan II'!$Y$3,"")</f>
        <v/>
      </c>
      <c r="S24" s="153" t="str">
        <f t="shared" si="14"/>
        <v/>
      </c>
      <c r="T24">
        <f t="shared" si="15"/>
        <v>6</v>
      </c>
      <c r="U24" s="208" t="str">
        <f t="shared" si="21"/>
        <v>KIỆN 9</v>
      </c>
      <c r="V24" s="208" t="str">
        <f t="shared" si="16"/>
        <v/>
      </c>
      <c r="W24" s="240"/>
      <c r="X24" s="240"/>
      <c r="Y24" s="240" t="str">
        <f t="shared" si="17"/>
        <v/>
      </c>
      <c r="Z24" s="240"/>
      <c r="AD24" s="232" t="str">
        <f t="shared" si="1"/>
        <v/>
      </c>
      <c r="AE24" s="204"/>
      <c r="AX24" s="3" t="str">
        <f t="shared" si="2"/>
        <v/>
      </c>
    </row>
    <row r="25" spans="1:50" s="155" customFormat="1" ht="30" hidden="1" customHeight="1">
      <c r="A25" s="141" t="str">
        <f t="shared" si="19"/>
        <v/>
      </c>
      <c r="B25" s="141" t="str">
        <f t="shared" si="20"/>
        <v/>
      </c>
      <c r="C25" s="205" t="str" cm="1">
        <f t="array" ref="C25">IF(D25="","",
    IF(AND(ISNUMBER(D25), D25=INT(D25)),
        $V$6 &amp; " " &amp; (IFERROR(MAX($Y$12:$Y24), 0) + 1),
        IF(ISNUMBER(SEARCH(".", D25)), "", INDEX($C$12:$C25, MATCH(2, 1/($C$12:$C25 &lt;&gt; ""))))
    )
)</f>
        <v/>
      </c>
      <c r="D25" s="206"/>
      <c r="E25" s="206" t="str">
        <f>IF(AA25 = "", "",
    IF(ISNUMBER(SEARCH("Kiện", C25)),
       " GÓI " &amp; COUNTIF($C$13:C25, "*Kiện*") &amp; "/" &amp; COUNTIF($C$13:$C$1000, "*Kiện*") &amp; " " &amp; AA25,
       AA25)
)</f>
        <v/>
      </c>
      <c r="F25" s="206"/>
      <c r="G25" s="206"/>
      <c r="H25" s="206"/>
      <c r="I25" s="206"/>
      <c r="J25" s="206" t="str">
        <f t="shared" si="22"/>
        <v/>
      </c>
      <c r="K25" s="206" t="str">
        <f t="shared" si="24"/>
        <v/>
      </c>
      <c r="L25" s="206" t="str">
        <f t="shared" si="25"/>
        <v/>
      </c>
      <c r="M25" s="206" t="str">
        <f t="shared" si="26"/>
        <v/>
      </c>
      <c r="N25" s="206" t="str">
        <f t="shared" si="23"/>
        <v/>
      </c>
      <c r="O25" s="206" t="str">
        <f t="shared" si="12"/>
        <v/>
      </c>
      <c r="P25" s="165" t="str">
        <f t="shared" si="13"/>
        <v/>
      </c>
      <c r="Q25" s="207"/>
      <c r="R25" s="141" t="str">
        <f>IF(S25="IN",'BOM_Phan II'!$Y$3,"")</f>
        <v/>
      </c>
      <c r="S25" s="153" t="str">
        <f t="shared" si="14"/>
        <v/>
      </c>
      <c r="T25">
        <f t="shared" si="15"/>
        <v>6</v>
      </c>
      <c r="U25" s="208" t="str">
        <f t="shared" si="21"/>
        <v>KIỆN 9</v>
      </c>
      <c r="V25" s="208" t="str">
        <f t="shared" si="16"/>
        <v/>
      </c>
      <c r="W25" s="240"/>
      <c r="X25" s="240"/>
      <c r="Y25" s="240" t="str">
        <f t="shared" si="17"/>
        <v/>
      </c>
      <c r="Z25" s="240"/>
      <c r="AD25" s="232" t="str">
        <f t="shared" si="1"/>
        <v/>
      </c>
      <c r="AE25" s="204"/>
      <c r="AX25" s="3" t="str">
        <f t="shared" si="2"/>
        <v/>
      </c>
    </row>
    <row r="26" spans="1:50" s="155" customFormat="1" ht="30" hidden="1" customHeight="1">
      <c r="A26" s="141" t="str">
        <f t="shared" si="19"/>
        <v/>
      </c>
      <c r="B26" s="141" t="str">
        <f t="shared" si="20"/>
        <v/>
      </c>
      <c r="C26" s="205" t="str" cm="1">
        <f t="array" ref="C26">IF(D26="","",
    IF(AND(ISNUMBER(D26), D26=INT(D26)),
        $V$6 &amp; " " &amp; (IFERROR(MAX($Y$12:$Y25), 0) + 1),
        IF(ISNUMBER(SEARCH(".", D26)), "", INDEX($C$12:$C26, MATCH(2, 1/($C$12:$C26 &lt;&gt; ""))))
    )
)</f>
        <v/>
      </c>
      <c r="D26" s="206"/>
      <c r="E26" s="206" t="str">
        <f>IF(AA26 = "", "",
    IF(ISNUMBER(SEARCH("Kiện", C26)),
       " GÓI " &amp; COUNTIF($C$13:C26, "*Kiện*") &amp; "/" &amp; COUNTIF($C$13:$C$1000, "*Kiện*") &amp; " " &amp; AA26,
       AA26)
)</f>
        <v/>
      </c>
      <c r="F26" s="206"/>
      <c r="G26" s="206"/>
      <c r="H26" s="206"/>
      <c r="I26" s="206"/>
      <c r="J26" s="206" t="str">
        <f t="shared" si="22"/>
        <v/>
      </c>
      <c r="K26" s="206" t="str">
        <f t="shared" si="24"/>
        <v/>
      </c>
      <c r="L26" s="206" t="str">
        <f t="shared" si="25"/>
        <v/>
      </c>
      <c r="M26" s="206" t="str">
        <f t="shared" si="26"/>
        <v/>
      </c>
      <c r="N26" s="206" t="str">
        <f t="shared" si="23"/>
        <v/>
      </c>
      <c r="O26" s="206" t="str">
        <f t="shared" si="12"/>
        <v/>
      </c>
      <c r="P26" s="165" t="str">
        <f t="shared" si="13"/>
        <v/>
      </c>
      <c r="Q26" s="207"/>
      <c r="R26" s="141" t="str">
        <f>IF(S26="IN",'BOM_Phan II'!$Y$3,"")</f>
        <v/>
      </c>
      <c r="S26" s="153" t="str">
        <f t="shared" si="14"/>
        <v/>
      </c>
      <c r="T26">
        <f t="shared" si="15"/>
        <v>6</v>
      </c>
      <c r="U26" s="208" t="str">
        <f t="shared" si="21"/>
        <v>KIỆN 9</v>
      </c>
      <c r="V26" s="208" t="str">
        <f t="shared" si="16"/>
        <v/>
      </c>
      <c r="W26" s="240"/>
      <c r="X26" s="240"/>
      <c r="Y26" s="240" t="str">
        <f t="shared" si="17"/>
        <v/>
      </c>
      <c r="Z26" s="240"/>
      <c r="AD26" s="232" t="str">
        <f t="shared" si="1"/>
        <v/>
      </c>
      <c r="AE26" s="204"/>
      <c r="AX26" s="3" t="str">
        <f t="shared" si="2"/>
        <v/>
      </c>
    </row>
    <row r="27" spans="1:50" s="155" customFormat="1" ht="30" hidden="1" customHeight="1">
      <c r="A27" s="141" t="str">
        <f t="shared" si="19"/>
        <v/>
      </c>
      <c r="B27" s="141" t="str">
        <f t="shared" si="20"/>
        <v/>
      </c>
      <c r="C27" s="205" t="str" cm="1">
        <f t="array" ref="C27">IF(D27="","",
    IF(AND(ISNUMBER(D27), D27=INT(D27)),
        $V$6 &amp; " " &amp; (IFERROR(MAX($Y$12:$Y26), 0) + 1),
        IF(ISNUMBER(SEARCH(".", D27)), "", INDEX($C$12:$C27, MATCH(2, 1/($C$12:$C27 &lt;&gt; ""))))
    )
)</f>
        <v/>
      </c>
      <c r="D27" s="206"/>
      <c r="E27" s="206" t="str">
        <f>IF(AA27 = "", "",
    IF(ISNUMBER(SEARCH("Kiện", C27)),
       " GÓI " &amp; COUNTIF($C$13:C27, "*Kiện*") &amp; "/" &amp; COUNTIF($C$13:$C$1000, "*Kiện*") &amp; " " &amp; AA27,
       AA27)
)</f>
        <v/>
      </c>
      <c r="F27" s="206"/>
      <c r="G27" s="206"/>
      <c r="H27" s="206"/>
      <c r="I27" s="206"/>
      <c r="J27" s="206" t="str">
        <f t="shared" si="22"/>
        <v/>
      </c>
      <c r="K27" s="206" t="str">
        <f t="shared" si="24"/>
        <v/>
      </c>
      <c r="L27" s="206" t="str">
        <f t="shared" si="25"/>
        <v/>
      </c>
      <c r="M27" s="206" t="str">
        <f t="shared" si="26"/>
        <v/>
      </c>
      <c r="N27" s="206" t="str">
        <f t="shared" si="23"/>
        <v/>
      </c>
      <c r="O27" s="206" t="str">
        <f t="shared" si="12"/>
        <v/>
      </c>
      <c r="P27" s="165" t="str">
        <f t="shared" si="13"/>
        <v/>
      </c>
      <c r="Q27" s="207"/>
      <c r="R27" s="141" t="str">
        <f>IF(S27="IN",'BOM_Phan II'!$Y$3,"")</f>
        <v/>
      </c>
      <c r="S27" s="153" t="str">
        <f t="shared" si="14"/>
        <v/>
      </c>
      <c r="T27">
        <f t="shared" si="15"/>
        <v>6</v>
      </c>
      <c r="U27" s="208" t="str">
        <f t="shared" si="21"/>
        <v>KIỆN 9</v>
      </c>
      <c r="V27" s="208" t="str">
        <f t="shared" si="16"/>
        <v/>
      </c>
      <c r="W27" s="240"/>
      <c r="X27" s="240"/>
      <c r="Y27" s="240" t="str">
        <f t="shared" si="17"/>
        <v/>
      </c>
      <c r="Z27" s="240"/>
      <c r="AD27" s="232" t="str">
        <f t="shared" si="1"/>
        <v/>
      </c>
      <c r="AE27" s="204"/>
      <c r="AX27" s="3" t="str">
        <f t="shared" si="2"/>
        <v/>
      </c>
    </row>
    <row r="28" spans="1:50" s="155" customFormat="1" ht="30" hidden="1" customHeight="1">
      <c r="A28" s="141" t="str">
        <f t="shared" si="19"/>
        <v/>
      </c>
      <c r="B28" s="141" t="str">
        <f t="shared" si="20"/>
        <v/>
      </c>
      <c r="C28" s="205" t="str" cm="1">
        <f t="array" ref="C28">IF(D28="","",
    IF(AND(ISNUMBER(D28), D28=INT(D28)),
        $V$6 &amp; " " &amp; (IFERROR(MAX($Y$12:$Y27), 0) + 1),
        IF(ISNUMBER(SEARCH(".", D28)), "", INDEX($C$12:$C28, MATCH(2, 1/($C$12:$C28 &lt;&gt; ""))))
    )
)</f>
        <v/>
      </c>
      <c r="D28" s="206"/>
      <c r="E28" s="206" t="str">
        <f>IF(AA28 = "", "",
    IF(ISNUMBER(SEARCH("Kiện", C28)),
       " GÓI " &amp; COUNTIF($C$13:C28, "*Kiện*") &amp; "/" &amp; COUNTIF($C$13:$C$1000, "*Kiện*") &amp; " " &amp; AA28,
       AA28)
)</f>
        <v/>
      </c>
      <c r="F28" s="206"/>
      <c r="G28" s="206"/>
      <c r="H28" s="206"/>
      <c r="I28" s="206"/>
      <c r="J28" s="206" t="str">
        <f t="shared" si="22"/>
        <v/>
      </c>
      <c r="K28" s="206" t="str">
        <f t="shared" si="24"/>
        <v/>
      </c>
      <c r="L28" s="206" t="str">
        <f t="shared" si="25"/>
        <v/>
      </c>
      <c r="M28" s="206" t="str">
        <f t="shared" si="26"/>
        <v/>
      </c>
      <c r="N28" s="206" t="str">
        <f t="shared" si="23"/>
        <v/>
      </c>
      <c r="O28" s="206" t="str">
        <f t="shared" si="12"/>
        <v/>
      </c>
      <c r="P28" s="165" t="str">
        <f t="shared" si="13"/>
        <v/>
      </c>
      <c r="Q28" s="207"/>
      <c r="R28" s="141" t="str">
        <f>IF(S28="IN",'BOM_Phan II'!$Y$3,"")</f>
        <v/>
      </c>
      <c r="S28" s="153" t="str">
        <f t="shared" si="14"/>
        <v/>
      </c>
      <c r="T28">
        <f t="shared" si="15"/>
        <v>6</v>
      </c>
      <c r="U28" s="208" t="str">
        <f t="shared" si="21"/>
        <v>KIỆN 9</v>
      </c>
      <c r="V28" s="208" t="str">
        <f t="shared" si="16"/>
        <v/>
      </c>
      <c r="W28" s="240"/>
      <c r="X28" s="240"/>
      <c r="Y28" s="240" t="str">
        <f t="shared" si="17"/>
        <v/>
      </c>
      <c r="Z28" s="240"/>
      <c r="AD28" s="232" t="str">
        <f t="shared" si="1"/>
        <v/>
      </c>
      <c r="AE28" s="204"/>
      <c r="AX28" s="3" t="str">
        <f t="shared" si="2"/>
        <v/>
      </c>
    </row>
    <row r="29" spans="1:50" s="155" customFormat="1" ht="30" hidden="1" customHeight="1">
      <c r="A29" s="141" t="str">
        <f t="shared" si="19"/>
        <v/>
      </c>
      <c r="B29" s="141" t="str">
        <f t="shared" si="20"/>
        <v/>
      </c>
      <c r="C29" s="205" t="str" cm="1">
        <f t="array" ref="C29">IF(D29="","",
    IF(AND(ISNUMBER(D29), D29=INT(D29)),
        $V$6 &amp; " " &amp; (IFERROR(MAX($Y$12:$Y28), 0) + 1),
        IF(ISNUMBER(SEARCH(".", D29)), "", INDEX($C$12:$C29, MATCH(2, 1/($C$12:$C29 &lt;&gt; ""))))
    )
)</f>
        <v/>
      </c>
      <c r="D29" s="206"/>
      <c r="E29" s="206" t="str">
        <f>IF(AA29 = "", "",
    IF(ISNUMBER(SEARCH("Kiện", C29)),
       " GÓI " &amp; COUNTIF($C$13:C29, "*Kiện*") &amp; "/" &amp; COUNTIF($C$13:$C$1000, "*Kiện*") &amp; " " &amp; AA29,
       AA29)
)</f>
        <v/>
      </c>
      <c r="F29" s="206"/>
      <c r="G29" s="206"/>
      <c r="H29" s="206"/>
      <c r="I29" s="206"/>
      <c r="J29" s="206" t="str">
        <f t="shared" si="22"/>
        <v/>
      </c>
      <c r="K29" s="206" t="str">
        <f t="shared" si="24"/>
        <v/>
      </c>
      <c r="L29" s="206" t="str">
        <f t="shared" si="25"/>
        <v/>
      </c>
      <c r="M29" s="206" t="str">
        <f t="shared" si="26"/>
        <v/>
      </c>
      <c r="N29" s="206" t="str">
        <f t="shared" si="23"/>
        <v/>
      </c>
      <c r="O29" s="206" t="str">
        <f t="shared" si="12"/>
        <v/>
      </c>
      <c r="P29" s="165" t="str">
        <f t="shared" si="13"/>
        <v/>
      </c>
      <c r="Q29" s="207"/>
      <c r="R29" s="141" t="str">
        <f>IF(S29="IN",'BOM_Phan II'!$Y$3,"")</f>
        <v/>
      </c>
      <c r="S29" s="153" t="str">
        <f t="shared" si="14"/>
        <v/>
      </c>
      <c r="T29">
        <f t="shared" si="15"/>
        <v>6</v>
      </c>
      <c r="U29" s="208" t="str">
        <f t="shared" si="21"/>
        <v>KIỆN 9</v>
      </c>
      <c r="V29" s="208" t="str">
        <f t="shared" si="16"/>
        <v/>
      </c>
      <c r="W29" s="240"/>
      <c r="X29" s="240"/>
      <c r="Y29" s="240" t="str">
        <f t="shared" si="17"/>
        <v/>
      </c>
      <c r="Z29" s="240"/>
      <c r="AD29" s="232" t="str">
        <f t="shared" si="1"/>
        <v/>
      </c>
      <c r="AE29" s="204"/>
      <c r="AX29" s="3" t="str">
        <f t="shared" si="2"/>
        <v/>
      </c>
    </row>
    <row r="30" spans="1:50" s="155" customFormat="1" ht="30" hidden="1" customHeight="1">
      <c r="A30" s="141" t="str">
        <f t="shared" si="19"/>
        <v/>
      </c>
      <c r="B30" s="141" t="str">
        <f t="shared" si="20"/>
        <v/>
      </c>
      <c r="C30" s="205" t="str" cm="1">
        <f t="array" ref="C30">IF(D30="","",
    IF(AND(ISNUMBER(D30), D30=INT(D30)),
        $V$6 &amp; " " &amp; (IFERROR(MAX($Y$12:$Y29), 0) + 1),
        IF(ISNUMBER(SEARCH(".", D30)), "", INDEX($C$12:$C30, MATCH(2, 1/($C$12:$C30 &lt;&gt; ""))))
    )
)</f>
        <v/>
      </c>
      <c r="D30" s="206"/>
      <c r="E30" s="206" t="str">
        <f>IF(AA30 = "", "",
    IF(ISNUMBER(SEARCH("Kiện", C30)),
       " GÓI " &amp; COUNTIF($C$13:C30, "*Kiện*") &amp; "/" &amp; COUNTIF($C$13:$C$1000, "*Kiện*") &amp; " " &amp; AA30,
       AA30)
)</f>
        <v/>
      </c>
      <c r="F30" s="206"/>
      <c r="G30" s="206"/>
      <c r="H30" s="206"/>
      <c r="I30" s="206"/>
      <c r="J30" s="206" t="str">
        <f t="shared" si="22"/>
        <v/>
      </c>
      <c r="K30" s="206" t="str">
        <f t="shared" si="24"/>
        <v/>
      </c>
      <c r="L30" s="206" t="str">
        <f t="shared" si="25"/>
        <v/>
      </c>
      <c r="M30" s="206" t="str">
        <f t="shared" si="26"/>
        <v/>
      </c>
      <c r="N30" s="206" t="str">
        <f t="shared" si="23"/>
        <v/>
      </c>
      <c r="O30" s="206" t="str">
        <f t="shared" si="12"/>
        <v/>
      </c>
      <c r="P30" s="165" t="str">
        <f t="shared" si="13"/>
        <v/>
      </c>
      <c r="Q30" s="207"/>
      <c r="R30" s="141" t="str">
        <f>IF(S30="IN",'BOM_Phan II'!$Y$3,"")</f>
        <v/>
      </c>
      <c r="S30" s="153" t="str">
        <f t="shared" si="14"/>
        <v/>
      </c>
      <c r="T30">
        <f t="shared" si="15"/>
        <v>6</v>
      </c>
      <c r="U30" s="208" t="str">
        <f t="shared" si="21"/>
        <v>KIỆN 9</v>
      </c>
      <c r="V30" s="208" t="str">
        <f t="shared" si="16"/>
        <v/>
      </c>
      <c r="W30" s="240"/>
      <c r="X30" s="240"/>
      <c r="Y30" s="240" t="str">
        <f t="shared" si="17"/>
        <v/>
      </c>
      <c r="Z30" s="240"/>
      <c r="AD30" s="232" t="str">
        <f t="shared" si="1"/>
        <v/>
      </c>
      <c r="AE30" s="204"/>
      <c r="AX30" s="3" t="str">
        <f t="shared" si="2"/>
        <v/>
      </c>
    </row>
    <row r="31" spans="1:50" s="155" customFormat="1" ht="30" hidden="1" customHeight="1">
      <c r="A31" s="141" t="str">
        <f t="shared" si="19"/>
        <v/>
      </c>
      <c r="B31" s="141" t="str">
        <f t="shared" si="20"/>
        <v/>
      </c>
      <c r="C31" s="205" t="str" cm="1">
        <f t="array" ref="C31">IF(D31="","",
    IF(AND(ISNUMBER(D31), D31=INT(D31)),
        $V$6 &amp; " " &amp; (IFERROR(MAX($Y$12:$Y30), 0) + 1),
        IF(ISNUMBER(SEARCH(".", D31)), "", INDEX($C$12:$C31, MATCH(2, 1/($C$12:$C31 &lt;&gt; ""))))
    )
)</f>
        <v/>
      </c>
      <c r="D31" s="206"/>
      <c r="E31" s="206" t="str">
        <f>IF(AA31 = "", "",
    IF(ISNUMBER(SEARCH("Kiện", C31)),
       " GÓI " &amp; COUNTIF($C$13:C31, "*Kiện*") &amp; "/" &amp; COUNTIF($C$13:$C$1000, "*Kiện*") &amp; " " &amp; AA31,
       AA31)
)</f>
        <v/>
      </c>
      <c r="F31" s="206"/>
      <c r="G31" s="206"/>
      <c r="H31" s="206"/>
      <c r="I31" s="206"/>
      <c r="J31" s="206" t="str">
        <f t="shared" si="22"/>
        <v/>
      </c>
      <c r="K31" s="206" t="str">
        <f t="shared" si="24"/>
        <v/>
      </c>
      <c r="L31" s="206" t="str">
        <f t="shared" si="25"/>
        <v/>
      </c>
      <c r="M31" s="206" t="str">
        <f t="shared" si="26"/>
        <v/>
      </c>
      <c r="N31" s="206" t="str">
        <f t="shared" si="23"/>
        <v/>
      </c>
      <c r="O31" s="206" t="str">
        <f t="shared" si="12"/>
        <v/>
      </c>
      <c r="P31" s="165" t="str">
        <f t="shared" si="13"/>
        <v/>
      </c>
      <c r="Q31" s="207"/>
      <c r="R31" s="141" t="str">
        <f>IF(S31="IN",'BOM_Phan II'!$Y$3,"")</f>
        <v/>
      </c>
      <c r="S31" s="153" t="str">
        <f t="shared" si="14"/>
        <v/>
      </c>
      <c r="T31">
        <f t="shared" si="15"/>
        <v>6</v>
      </c>
      <c r="U31" s="208" t="str">
        <f t="shared" si="21"/>
        <v>KIỆN 9</v>
      </c>
      <c r="V31" s="208" t="str">
        <f t="shared" si="16"/>
        <v/>
      </c>
      <c r="W31" s="240"/>
      <c r="X31" s="240"/>
      <c r="Y31" s="240" t="str">
        <f t="shared" si="17"/>
        <v/>
      </c>
      <c r="Z31" s="240"/>
      <c r="AD31" s="232" t="str">
        <f t="shared" si="1"/>
        <v/>
      </c>
      <c r="AE31" s="204"/>
      <c r="AX31" s="3" t="str">
        <f t="shared" si="2"/>
        <v/>
      </c>
    </row>
    <row r="32" spans="1:50" s="155" customFormat="1" ht="30" hidden="1" customHeight="1">
      <c r="A32" s="141" t="str">
        <f t="shared" si="19"/>
        <v/>
      </c>
      <c r="B32" s="141" t="str">
        <f t="shared" si="20"/>
        <v/>
      </c>
      <c r="C32" s="205" t="str" cm="1">
        <f t="array" ref="C32">IF(D32="","",
    IF(AND(ISNUMBER(D32), D32=INT(D32)),
        $V$6 &amp; " " &amp; (IFERROR(MAX($Y$12:$Y31), 0) + 1),
        IF(ISNUMBER(SEARCH(".", D32)), "", INDEX($C$12:$C32, MATCH(2, 1/($C$12:$C32 &lt;&gt; ""))))
    )
)</f>
        <v/>
      </c>
      <c r="D32" s="206"/>
      <c r="E32" s="206" t="str">
        <f>IF(AA32 = "", "",
    IF(ISNUMBER(SEARCH("Kiện", C32)),
       " GÓI " &amp; COUNTIF($C$13:C32, "*Kiện*") &amp; "/" &amp; COUNTIF($C$13:$C$1000, "*Kiện*") &amp; " " &amp; AA32,
       AA32)
)</f>
        <v/>
      </c>
      <c r="F32" s="206"/>
      <c r="G32" s="206"/>
      <c r="H32" s="206"/>
      <c r="I32" s="206"/>
      <c r="J32" s="206" t="str">
        <f t="shared" si="22"/>
        <v/>
      </c>
      <c r="K32" s="206" t="str">
        <f t="shared" si="24"/>
        <v/>
      </c>
      <c r="L32" s="206" t="str">
        <f t="shared" si="25"/>
        <v/>
      </c>
      <c r="M32" s="206" t="str">
        <f t="shared" si="26"/>
        <v/>
      </c>
      <c r="N32" s="206" t="str">
        <f t="shared" si="23"/>
        <v/>
      </c>
      <c r="O32" s="206" t="str">
        <f t="shared" si="12"/>
        <v/>
      </c>
      <c r="P32" s="165" t="str">
        <f t="shared" si="13"/>
        <v/>
      </c>
      <c r="Q32" s="207"/>
      <c r="R32" s="141" t="str">
        <f>IF(S32="IN",'BOM_Phan II'!$Y$3,"")</f>
        <v/>
      </c>
      <c r="S32" s="153" t="str">
        <f t="shared" si="14"/>
        <v/>
      </c>
      <c r="T32">
        <f t="shared" si="15"/>
        <v>6</v>
      </c>
      <c r="U32" s="208" t="str">
        <f t="shared" si="21"/>
        <v>KIỆN 9</v>
      </c>
      <c r="V32" s="208" t="str">
        <f t="shared" si="16"/>
        <v/>
      </c>
      <c r="W32" s="240"/>
      <c r="X32" s="240"/>
      <c r="Y32" s="240" t="str">
        <f t="shared" si="17"/>
        <v/>
      </c>
      <c r="Z32" s="240"/>
      <c r="AD32" s="232" t="str">
        <f t="shared" si="1"/>
        <v/>
      </c>
      <c r="AE32" s="204"/>
      <c r="AX32" s="3" t="str">
        <f t="shared" si="2"/>
        <v/>
      </c>
    </row>
    <row r="33" spans="1:50" s="155" customFormat="1" ht="30" hidden="1" customHeight="1">
      <c r="A33" s="141" t="str">
        <f t="shared" si="19"/>
        <v/>
      </c>
      <c r="B33" s="141" t="str">
        <f t="shared" si="20"/>
        <v/>
      </c>
      <c r="C33" s="205" t="str" cm="1">
        <f t="array" ref="C33">IF(D33="","",
    IF(AND(ISNUMBER(D33), D33=INT(D33)),
        $V$6 &amp; " " &amp; (IFERROR(MAX($Y$12:$Y32), 0) + 1),
        IF(ISNUMBER(SEARCH(".", D33)), "", INDEX($C$12:$C33, MATCH(2, 1/($C$12:$C33 &lt;&gt; ""))))
    )
)</f>
        <v/>
      </c>
      <c r="D33" s="206"/>
      <c r="E33" s="206" t="str">
        <f>IF(AA33 = "", "",
    IF(ISNUMBER(SEARCH("Kiện", C33)),
       " GÓI " &amp; COUNTIF($C$13:C33, "*Kiện*") &amp; "/" &amp; COUNTIF($C$13:$C$1000, "*Kiện*") &amp; " " &amp; AA33,
       AA33)
)</f>
        <v/>
      </c>
      <c r="F33" s="206"/>
      <c r="G33" s="206"/>
      <c r="H33" s="206"/>
      <c r="I33" s="206"/>
      <c r="J33" s="206" t="str">
        <f t="shared" si="22"/>
        <v/>
      </c>
      <c r="K33" s="206" t="str">
        <f t="shared" si="24"/>
        <v/>
      </c>
      <c r="L33" s="206" t="str">
        <f t="shared" si="25"/>
        <v/>
      </c>
      <c r="M33" s="206" t="str">
        <f t="shared" si="26"/>
        <v/>
      </c>
      <c r="N33" s="206" t="str">
        <f t="shared" si="23"/>
        <v/>
      </c>
      <c r="O33" s="206" t="str">
        <f t="shared" si="12"/>
        <v/>
      </c>
      <c r="P33" s="165" t="str">
        <f t="shared" si="13"/>
        <v/>
      </c>
      <c r="Q33" s="207"/>
      <c r="R33" s="141" t="str">
        <f>IF(S33="IN",'BOM_Phan II'!$Y$3,"")</f>
        <v/>
      </c>
      <c r="S33" s="153" t="str">
        <f t="shared" si="14"/>
        <v/>
      </c>
      <c r="T33">
        <f t="shared" si="15"/>
        <v>6</v>
      </c>
      <c r="U33" s="208" t="str">
        <f t="shared" si="21"/>
        <v>KIỆN 9</v>
      </c>
      <c r="V33" s="208" t="str">
        <f t="shared" si="16"/>
        <v/>
      </c>
      <c r="W33" s="240"/>
      <c r="X33" s="240"/>
      <c r="Y33" s="240" t="str">
        <f t="shared" si="17"/>
        <v/>
      </c>
      <c r="Z33" s="240"/>
      <c r="AD33" s="232" t="str">
        <f t="shared" si="1"/>
        <v/>
      </c>
      <c r="AE33" s="204"/>
      <c r="AX33" s="3" t="str">
        <f t="shared" si="2"/>
        <v/>
      </c>
    </row>
    <row r="34" spans="1:50" s="155" customFormat="1" ht="30" hidden="1" customHeight="1">
      <c r="A34" s="141" t="str">
        <f t="shared" si="19"/>
        <v/>
      </c>
      <c r="B34" s="141" t="str">
        <f t="shared" si="20"/>
        <v/>
      </c>
      <c r="C34" s="205" t="str" cm="1">
        <f t="array" ref="C34">IF(D34="","",
    IF(AND(ISNUMBER(D34), D34=INT(D34)),
        $V$6 &amp; " " &amp; (IFERROR(MAX($Y$12:$Y33), 0) + 1),
        IF(ISNUMBER(SEARCH(".", D34)), "", INDEX($C$12:$C34, MATCH(2, 1/($C$12:$C34 &lt;&gt; ""))))
    )
)</f>
        <v/>
      </c>
      <c r="D34" s="206"/>
      <c r="E34" s="206" t="str">
        <f>IF(AA34 = "", "",
    IF(ISNUMBER(SEARCH("Kiện", C34)),
       " GÓI " &amp; COUNTIF($C$13:C34, "*Kiện*") &amp; "/" &amp; COUNTIF($C$13:$C$1000, "*Kiện*") &amp; " " &amp; AA34,
       AA34)
)</f>
        <v/>
      </c>
      <c r="F34" s="206"/>
      <c r="G34" s="206"/>
      <c r="H34" s="206"/>
      <c r="I34" s="206"/>
      <c r="J34" s="206" t="str">
        <f t="shared" si="22"/>
        <v/>
      </c>
      <c r="K34" s="206" t="str">
        <f t="shared" si="24"/>
        <v/>
      </c>
      <c r="L34" s="206" t="str">
        <f t="shared" si="25"/>
        <v/>
      </c>
      <c r="M34" s="206" t="str">
        <f t="shared" si="26"/>
        <v/>
      </c>
      <c r="N34" s="206" t="str">
        <f t="shared" si="23"/>
        <v/>
      </c>
      <c r="O34" s="206" t="str">
        <f t="shared" si="12"/>
        <v/>
      </c>
      <c r="P34" s="165" t="str">
        <f t="shared" si="13"/>
        <v/>
      </c>
      <c r="Q34" s="207"/>
      <c r="R34" s="141" t="str">
        <f>IF(S34="IN",'BOM_Phan II'!$Y$3,"")</f>
        <v/>
      </c>
      <c r="S34" s="153" t="str">
        <f t="shared" si="14"/>
        <v/>
      </c>
      <c r="T34">
        <f t="shared" si="15"/>
        <v>6</v>
      </c>
      <c r="U34" s="208" t="str">
        <f t="shared" si="21"/>
        <v>KIỆN 9</v>
      </c>
      <c r="V34" s="208" t="str">
        <f t="shared" si="16"/>
        <v/>
      </c>
      <c r="W34" s="240"/>
      <c r="X34" s="240"/>
      <c r="Y34" s="240" t="str">
        <f t="shared" si="17"/>
        <v/>
      </c>
      <c r="Z34" s="240"/>
      <c r="AD34" s="232" t="str">
        <f t="shared" si="1"/>
        <v/>
      </c>
      <c r="AE34" s="204"/>
      <c r="AX34" s="3" t="str">
        <f t="shared" si="2"/>
        <v/>
      </c>
    </row>
    <row r="35" spans="1:50" s="155" customFormat="1" ht="30" hidden="1" customHeight="1">
      <c r="A35" s="141" t="str">
        <f t="shared" si="19"/>
        <v/>
      </c>
      <c r="B35" s="141" t="str">
        <f t="shared" si="20"/>
        <v/>
      </c>
      <c r="C35" s="205" t="str" cm="1">
        <f t="array" ref="C35">IF(D35="","",
    IF(AND(ISNUMBER(D35), D35=INT(D35)),
        $V$6 &amp; " " &amp; (IFERROR(MAX($Y$12:$Y34), 0) + 1),
        IF(ISNUMBER(SEARCH(".", D35)), "", INDEX($C$12:$C35, MATCH(2, 1/($C$12:$C35 &lt;&gt; ""))))
    )
)</f>
        <v/>
      </c>
      <c r="D35" s="206"/>
      <c r="E35" s="206" t="str">
        <f>IF(AA35 = "", "",
    IF(ISNUMBER(SEARCH("Kiện", C35)),
       " GÓI " &amp; COUNTIF($C$13:C35, "*Kiện*") &amp; "/" &amp; COUNTIF($C$13:$C$1000, "*Kiện*") &amp; " " &amp; AA35,
       AA35)
)</f>
        <v/>
      </c>
      <c r="F35" s="206"/>
      <c r="G35" s="206"/>
      <c r="H35" s="206"/>
      <c r="I35" s="206"/>
      <c r="J35" s="206" t="str">
        <f t="shared" si="22"/>
        <v/>
      </c>
      <c r="K35" s="206" t="str">
        <f t="shared" si="24"/>
        <v/>
      </c>
      <c r="L35" s="206" t="str">
        <f t="shared" si="25"/>
        <v/>
      </c>
      <c r="M35" s="206" t="str">
        <f t="shared" si="26"/>
        <v/>
      </c>
      <c r="N35" s="206" t="str">
        <f t="shared" si="23"/>
        <v/>
      </c>
      <c r="O35" s="206" t="str">
        <f t="shared" si="12"/>
        <v/>
      </c>
      <c r="P35" s="165" t="str">
        <f t="shared" si="13"/>
        <v/>
      </c>
      <c r="Q35" s="207"/>
      <c r="R35" s="141" t="str">
        <f>IF(S35="IN",'BOM_Phan II'!$Y$3,"")</f>
        <v/>
      </c>
      <c r="S35" s="153" t="str">
        <f t="shared" si="14"/>
        <v/>
      </c>
      <c r="T35">
        <f t="shared" si="15"/>
        <v>6</v>
      </c>
      <c r="U35" s="208" t="str">
        <f t="shared" si="21"/>
        <v>KIỆN 9</v>
      </c>
      <c r="V35" s="208" t="str">
        <f t="shared" si="16"/>
        <v/>
      </c>
      <c r="W35" s="240"/>
      <c r="X35" s="240"/>
      <c r="Y35" s="240" t="str">
        <f t="shared" si="17"/>
        <v/>
      </c>
      <c r="Z35" s="240"/>
      <c r="AD35" s="232" t="str">
        <f t="shared" si="1"/>
        <v/>
      </c>
      <c r="AE35" s="204"/>
      <c r="AX35" s="3" t="str">
        <f t="shared" si="2"/>
        <v/>
      </c>
    </row>
    <row r="36" spans="1:50" s="155" customFormat="1" ht="30" hidden="1" customHeight="1">
      <c r="A36" s="141" t="str">
        <f t="shared" si="19"/>
        <v/>
      </c>
      <c r="B36" s="141" t="str">
        <f t="shared" si="20"/>
        <v/>
      </c>
      <c r="C36" s="205" t="str" cm="1">
        <f t="array" ref="C36">IF(D36="","",
    IF(AND(ISNUMBER(D36), D36=INT(D36)),
        $V$6 &amp; " " &amp; (IFERROR(MAX($Y$12:$Y35), 0) + 1),
        IF(ISNUMBER(SEARCH(".", D36)), "", INDEX($C$12:$C36, MATCH(2, 1/($C$12:$C36 &lt;&gt; ""))))
    )
)</f>
        <v/>
      </c>
      <c r="D36" s="206"/>
      <c r="E36" s="206" t="str">
        <f>IF(AA36 = "", "",
    IF(ISNUMBER(SEARCH("Kiện", C36)),
       " GÓI " &amp; COUNTIF($C$13:C36, "*Kiện*") &amp; "/" &amp; COUNTIF($C$13:$C$1000, "*Kiện*") &amp; " " &amp; AA36,
       AA36)
)</f>
        <v/>
      </c>
      <c r="F36" s="206"/>
      <c r="G36" s="206"/>
      <c r="H36" s="206"/>
      <c r="I36" s="206"/>
      <c r="J36" s="206" t="str">
        <f t="shared" si="22"/>
        <v/>
      </c>
      <c r="K36" s="206" t="str">
        <f t="shared" si="24"/>
        <v/>
      </c>
      <c r="L36" s="206" t="str">
        <f t="shared" si="25"/>
        <v/>
      </c>
      <c r="M36" s="206" t="str">
        <f t="shared" si="26"/>
        <v/>
      </c>
      <c r="N36" s="206" t="str">
        <f t="shared" si="23"/>
        <v/>
      </c>
      <c r="O36" s="206" t="str">
        <f t="shared" si="12"/>
        <v/>
      </c>
      <c r="P36" s="165" t="str">
        <f t="shared" si="13"/>
        <v/>
      </c>
      <c r="Q36" s="207"/>
      <c r="R36" s="141" t="str">
        <f>IF(S36="IN",'BOM_Phan II'!$Y$3,"")</f>
        <v/>
      </c>
      <c r="S36" s="153" t="str">
        <f t="shared" si="14"/>
        <v/>
      </c>
      <c r="T36">
        <f t="shared" si="15"/>
        <v>6</v>
      </c>
      <c r="U36" s="208" t="str">
        <f t="shared" si="21"/>
        <v>KIỆN 9</v>
      </c>
      <c r="V36" s="208" t="str">
        <f t="shared" si="16"/>
        <v/>
      </c>
      <c r="W36" s="240"/>
      <c r="X36" s="240"/>
      <c r="Y36" s="240" t="str">
        <f t="shared" si="17"/>
        <v/>
      </c>
      <c r="Z36" s="240"/>
      <c r="AD36" s="232" t="str">
        <f t="shared" si="1"/>
        <v/>
      </c>
      <c r="AE36" s="204"/>
      <c r="AX36" s="3" t="str">
        <f t="shared" si="2"/>
        <v/>
      </c>
    </row>
    <row r="37" spans="1:50" s="155" customFormat="1" ht="30" hidden="1" customHeight="1">
      <c r="A37" s="141" t="str">
        <f t="shared" si="19"/>
        <v/>
      </c>
      <c r="B37" s="141" t="str">
        <f t="shared" si="20"/>
        <v/>
      </c>
      <c r="C37" s="205" t="str" cm="1">
        <f t="array" ref="C37">IF(D37="","",
    IF(AND(ISNUMBER(D37), D37=INT(D37)),
        $V$6 &amp; " " &amp; (IFERROR(MAX($Y$12:$Y36), 0) + 1),
        IF(ISNUMBER(SEARCH(".", D37)), "", INDEX($C$12:$C37, MATCH(2, 1/($C$12:$C37 &lt;&gt; ""))))
    )
)</f>
        <v/>
      </c>
      <c r="D37" s="206"/>
      <c r="E37" s="206" t="str">
        <f>IF(AA37 = "", "",
    IF(ISNUMBER(SEARCH("Kiện", C37)),
       " GÓI " &amp; COUNTIF($C$13:C37, "*Kiện*") &amp; "/" &amp; COUNTIF($C$13:$C$1000, "*Kiện*") &amp; " " &amp; AA37,
       AA37)
)</f>
        <v/>
      </c>
      <c r="F37" s="206"/>
      <c r="G37" s="206"/>
      <c r="H37" s="206"/>
      <c r="I37" s="206"/>
      <c r="J37" s="206" t="str">
        <f t="shared" si="22"/>
        <v/>
      </c>
      <c r="K37" s="206" t="str">
        <f t="shared" si="24"/>
        <v/>
      </c>
      <c r="L37" s="206" t="str">
        <f t="shared" si="25"/>
        <v/>
      </c>
      <c r="M37" s="206" t="str">
        <f t="shared" si="26"/>
        <v/>
      </c>
      <c r="N37" s="206" t="str">
        <f t="shared" si="23"/>
        <v/>
      </c>
      <c r="O37" s="206" t="str">
        <f t="shared" si="12"/>
        <v/>
      </c>
      <c r="P37" s="165" t="str">
        <f t="shared" si="13"/>
        <v/>
      </c>
      <c r="Q37" s="207"/>
      <c r="R37" s="141" t="str">
        <f>IF(S37="IN",'BOM_Phan II'!$Y$3,"")</f>
        <v/>
      </c>
      <c r="S37" s="153" t="str">
        <f t="shared" si="14"/>
        <v/>
      </c>
      <c r="T37">
        <f t="shared" si="15"/>
        <v>6</v>
      </c>
      <c r="U37" s="208" t="str">
        <f t="shared" si="21"/>
        <v>KIỆN 9</v>
      </c>
      <c r="V37" s="208" t="str">
        <f t="shared" si="16"/>
        <v/>
      </c>
      <c r="W37" s="240"/>
      <c r="X37" s="240"/>
      <c r="Y37" s="240" t="str">
        <f t="shared" si="17"/>
        <v/>
      </c>
      <c r="Z37" s="240"/>
      <c r="AD37" s="232" t="str">
        <f t="shared" si="1"/>
        <v/>
      </c>
      <c r="AE37" s="204"/>
      <c r="AX37" s="3" t="str">
        <f t="shared" si="2"/>
        <v/>
      </c>
    </row>
    <row r="38" spans="1:50" s="155" customFormat="1" ht="30" hidden="1" customHeight="1">
      <c r="A38" s="141" t="str">
        <f t="shared" si="19"/>
        <v/>
      </c>
      <c r="B38" s="141" t="str">
        <f t="shared" si="20"/>
        <v/>
      </c>
      <c r="C38" s="205" t="str" cm="1">
        <f t="array" ref="C38">IF(D38="","",
    IF(AND(ISNUMBER(D38), D38=INT(D38)),
        $V$6 &amp; " " &amp; (IFERROR(MAX($Y$12:$Y37), 0) + 1),
        IF(ISNUMBER(SEARCH(".", D38)), "", INDEX($C$12:$C38, MATCH(2, 1/($C$12:$C38 &lt;&gt; ""))))
    )
)</f>
        <v/>
      </c>
      <c r="D38" s="206"/>
      <c r="E38" s="206" t="str">
        <f>IF(AA38 = "", "",
    IF(ISNUMBER(SEARCH("Kiện", C38)),
       " GÓI " &amp; COUNTIF($C$13:C38, "*Kiện*") &amp; "/" &amp; COUNTIF($C$13:$C$1000, "*Kiện*") &amp; " " &amp; AA38,
       AA38)
)</f>
        <v/>
      </c>
      <c r="F38" s="206"/>
      <c r="G38" s="206"/>
      <c r="H38" s="206"/>
      <c r="I38" s="206"/>
      <c r="J38" s="206" t="str">
        <f t="shared" si="22"/>
        <v/>
      </c>
      <c r="K38" s="206" t="str">
        <f t="shared" si="24"/>
        <v/>
      </c>
      <c r="L38" s="206" t="str">
        <f t="shared" si="25"/>
        <v/>
      </c>
      <c r="M38" s="206" t="str">
        <f t="shared" si="26"/>
        <v/>
      </c>
      <c r="N38" s="206" t="str">
        <f t="shared" si="23"/>
        <v/>
      </c>
      <c r="O38" s="206" t="str">
        <f t="shared" si="12"/>
        <v/>
      </c>
      <c r="P38" s="165" t="str">
        <f t="shared" si="13"/>
        <v/>
      </c>
      <c r="Q38" s="207"/>
      <c r="R38" s="141" t="str">
        <f>IF(S38="IN",'BOM_Phan II'!$Y$3,"")</f>
        <v/>
      </c>
      <c r="S38" s="153" t="str">
        <f t="shared" si="14"/>
        <v/>
      </c>
      <c r="T38">
        <f t="shared" si="15"/>
        <v>6</v>
      </c>
      <c r="U38" s="208" t="str">
        <f t="shared" si="21"/>
        <v>KIỆN 9</v>
      </c>
      <c r="V38" s="208" t="str">
        <f t="shared" si="16"/>
        <v/>
      </c>
      <c r="W38" s="240"/>
      <c r="X38" s="240"/>
      <c r="Y38" s="240" t="str">
        <f t="shared" si="17"/>
        <v/>
      </c>
      <c r="Z38" s="240"/>
      <c r="AD38" s="232" t="str">
        <f t="shared" si="1"/>
        <v/>
      </c>
      <c r="AE38" s="204"/>
      <c r="AX38" s="3" t="str">
        <f t="shared" si="2"/>
        <v/>
      </c>
    </row>
    <row r="39" spans="1:50" s="155" customFormat="1" ht="30" hidden="1" customHeight="1">
      <c r="A39" s="141" t="str">
        <f t="shared" si="19"/>
        <v/>
      </c>
      <c r="B39" s="141" t="str">
        <f t="shared" si="20"/>
        <v/>
      </c>
      <c r="C39" s="205" t="str" cm="1">
        <f t="array" ref="C39">IF(D39="","",
    IF(AND(ISNUMBER(D39), D39=INT(D39)),
        $V$6 &amp; " " &amp; (IFERROR(MAX($Y$12:$Y38), 0) + 1),
        IF(ISNUMBER(SEARCH(".", D39)), "", INDEX($C$12:$C39, MATCH(2, 1/($C$12:$C39 &lt;&gt; ""))))
    )
)</f>
        <v/>
      </c>
      <c r="D39" s="206"/>
      <c r="E39" s="206" t="str">
        <f>IF(AA39 = "", "",
    IF(ISNUMBER(SEARCH("Kiện", C39)),
       " GÓI " &amp; COUNTIF($C$13:C39, "*Kiện*") &amp; "/" &amp; COUNTIF($C$13:$C$1000, "*Kiện*") &amp; " " &amp; AA39,
       AA39)
)</f>
        <v/>
      </c>
      <c r="F39" s="206"/>
      <c r="G39" s="206"/>
      <c r="H39" s="206"/>
      <c r="I39" s="206"/>
      <c r="J39" s="206" t="str">
        <f t="shared" si="22"/>
        <v/>
      </c>
      <c r="K39" s="206" t="str">
        <f t="shared" si="24"/>
        <v/>
      </c>
      <c r="L39" s="206" t="str">
        <f t="shared" si="25"/>
        <v/>
      </c>
      <c r="M39" s="206" t="str">
        <f t="shared" si="26"/>
        <v/>
      </c>
      <c r="N39" s="206" t="str">
        <f t="shared" si="23"/>
        <v/>
      </c>
      <c r="O39" s="206" t="str">
        <f t="shared" si="12"/>
        <v/>
      </c>
      <c r="P39" s="165" t="str">
        <f t="shared" si="13"/>
        <v/>
      </c>
      <c r="Q39" s="207"/>
      <c r="R39" s="141" t="str">
        <f>IF(S39="IN",'BOM_Phan II'!$Y$3,"")</f>
        <v/>
      </c>
      <c r="S39" s="153" t="str">
        <f t="shared" si="14"/>
        <v/>
      </c>
      <c r="T39">
        <f t="shared" si="15"/>
        <v>6</v>
      </c>
      <c r="U39" s="208" t="str">
        <f t="shared" si="21"/>
        <v>KIỆN 9</v>
      </c>
      <c r="V39" s="208" t="str">
        <f t="shared" si="16"/>
        <v/>
      </c>
      <c r="W39" s="240"/>
      <c r="X39" s="240"/>
      <c r="Y39" s="240" t="str">
        <f t="shared" si="17"/>
        <v/>
      </c>
      <c r="Z39" s="240"/>
      <c r="AD39" s="232" t="str">
        <f t="shared" si="1"/>
        <v/>
      </c>
      <c r="AE39" s="204"/>
      <c r="AX39" s="3" t="str">
        <f t="shared" si="2"/>
        <v/>
      </c>
    </row>
    <row r="40" spans="1:50" s="155" customFormat="1" ht="30" hidden="1" customHeight="1">
      <c r="A40" s="141" t="str">
        <f t="shared" si="19"/>
        <v/>
      </c>
      <c r="B40" s="141" t="str">
        <f t="shared" si="20"/>
        <v/>
      </c>
      <c r="C40" s="205" t="str" cm="1">
        <f t="array" ref="C40">IF(D40="","",
    IF(AND(ISNUMBER(D40), D40=INT(D40)),
        $V$6 &amp; " " &amp; (IFERROR(MAX($Y$12:$Y39), 0) + 1),
        IF(ISNUMBER(SEARCH(".", D40)), "", INDEX($C$12:$C40, MATCH(2, 1/($C$12:$C40 &lt;&gt; ""))))
    )
)</f>
        <v/>
      </c>
      <c r="D40" s="206"/>
      <c r="E40" s="206" t="str">
        <f>IF(AA40 = "", "",
    IF(ISNUMBER(SEARCH("Kiện", C40)),
       " GÓI " &amp; COUNTIF($C$13:C40, "*Kiện*") &amp; "/" &amp; COUNTIF($C$13:$C$1000, "*Kiện*") &amp; " " &amp; AA40,
       AA40)
)</f>
        <v/>
      </c>
      <c r="F40" s="206"/>
      <c r="G40" s="206"/>
      <c r="H40" s="206"/>
      <c r="I40" s="206"/>
      <c r="J40" s="206" t="str">
        <f t="shared" si="22"/>
        <v/>
      </c>
      <c r="K40" s="206" t="str">
        <f t="shared" si="24"/>
        <v/>
      </c>
      <c r="L40" s="206" t="str">
        <f t="shared" si="25"/>
        <v/>
      </c>
      <c r="M40" s="206" t="str">
        <f t="shared" si="26"/>
        <v/>
      </c>
      <c r="N40" s="206" t="str">
        <f t="shared" si="23"/>
        <v/>
      </c>
      <c r="O40" s="206" t="str">
        <f t="shared" si="12"/>
        <v/>
      </c>
      <c r="P40" s="165" t="str">
        <f t="shared" si="13"/>
        <v/>
      </c>
      <c r="Q40" s="207"/>
      <c r="R40" s="141" t="str">
        <f>IF(S40="IN",'BOM_Phan II'!$Y$3,"")</f>
        <v/>
      </c>
      <c r="S40" s="153" t="str">
        <f t="shared" si="14"/>
        <v/>
      </c>
      <c r="T40">
        <f t="shared" si="15"/>
        <v>6</v>
      </c>
      <c r="U40" s="208" t="str">
        <f t="shared" si="21"/>
        <v>KIỆN 9</v>
      </c>
      <c r="V40" s="208" t="str">
        <f t="shared" si="16"/>
        <v/>
      </c>
      <c r="W40" s="240"/>
      <c r="X40" s="240"/>
      <c r="Y40" s="240" t="str">
        <f t="shared" si="17"/>
        <v/>
      </c>
      <c r="Z40" s="240"/>
      <c r="AD40" s="232" t="str">
        <f t="shared" si="1"/>
        <v/>
      </c>
      <c r="AE40" s="204"/>
      <c r="AX40" s="3" t="str">
        <f t="shared" si="2"/>
        <v/>
      </c>
    </row>
    <row r="41" spans="1:50" s="155" customFormat="1" ht="30" hidden="1" customHeight="1">
      <c r="A41" s="141" t="str">
        <f t="shared" si="19"/>
        <v/>
      </c>
      <c r="B41" s="141" t="str">
        <f t="shared" si="20"/>
        <v/>
      </c>
      <c r="C41" s="205" t="str" cm="1">
        <f t="array" ref="C41">IF(D41="","",
    IF(AND(ISNUMBER(D41), D41=INT(D41)),
        $V$6 &amp; " " &amp; (IFERROR(MAX($Y$12:$Y40), 0) + 1),
        IF(ISNUMBER(SEARCH(".", D41)), "", INDEX($C$12:$C41, MATCH(2, 1/($C$12:$C41 &lt;&gt; ""))))
    )
)</f>
        <v/>
      </c>
      <c r="D41" s="206"/>
      <c r="E41" s="206" t="str">
        <f>IF(AA41 = "", "",
    IF(ISNUMBER(SEARCH("Kiện", C41)),
       " GÓI " &amp; COUNTIF($C$13:C41, "*Kiện*") &amp; "/" &amp; COUNTIF($C$13:$C$1000, "*Kiện*") &amp; " " &amp; AA41,
       AA41)
)</f>
        <v/>
      </c>
      <c r="F41" s="206"/>
      <c r="G41" s="206"/>
      <c r="H41" s="206"/>
      <c r="I41" s="206"/>
      <c r="J41" s="206" t="str">
        <f t="shared" si="22"/>
        <v/>
      </c>
      <c r="K41" s="206" t="str">
        <f t="shared" si="24"/>
        <v/>
      </c>
      <c r="L41" s="206" t="str">
        <f t="shared" si="25"/>
        <v/>
      </c>
      <c r="M41" s="206" t="str">
        <f t="shared" si="26"/>
        <v/>
      </c>
      <c r="N41" s="206" t="str">
        <f t="shared" si="23"/>
        <v/>
      </c>
      <c r="O41" s="206" t="str">
        <f t="shared" si="12"/>
        <v/>
      </c>
      <c r="P41" s="165" t="str">
        <f t="shared" si="13"/>
        <v/>
      </c>
      <c r="Q41" s="207"/>
      <c r="R41" s="141" t="str">
        <f>IF(S41="IN",'BOM_Phan II'!$Y$3,"")</f>
        <v/>
      </c>
      <c r="S41" s="153" t="str">
        <f t="shared" si="14"/>
        <v/>
      </c>
      <c r="T41">
        <f t="shared" si="15"/>
        <v>6</v>
      </c>
      <c r="U41" s="208" t="str">
        <f t="shared" si="21"/>
        <v>KIỆN 9</v>
      </c>
      <c r="V41" s="208" t="str">
        <f t="shared" si="16"/>
        <v/>
      </c>
      <c r="W41" s="240"/>
      <c r="X41" s="240"/>
      <c r="Y41" s="240" t="str">
        <f t="shared" si="17"/>
        <v/>
      </c>
      <c r="Z41" s="240"/>
      <c r="AD41" s="232" t="str">
        <f t="shared" si="1"/>
        <v/>
      </c>
      <c r="AE41" s="204"/>
      <c r="AX41" s="3" t="str">
        <f t="shared" si="2"/>
        <v/>
      </c>
    </row>
    <row r="42" spans="1:50" s="155" customFormat="1" ht="30" hidden="1" customHeight="1">
      <c r="A42" s="141" t="str">
        <f t="shared" si="19"/>
        <v/>
      </c>
      <c r="B42" s="141" t="str">
        <f t="shared" si="20"/>
        <v/>
      </c>
      <c r="C42" s="205" t="str" cm="1">
        <f t="array" ref="C42">IF(D42="","",
    IF(AND(ISNUMBER(D42), D42=INT(D42)),
        $V$6 &amp; " " &amp; (IFERROR(MAX($Y$12:$Y41), 0) + 1),
        IF(ISNUMBER(SEARCH(".", D42)), "", INDEX($C$12:$C42, MATCH(2, 1/($C$12:$C42 &lt;&gt; ""))))
    )
)</f>
        <v/>
      </c>
      <c r="D42" s="206"/>
      <c r="E42" s="206" t="str">
        <f>IF(AA42 = "", "",
    IF(ISNUMBER(SEARCH("Kiện", C42)),
       " GÓI " &amp; COUNTIF($C$13:C42, "*Kiện*") &amp; "/" &amp; COUNTIF($C$13:$C$1000, "*Kiện*") &amp; " " &amp; AA42,
       AA42)
)</f>
        <v/>
      </c>
      <c r="F42" s="206"/>
      <c r="G42" s="206"/>
      <c r="H42" s="206"/>
      <c r="I42" s="206"/>
      <c r="J42" s="206" t="str">
        <f t="shared" si="22"/>
        <v/>
      </c>
      <c r="K42" s="206" t="str">
        <f t="shared" si="24"/>
        <v/>
      </c>
      <c r="L42" s="206" t="str">
        <f t="shared" si="25"/>
        <v/>
      </c>
      <c r="M42" s="206" t="str">
        <f t="shared" si="26"/>
        <v/>
      </c>
      <c r="N42" s="206" t="str">
        <f t="shared" si="23"/>
        <v/>
      </c>
      <c r="O42" s="206" t="str">
        <f t="shared" si="12"/>
        <v/>
      </c>
      <c r="P42" s="165" t="str">
        <f t="shared" si="13"/>
        <v/>
      </c>
      <c r="Q42" s="207"/>
      <c r="R42" s="141" t="str">
        <f>IF(S42="IN",'BOM_Phan II'!$Y$3,"")</f>
        <v/>
      </c>
      <c r="S42" s="153" t="str">
        <f t="shared" si="14"/>
        <v/>
      </c>
      <c r="T42">
        <f t="shared" si="15"/>
        <v>6</v>
      </c>
      <c r="U42" s="208" t="str">
        <f t="shared" si="21"/>
        <v>KIỆN 9</v>
      </c>
      <c r="V42" s="208" t="str">
        <f t="shared" si="16"/>
        <v/>
      </c>
      <c r="W42" s="240"/>
      <c r="X42" s="240"/>
      <c r="Y42" s="240" t="str">
        <f t="shared" si="17"/>
        <v/>
      </c>
      <c r="Z42" s="240"/>
      <c r="AD42" s="232" t="str">
        <f t="shared" si="1"/>
        <v/>
      </c>
      <c r="AE42" s="204"/>
      <c r="AX42" s="3" t="str">
        <f t="shared" si="2"/>
        <v/>
      </c>
    </row>
    <row r="43" spans="1:50" s="155" customFormat="1" ht="30" hidden="1" customHeight="1">
      <c r="A43" s="141" t="str">
        <f t="shared" si="19"/>
        <v/>
      </c>
      <c r="B43" s="141" t="str">
        <f t="shared" si="20"/>
        <v/>
      </c>
      <c r="C43" s="205" t="str" cm="1">
        <f t="array" ref="C43">IF(D43="","",
    IF(AND(ISNUMBER(D43), D43=INT(D43)),
        $V$6 &amp; " " &amp; (IFERROR(MAX($Y$12:$Y42), 0) + 1),
        IF(ISNUMBER(SEARCH(".", D43)), "", INDEX($C$12:$C43, MATCH(2, 1/($C$12:$C43 &lt;&gt; ""))))
    )
)</f>
        <v/>
      </c>
      <c r="D43" s="206"/>
      <c r="E43" s="206" t="str">
        <f>IF(AA43 = "", "",
    IF(ISNUMBER(SEARCH("Kiện", C43)),
       " GÓI " &amp; COUNTIF($C$13:C43, "*Kiện*") &amp; "/" &amp; COUNTIF($C$13:$C$1000, "*Kiện*") &amp; " " &amp; AA43,
       AA43)
)</f>
        <v/>
      </c>
      <c r="F43" s="206"/>
      <c r="G43" s="206"/>
      <c r="H43" s="206"/>
      <c r="I43" s="206"/>
      <c r="J43" s="206" t="str">
        <f t="shared" si="22"/>
        <v/>
      </c>
      <c r="K43" s="206" t="str">
        <f t="shared" si="24"/>
        <v/>
      </c>
      <c r="L43" s="206" t="str">
        <f t="shared" si="25"/>
        <v/>
      </c>
      <c r="M43" s="206" t="str">
        <f t="shared" si="26"/>
        <v/>
      </c>
      <c r="N43" s="206" t="str">
        <f t="shared" si="23"/>
        <v/>
      </c>
      <c r="O43" s="206" t="str">
        <f t="shared" si="12"/>
        <v/>
      </c>
      <c r="P43" s="165" t="str">
        <f t="shared" si="13"/>
        <v/>
      </c>
      <c r="Q43" s="207"/>
      <c r="R43" s="141" t="str">
        <f>IF(S43="IN",'BOM_Phan II'!$Y$3,"")</f>
        <v/>
      </c>
      <c r="S43" s="153" t="str">
        <f t="shared" si="14"/>
        <v/>
      </c>
      <c r="T43">
        <f t="shared" si="15"/>
        <v>6</v>
      </c>
      <c r="U43" s="208" t="str">
        <f t="shared" si="21"/>
        <v>KIỆN 9</v>
      </c>
      <c r="V43" s="208" t="str">
        <f t="shared" si="16"/>
        <v/>
      </c>
      <c r="W43" s="240"/>
      <c r="X43" s="240"/>
      <c r="Y43" s="240" t="str">
        <f t="shared" si="17"/>
        <v/>
      </c>
      <c r="Z43" s="240"/>
      <c r="AD43" s="232" t="str">
        <f t="shared" si="1"/>
        <v/>
      </c>
      <c r="AE43" s="204"/>
      <c r="AX43" s="3" t="str">
        <f t="shared" si="2"/>
        <v/>
      </c>
    </row>
    <row r="44" spans="1:50" s="155" customFormat="1" ht="30" hidden="1" customHeight="1">
      <c r="A44" s="141" t="str">
        <f t="shared" si="19"/>
        <v/>
      </c>
      <c r="B44" s="141" t="str">
        <f t="shared" si="20"/>
        <v/>
      </c>
      <c r="C44" s="205" t="str" cm="1">
        <f t="array" ref="C44">IF(D44="","",
    IF(AND(ISNUMBER(D44), D44=INT(D44)),
        $V$6 &amp; " " &amp; (IFERROR(MAX($Y$12:$Y43), 0) + 1),
        IF(ISNUMBER(SEARCH(".", D44)), "", INDEX($C$12:$C44, MATCH(2, 1/($C$12:$C44 &lt;&gt; ""))))
    )
)</f>
        <v/>
      </c>
      <c r="D44" s="206"/>
      <c r="E44" s="206" t="str">
        <f>IF(AA44 = "", "",
    IF(ISNUMBER(SEARCH("Kiện", C44)),
       " GÓI " &amp; COUNTIF($C$13:C44, "*Kiện*") &amp; "/" &amp; COUNTIF($C$13:$C$1000, "*Kiện*") &amp; " " &amp; AA44,
       AA44)
)</f>
        <v/>
      </c>
      <c r="F44" s="206"/>
      <c r="G44" s="206"/>
      <c r="H44" s="206"/>
      <c r="I44" s="206"/>
      <c r="J44" s="206" t="str">
        <f t="shared" si="22"/>
        <v/>
      </c>
      <c r="K44" s="206" t="str">
        <f t="shared" si="24"/>
        <v/>
      </c>
      <c r="L44" s="206" t="str">
        <f t="shared" si="25"/>
        <v/>
      </c>
      <c r="M44" s="206" t="str">
        <f t="shared" si="26"/>
        <v/>
      </c>
      <c r="N44" s="206" t="str">
        <f t="shared" si="23"/>
        <v/>
      </c>
      <c r="O44" s="206" t="str">
        <f t="shared" si="12"/>
        <v/>
      </c>
      <c r="P44" s="165" t="str">
        <f t="shared" si="13"/>
        <v/>
      </c>
      <c r="Q44" s="207"/>
      <c r="R44" s="141" t="str">
        <f>IF(S44="IN",'BOM_Phan II'!$Y$3,"")</f>
        <v/>
      </c>
      <c r="S44" s="153" t="str">
        <f t="shared" si="14"/>
        <v/>
      </c>
      <c r="T44">
        <f t="shared" si="15"/>
        <v>6</v>
      </c>
      <c r="U44" s="208" t="str">
        <f t="shared" si="21"/>
        <v>KIỆN 9</v>
      </c>
      <c r="V44" s="208" t="str">
        <f t="shared" si="16"/>
        <v/>
      </c>
      <c r="W44" s="240"/>
      <c r="X44" s="240"/>
      <c r="Y44" s="240" t="str">
        <f t="shared" si="17"/>
        <v/>
      </c>
      <c r="Z44" s="240"/>
      <c r="AD44" s="232" t="str">
        <f t="shared" si="1"/>
        <v/>
      </c>
      <c r="AE44" s="204"/>
      <c r="AX44" s="3" t="str">
        <f t="shared" si="2"/>
        <v/>
      </c>
    </row>
    <row r="45" spans="1:50" s="155" customFormat="1" ht="30" hidden="1" customHeight="1">
      <c r="A45" s="141" t="str">
        <f t="shared" si="19"/>
        <v/>
      </c>
      <c r="B45" s="141" t="str">
        <f t="shared" si="20"/>
        <v/>
      </c>
      <c r="C45" s="205" t="str" cm="1">
        <f t="array" ref="C45">IF(D45="","",
    IF(AND(ISNUMBER(D45), D45=INT(D45)),
        $V$6 &amp; " " &amp; (IFERROR(MAX($Y$12:$Y44), 0) + 1),
        IF(ISNUMBER(SEARCH(".", D45)), "", INDEX($C$12:$C45, MATCH(2, 1/($C$12:$C45 &lt;&gt; ""))))
    )
)</f>
        <v/>
      </c>
      <c r="D45" s="206"/>
      <c r="E45" s="206" t="str">
        <f>IF(AA45 = "", "",
    IF(ISNUMBER(SEARCH("Kiện", C45)),
       " GÓI " &amp; COUNTIF($C$13:C45, "*Kiện*") &amp; "/" &amp; COUNTIF($C$13:$C$1000, "*Kiện*") &amp; " " &amp; AA45,
       AA45)
)</f>
        <v/>
      </c>
      <c r="F45" s="206"/>
      <c r="G45" s="206"/>
      <c r="H45" s="206"/>
      <c r="I45" s="206"/>
      <c r="J45" s="206" t="str">
        <f t="shared" si="22"/>
        <v/>
      </c>
      <c r="K45" s="206" t="str">
        <f t="shared" si="24"/>
        <v/>
      </c>
      <c r="L45" s="206" t="str">
        <f t="shared" si="25"/>
        <v/>
      </c>
      <c r="M45" s="206" t="str">
        <f t="shared" si="26"/>
        <v/>
      </c>
      <c r="N45" s="206" t="str">
        <f t="shared" si="23"/>
        <v/>
      </c>
      <c r="O45" s="206" t="str">
        <f t="shared" si="12"/>
        <v/>
      </c>
      <c r="P45" s="165" t="str">
        <f t="shared" si="13"/>
        <v/>
      </c>
      <c r="Q45" s="207"/>
      <c r="R45" s="141" t="str">
        <f>IF(S45="IN",'BOM_Phan II'!$Y$3,"")</f>
        <v/>
      </c>
      <c r="S45" s="153" t="str">
        <f t="shared" si="14"/>
        <v/>
      </c>
      <c r="T45">
        <f t="shared" si="15"/>
        <v>6</v>
      </c>
      <c r="U45" s="208" t="str">
        <f t="shared" si="21"/>
        <v>KIỆN 9</v>
      </c>
      <c r="V45" s="208" t="str">
        <f t="shared" si="16"/>
        <v/>
      </c>
      <c r="W45" s="240"/>
      <c r="X45" s="240"/>
      <c r="Y45" s="240" t="str">
        <f t="shared" si="17"/>
        <v/>
      </c>
      <c r="Z45" s="240"/>
      <c r="AD45" s="232" t="str">
        <f t="shared" si="1"/>
        <v/>
      </c>
      <c r="AE45" s="204"/>
      <c r="AX45" s="3" t="str">
        <f t="shared" si="2"/>
        <v/>
      </c>
    </row>
    <row r="46" spans="1:50" s="155" customFormat="1" ht="30" hidden="1" customHeight="1">
      <c r="A46" s="141" t="str">
        <f t="shared" si="19"/>
        <v/>
      </c>
      <c r="B46" s="141" t="str">
        <f t="shared" si="20"/>
        <v/>
      </c>
      <c r="C46" s="205" t="str" cm="1">
        <f t="array" ref="C46">IF(D46="","",
    IF(AND(ISNUMBER(D46), D46=INT(D46)),
        $V$6 &amp; " " &amp; (IFERROR(MAX($Y$12:$Y45), 0) + 1),
        IF(ISNUMBER(SEARCH(".", D46)), "", INDEX($C$12:$C46, MATCH(2, 1/($C$12:$C46 &lt;&gt; ""))))
    )
)</f>
        <v/>
      </c>
      <c r="D46" s="206"/>
      <c r="E46" s="206" t="str">
        <f>IF(AA46 = "", "",
    IF(ISNUMBER(SEARCH("Kiện", C46)),
       " GÓI " &amp; COUNTIF($C$13:C46, "*Kiện*") &amp; "/" &amp; COUNTIF($C$13:$C$1000, "*Kiện*") &amp; " " &amp; AA46,
       AA46)
)</f>
        <v/>
      </c>
      <c r="F46" s="206"/>
      <c r="G46" s="206"/>
      <c r="H46" s="206"/>
      <c r="I46" s="206"/>
      <c r="J46" s="206" t="str">
        <f t="shared" si="22"/>
        <v/>
      </c>
      <c r="K46" s="206" t="str">
        <f t="shared" si="24"/>
        <v/>
      </c>
      <c r="L46" s="206" t="str">
        <f t="shared" si="25"/>
        <v/>
      </c>
      <c r="M46" s="206" t="str">
        <f t="shared" si="26"/>
        <v/>
      </c>
      <c r="N46" s="206" t="str">
        <f t="shared" si="23"/>
        <v/>
      </c>
      <c r="O46" s="206" t="str">
        <f t="shared" si="12"/>
        <v/>
      </c>
      <c r="P46" s="165" t="str">
        <f t="shared" si="13"/>
        <v/>
      </c>
      <c r="Q46" s="207"/>
      <c r="R46" s="141" t="str">
        <f>IF(S46="IN",'BOM_Phan II'!$Y$3,"")</f>
        <v/>
      </c>
      <c r="S46" s="153" t="str">
        <f t="shared" si="14"/>
        <v/>
      </c>
      <c r="T46">
        <f t="shared" si="15"/>
        <v>6</v>
      </c>
      <c r="U46" s="208" t="str">
        <f t="shared" si="21"/>
        <v>KIỆN 9</v>
      </c>
      <c r="V46" s="208" t="str">
        <f t="shared" si="16"/>
        <v/>
      </c>
      <c r="W46" s="240"/>
      <c r="X46" s="240"/>
      <c r="Y46" s="240" t="str">
        <f t="shared" si="17"/>
        <v/>
      </c>
      <c r="Z46" s="240"/>
      <c r="AD46" s="232" t="str">
        <f t="shared" si="1"/>
        <v/>
      </c>
      <c r="AE46" s="204"/>
      <c r="AX46" s="3" t="str">
        <f t="shared" si="2"/>
        <v/>
      </c>
    </row>
    <row r="47" spans="1:50" s="155" customFormat="1" ht="30" hidden="1" customHeight="1">
      <c r="A47" s="141" t="str">
        <f t="shared" si="19"/>
        <v/>
      </c>
      <c r="B47" s="141" t="str">
        <f t="shared" si="20"/>
        <v/>
      </c>
      <c r="C47" s="205" t="str" cm="1">
        <f t="array" ref="C47">IF(D47="","",
    IF(AND(ISNUMBER(D47), D47=INT(D47)),
        $V$6 &amp; " " &amp; (IFERROR(MAX($Y$12:$Y46), 0) + 1),
        IF(ISNUMBER(SEARCH(".", D47)), "", INDEX($C$12:$C47, MATCH(2, 1/($C$12:$C47 &lt;&gt; ""))))
    )
)</f>
        <v/>
      </c>
      <c r="D47" s="206"/>
      <c r="E47" s="206" t="str">
        <f>IF(AA47 = "", "",
    IF(ISNUMBER(SEARCH("Kiện", C47)),
       " GÓI " &amp; COUNTIF($C$13:C47, "*Kiện*") &amp; "/" &amp; COUNTIF($C$13:$C$1000, "*Kiện*") &amp; " " &amp; AA47,
       AA47)
)</f>
        <v/>
      </c>
      <c r="F47" s="206"/>
      <c r="G47" s="206"/>
      <c r="H47" s="206"/>
      <c r="I47" s="206"/>
      <c r="J47" s="206" t="str">
        <f t="shared" si="22"/>
        <v/>
      </c>
      <c r="K47" s="206" t="str">
        <f t="shared" si="24"/>
        <v/>
      </c>
      <c r="L47" s="206" t="str">
        <f t="shared" si="25"/>
        <v/>
      </c>
      <c r="M47" s="206" t="str">
        <f t="shared" si="26"/>
        <v/>
      </c>
      <c r="N47" s="206" t="str">
        <f t="shared" si="23"/>
        <v/>
      </c>
      <c r="O47" s="206" t="str">
        <f t="shared" si="12"/>
        <v/>
      </c>
      <c r="P47" s="165" t="str">
        <f t="shared" si="13"/>
        <v/>
      </c>
      <c r="Q47" s="207"/>
      <c r="R47" s="141" t="str">
        <f>IF(S47="IN",'BOM_Phan II'!$Y$3,"")</f>
        <v/>
      </c>
      <c r="S47" s="153" t="str">
        <f t="shared" si="14"/>
        <v/>
      </c>
      <c r="T47">
        <f t="shared" si="15"/>
        <v>6</v>
      </c>
      <c r="U47" s="208" t="str">
        <f t="shared" si="21"/>
        <v>KIỆN 9</v>
      </c>
      <c r="V47" s="208" t="str">
        <f t="shared" si="16"/>
        <v/>
      </c>
      <c r="W47" s="240"/>
      <c r="X47" s="240"/>
      <c r="Y47" s="240" t="str">
        <f t="shared" si="17"/>
        <v/>
      </c>
      <c r="Z47" s="240"/>
      <c r="AD47" s="232" t="str">
        <f t="shared" si="1"/>
        <v/>
      </c>
      <c r="AE47" s="204"/>
      <c r="AX47" s="3" t="str">
        <f t="shared" si="2"/>
        <v/>
      </c>
    </row>
    <row r="48" spans="1:50" s="155" customFormat="1" ht="30" hidden="1" customHeight="1">
      <c r="A48" s="141" t="str">
        <f t="shared" si="19"/>
        <v/>
      </c>
      <c r="B48" s="141" t="str">
        <f t="shared" si="20"/>
        <v/>
      </c>
      <c r="C48" s="205" t="str" cm="1">
        <f t="array" ref="C48">IF(D48="","",
    IF(AND(ISNUMBER(D48), D48=INT(D48)),
        $V$6 &amp; " " &amp; (IFERROR(MAX($Y$12:$Y47), 0) + 1),
        IF(ISNUMBER(SEARCH(".", D48)), "", INDEX($C$12:$C48, MATCH(2, 1/($C$12:$C48 &lt;&gt; ""))))
    )
)</f>
        <v/>
      </c>
      <c r="D48" s="206"/>
      <c r="E48" s="206" t="str">
        <f>IF(AA48 = "", "",
    IF(ISNUMBER(SEARCH("Kiện", C48)),
       " GÓI " &amp; COUNTIF($C$13:C48, "*Kiện*") &amp; "/" &amp; COUNTIF($C$13:$C$1000, "*Kiện*") &amp; " " &amp; AA48,
       AA48)
)</f>
        <v/>
      </c>
      <c r="F48" s="206"/>
      <c r="G48" s="206"/>
      <c r="H48" s="206"/>
      <c r="I48" s="206"/>
      <c r="J48" s="206" t="str">
        <f t="shared" si="22"/>
        <v/>
      </c>
      <c r="K48" s="206" t="str">
        <f t="shared" si="24"/>
        <v/>
      </c>
      <c r="L48" s="206" t="str">
        <f t="shared" si="25"/>
        <v/>
      </c>
      <c r="M48" s="206" t="str">
        <f t="shared" si="26"/>
        <v/>
      </c>
      <c r="N48" s="206" t="str">
        <f t="shared" si="23"/>
        <v/>
      </c>
      <c r="O48" s="206" t="str">
        <f t="shared" si="12"/>
        <v/>
      </c>
      <c r="P48" s="165" t="str">
        <f t="shared" si="13"/>
        <v/>
      </c>
      <c r="Q48" s="207"/>
      <c r="R48" s="141" t="str">
        <f>IF(S48="IN",'BOM_Phan II'!$Y$3,"")</f>
        <v/>
      </c>
      <c r="S48" s="153" t="str">
        <f t="shared" si="14"/>
        <v/>
      </c>
      <c r="T48">
        <f t="shared" si="15"/>
        <v>6</v>
      </c>
      <c r="U48" s="208" t="str">
        <f t="shared" si="21"/>
        <v>KIỆN 9</v>
      </c>
      <c r="V48" s="208" t="str">
        <f t="shared" si="16"/>
        <v/>
      </c>
      <c r="W48" s="240"/>
      <c r="X48" s="240"/>
      <c r="Y48" s="240" t="str">
        <f t="shared" si="17"/>
        <v/>
      </c>
      <c r="Z48" s="240"/>
      <c r="AD48" s="232" t="str">
        <f t="shared" si="1"/>
        <v/>
      </c>
      <c r="AE48" s="204"/>
      <c r="AX48" s="3" t="str">
        <f t="shared" si="2"/>
        <v/>
      </c>
    </row>
    <row r="49" spans="1:50" s="155" customFormat="1" ht="30" hidden="1" customHeight="1">
      <c r="A49" s="141" t="str">
        <f t="shared" si="19"/>
        <v/>
      </c>
      <c r="B49" s="141" t="str">
        <f t="shared" si="20"/>
        <v/>
      </c>
      <c r="C49" s="205" t="str" cm="1">
        <f t="array" ref="C49">IF(D49="","",
    IF(AND(ISNUMBER(D49), D49=INT(D49)),
        $V$6 &amp; " " &amp; (IFERROR(MAX($Y$12:$Y48), 0) + 1),
        IF(ISNUMBER(SEARCH(".", D49)), "", INDEX($C$12:$C49, MATCH(2, 1/($C$12:$C49 &lt;&gt; ""))))
    )
)</f>
        <v/>
      </c>
      <c r="D49" s="206"/>
      <c r="E49" s="206" t="str">
        <f>IF(AA49 = "", "",
    IF(ISNUMBER(SEARCH("Kiện", C49)),
       " GÓI " &amp; COUNTIF($C$13:C49, "*Kiện*") &amp; "/" &amp; COUNTIF($C$13:$C$1000, "*Kiện*") &amp; " " &amp; AA49,
       AA49)
)</f>
        <v/>
      </c>
      <c r="F49" s="206"/>
      <c r="G49" s="206"/>
      <c r="H49" s="206"/>
      <c r="I49" s="206"/>
      <c r="J49" s="206" t="str">
        <f t="shared" si="22"/>
        <v/>
      </c>
      <c r="K49" s="206" t="str">
        <f t="shared" si="24"/>
        <v/>
      </c>
      <c r="L49" s="206" t="str">
        <f t="shared" si="25"/>
        <v/>
      </c>
      <c r="M49" s="206" t="str">
        <f t="shared" si="26"/>
        <v/>
      </c>
      <c r="N49" s="206" t="str">
        <f t="shared" si="23"/>
        <v/>
      </c>
      <c r="O49" s="206" t="str">
        <f t="shared" si="12"/>
        <v/>
      </c>
      <c r="P49" s="165" t="str">
        <f t="shared" si="13"/>
        <v/>
      </c>
      <c r="Q49" s="207"/>
      <c r="R49" s="141" t="str">
        <f>IF(S49="IN",'BOM_Phan II'!$Y$3,"")</f>
        <v/>
      </c>
      <c r="S49" s="153" t="str">
        <f t="shared" si="14"/>
        <v/>
      </c>
      <c r="T49">
        <f t="shared" si="15"/>
        <v>6</v>
      </c>
      <c r="U49" s="208" t="str">
        <f t="shared" si="21"/>
        <v>KIỆN 9</v>
      </c>
      <c r="V49" s="208" t="str">
        <f t="shared" si="16"/>
        <v/>
      </c>
      <c r="W49" s="240"/>
      <c r="X49" s="240"/>
      <c r="Y49" s="240" t="str">
        <f t="shared" si="17"/>
        <v/>
      </c>
      <c r="Z49" s="240"/>
      <c r="AD49" s="232" t="str">
        <f t="shared" si="1"/>
        <v/>
      </c>
      <c r="AE49" s="204"/>
      <c r="AX49" s="3" t="str">
        <f t="shared" si="2"/>
        <v/>
      </c>
    </row>
    <row r="50" spans="1:50" s="155" customFormat="1" ht="30" hidden="1" customHeight="1">
      <c r="A50" s="141" t="str">
        <f t="shared" si="19"/>
        <v/>
      </c>
      <c r="B50" s="141" t="str">
        <f t="shared" si="20"/>
        <v/>
      </c>
      <c r="C50" s="205" t="str" cm="1">
        <f t="array" ref="C50">IF(D50="","",
    IF(AND(ISNUMBER(D50), D50=INT(D50)),
        $V$6 &amp; " " &amp; (IFERROR(MAX($Y$12:$Y49), 0) + 1),
        IF(ISNUMBER(SEARCH(".", D50)), "", INDEX($C$12:$C50, MATCH(2, 1/($C$12:$C50 &lt;&gt; ""))))
    )
)</f>
        <v/>
      </c>
      <c r="D50" s="206"/>
      <c r="E50" s="206" t="str">
        <f>IF(AA50 = "", "",
    IF(ISNUMBER(SEARCH("Kiện", C50)),
       " GÓI " &amp; COUNTIF($C$13:C50, "*Kiện*") &amp; "/" &amp; COUNTIF($C$13:$C$1000, "*Kiện*") &amp; " " &amp; AA50,
       AA50)
)</f>
        <v/>
      </c>
      <c r="F50" s="206"/>
      <c r="G50" s="206"/>
      <c r="H50" s="206"/>
      <c r="I50" s="206"/>
      <c r="J50" s="206" t="str">
        <f t="shared" si="22"/>
        <v/>
      </c>
      <c r="K50" s="206" t="str">
        <f t="shared" si="24"/>
        <v/>
      </c>
      <c r="L50" s="206" t="str">
        <f t="shared" si="25"/>
        <v/>
      </c>
      <c r="M50" s="206" t="str">
        <f t="shared" si="26"/>
        <v/>
      </c>
      <c r="N50" s="206" t="str">
        <f t="shared" si="23"/>
        <v/>
      </c>
      <c r="O50" s="206" t="str">
        <f t="shared" si="12"/>
        <v/>
      </c>
      <c r="P50" s="165" t="str">
        <f t="shared" si="13"/>
        <v/>
      </c>
      <c r="Q50" s="207"/>
      <c r="R50" s="141" t="str">
        <f>IF(S50="IN",'BOM_Phan II'!$Y$3,"")</f>
        <v/>
      </c>
      <c r="S50" s="153" t="str">
        <f t="shared" si="14"/>
        <v/>
      </c>
      <c r="T50">
        <f t="shared" si="15"/>
        <v>6</v>
      </c>
      <c r="U50" s="208" t="str">
        <f t="shared" si="21"/>
        <v>KIỆN 9</v>
      </c>
      <c r="V50" s="208" t="str">
        <f t="shared" si="16"/>
        <v/>
      </c>
      <c r="W50" s="240"/>
      <c r="X50" s="240"/>
      <c r="Y50" s="240" t="str">
        <f t="shared" si="17"/>
        <v/>
      </c>
      <c r="Z50" s="240"/>
      <c r="AD50" s="232" t="str">
        <f t="shared" si="1"/>
        <v/>
      </c>
      <c r="AE50" s="204"/>
      <c r="AX50" s="3" t="str">
        <f t="shared" si="2"/>
        <v/>
      </c>
    </row>
    <row r="51" spans="1:50" s="155" customFormat="1" ht="30" hidden="1" customHeight="1">
      <c r="A51" s="141" t="str">
        <f t="shared" si="19"/>
        <v/>
      </c>
      <c r="B51" s="141" t="str">
        <f t="shared" si="20"/>
        <v/>
      </c>
      <c r="C51" s="205" t="str" cm="1">
        <f t="array" ref="C51">IF(D51="","",
    IF(AND(ISNUMBER(D51), D51=INT(D51)),
        $V$6 &amp; " " &amp; (IFERROR(MAX($Y$12:$Y50), 0) + 1),
        IF(ISNUMBER(SEARCH(".", D51)), "", INDEX($C$12:$C51, MATCH(2, 1/($C$12:$C51 &lt;&gt; ""))))
    )
)</f>
        <v/>
      </c>
      <c r="D51" s="206"/>
      <c r="E51" s="206" t="str">
        <f>IF(AA51 = "", "",
    IF(ISNUMBER(SEARCH("Kiện", C51)),
       " GÓI " &amp; COUNTIF($C$13:C51, "*Kiện*") &amp; "/" &amp; COUNTIF($C$13:$C$1000, "*Kiện*") &amp; " " &amp; AA51,
       AA51)
)</f>
        <v/>
      </c>
      <c r="F51" s="206"/>
      <c r="G51" s="206"/>
      <c r="H51" s="206"/>
      <c r="I51" s="206"/>
      <c r="J51" s="206" t="str">
        <f t="shared" si="22"/>
        <v/>
      </c>
      <c r="K51" s="206" t="str">
        <f t="shared" si="24"/>
        <v/>
      </c>
      <c r="L51" s="206" t="str">
        <f t="shared" si="25"/>
        <v/>
      </c>
      <c r="M51" s="206" t="str">
        <f t="shared" si="26"/>
        <v/>
      </c>
      <c r="N51" s="206" t="str">
        <f t="shared" si="23"/>
        <v/>
      </c>
      <c r="O51" s="206" t="str">
        <f t="shared" si="12"/>
        <v/>
      </c>
      <c r="P51" s="165" t="str">
        <f t="shared" si="13"/>
        <v/>
      </c>
      <c r="Q51" s="207"/>
      <c r="R51" s="141" t="str">
        <f>IF(S51="IN",'BOM_Phan II'!$Y$3,"")</f>
        <v/>
      </c>
      <c r="S51" s="153" t="str">
        <f t="shared" si="14"/>
        <v/>
      </c>
      <c r="T51">
        <f t="shared" si="15"/>
        <v>6</v>
      </c>
      <c r="U51" s="208" t="str">
        <f t="shared" si="21"/>
        <v>KIỆN 9</v>
      </c>
      <c r="V51" s="208" t="str">
        <f t="shared" si="16"/>
        <v/>
      </c>
      <c r="W51" s="240"/>
      <c r="X51" s="240"/>
      <c r="Y51" s="240" t="str">
        <f t="shared" si="17"/>
        <v/>
      </c>
      <c r="Z51" s="240"/>
      <c r="AD51" s="232" t="str">
        <f t="shared" si="1"/>
        <v/>
      </c>
      <c r="AE51" s="204"/>
      <c r="AX51" s="3" t="str">
        <f t="shared" si="2"/>
        <v/>
      </c>
    </row>
    <row r="52" spans="1:50" s="155" customFormat="1" ht="30" hidden="1" customHeight="1">
      <c r="A52" s="141" t="str">
        <f t="shared" si="19"/>
        <v/>
      </c>
      <c r="B52" s="141" t="str">
        <f t="shared" si="20"/>
        <v/>
      </c>
      <c r="C52" s="205" t="str" cm="1">
        <f t="array" ref="C52">IF(D52="","",
    IF(AND(ISNUMBER(D52), D52=INT(D52)),
        $V$6 &amp; " " &amp; (IFERROR(MAX($Y$12:$Y51), 0) + 1),
        IF(ISNUMBER(SEARCH(".", D52)), "", INDEX($C$12:$C52, MATCH(2, 1/($C$12:$C52 &lt;&gt; ""))))
    )
)</f>
        <v/>
      </c>
      <c r="D52" s="206"/>
      <c r="E52" s="206" t="str">
        <f>IF(AA52 = "", "",
    IF(ISNUMBER(SEARCH("Kiện", C52)),
       " GÓI " &amp; COUNTIF($C$13:C52, "*Kiện*") &amp; "/" &amp; COUNTIF($C$13:$C$1000, "*Kiện*") &amp; " " &amp; AA52,
       AA52)
)</f>
        <v/>
      </c>
      <c r="F52" s="206"/>
      <c r="G52" s="206"/>
      <c r="H52" s="206"/>
      <c r="I52" s="206"/>
      <c r="J52" s="206" t="str">
        <f t="shared" si="22"/>
        <v/>
      </c>
      <c r="K52" s="206" t="str">
        <f t="shared" si="24"/>
        <v/>
      </c>
      <c r="L52" s="206" t="str">
        <f t="shared" si="25"/>
        <v/>
      </c>
      <c r="M52" s="206" t="str">
        <f t="shared" si="26"/>
        <v/>
      </c>
      <c r="N52" s="206" t="str">
        <f t="shared" si="23"/>
        <v/>
      </c>
      <c r="O52" s="206" t="str">
        <f t="shared" si="12"/>
        <v/>
      </c>
      <c r="P52" s="165" t="str">
        <f t="shared" si="13"/>
        <v/>
      </c>
      <c r="Q52" s="207"/>
      <c r="R52" s="141" t="str">
        <f>IF(S52="IN",'BOM_Phan II'!$Y$3,"")</f>
        <v/>
      </c>
      <c r="S52" s="153" t="str">
        <f t="shared" si="14"/>
        <v/>
      </c>
      <c r="T52">
        <f t="shared" si="15"/>
        <v>6</v>
      </c>
      <c r="U52" s="208" t="str">
        <f t="shared" si="21"/>
        <v>KIỆN 9</v>
      </c>
      <c r="V52" s="208" t="str">
        <f t="shared" si="16"/>
        <v/>
      </c>
      <c r="W52" s="240"/>
      <c r="X52" s="240"/>
      <c r="Y52" s="240" t="str">
        <f t="shared" si="17"/>
        <v/>
      </c>
      <c r="Z52" s="240"/>
      <c r="AD52" s="232" t="str">
        <f t="shared" si="1"/>
        <v/>
      </c>
      <c r="AE52" s="204"/>
      <c r="AX52" s="3" t="str">
        <f t="shared" si="2"/>
        <v/>
      </c>
    </row>
    <row r="53" spans="1:50" s="155" customFormat="1" ht="30" hidden="1" customHeight="1">
      <c r="A53" s="141" t="str">
        <f t="shared" si="19"/>
        <v/>
      </c>
      <c r="B53" s="141" t="str">
        <f t="shared" si="20"/>
        <v/>
      </c>
      <c r="C53" s="205" t="str" cm="1">
        <f t="array" ref="C53">IF(D53="","",
    IF(AND(ISNUMBER(D53), D53=INT(D53)),
        $V$6 &amp; " " &amp; (IFERROR(MAX($Y$12:$Y52), 0) + 1),
        IF(ISNUMBER(SEARCH(".", D53)), "", INDEX($C$12:$C53, MATCH(2, 1/($C$12:$C53 &lt;&gt; ""))))
    )
)</f>
        <v/>
      </c>
      <c r="D53" s="206"/>
      <c r="E53" s="206" t="str">
        <f>IF(AA53 = "", "",
    IF(ISNUMBER(SEARCH("Kiện", C53)),
       " GÓI " &amp; COUNTIF($C$13:C53, "*Kiện*") &amp; "/" &amp; COUNTIF($C$13:$C$1000, "*Kiện*") &amp; " " &amp; AA53,
       AA53)
)</f>
        <v/>
      </c>
      <c r="F53" s="206"/>
      <c r="G53" s="206"/>
      <c r="H53" s="206"/>
      <c r="I53" s="206"/>
      <c r="J53" s="206" t="str">
        <f t="shared" si="22"/>
        <v/>
      </c>
      <c r="K53" s="206" t="str">
        <f t="shared" si="24"/>
        <v/>
      </c>
      <c r="L53" s="206" t="str">
        <f t="shared" si="25"/>
        <v/>
      </c>
      <c r="M53" s="206" t="str">
        <f t="shared" si="26"/>
        <v/>
      </c>
      <c r="N53" s="206" t="str">
        <f t="shared" si="23"/>
        <v/>
      </c>
      <c r="O53" s="206" t="str">
        <f t="shared" si="12"/>
        <v/>
      </c>
      <c r="P53" s="165" t="str">
        <f t="shared" si="13"/>
        <v/>
      </c>
      <c r="Q53" s="207"/>
      <c r="R53" s="141" t="str">
        <f>IF(S53="IN",'BOM_Phan II'!$Y$3,"")</f>
        <v/>
      </c>
      <c r="S53" s="153" t="str">
        <f t="shared" si="14"/>
        <v/>
      </c>
      <c r="T53">
        <f t="shared" si="15"/>
        <v>6</v>
      </c>
      <c r="U53" s="208" t="str">
        <f t="shared" si="21"/>
        <v>KIỆN 9</v>
      </c>
      <c r="V53" s="208" t="str">
        <f t="shared" si="16"/>
        <v/>
      </c>
      <c r="W53" s="240"/>
      <c r="X53" s="240"/>
      <c r="Y53" s="240" t="str">
        <f t="shared" si="17"/>
        <v/>
      </c>
      <c r="Z53" s="240"/>
      <c r="AD53" s="232" t="str">
        <f t="shared" si="1"/>
        <v/>
      </c>
      <c r="AE53" s="204"/>
      <c r="AX53" s="3" t="str">
        <f t="shared" si="2"/>
        <v/>
      </c>
    </row>
    <row r="54" spans="1:50" s="155" customFormat="1" ht="30" hidden="1" customHeight="1">
      <c r="A54" s="141" t="str">
        <f t="shared" si="19"/>
        <v/>
      </c>
      <c r="B54" s="141" t="str">
        <f t="shared" si="20"/>
        <v/>
      </c>
      <c r="C54" s="205" t="str" cm="1">
        <f t="array" ref="C54">IF(D54="","",
    IF(AND(ISNUMBER(D54), D54=INT(D54)),
        $V$6 &amp; " " &amp; (IFERROR(MAX($Y$12:$Y53), 0) + 1),
        IF(ISNUMBER(SEARCH(".", D54)), "", INDEX($C$12:$C54, MATCH(2, 1/($C$12:$C54 &lt;&gt; ""))))
    )
)</f>
        <v/>
      </c>
      <c r="D54" s="206"/>
      <c r="E54" s="206" t="str">
        <f>IF(AA54 = "", "",
    IF(ISNUMBER(SEARCH("Kiện", C54)),
       " GÓI " &amp; COUNTIF($C$13:C54, "*Kiện*") &amp; "/" &amp; COUNTIF($C$13:$C$1000, "*Kiện*") &amp; " " &amp; AA54,
       AA54)
)</f>
        <v/>
      </c>
      <c r="F54" s="206"/>
      <c r="G54" s="206"/>
      <c r="H54" s="206"/>
      <c r="I54" s="206"/>
      <c r="J54" s="206" t="str">
        <f t="shared" si="22"/>
        <v/>
      </c>
      <c r="K54" s="206" t="str">
        <f t="shared" si="24"/>
        <v/>
      </c>
      <c r="L54" s="206" t="str">
        <f t="shared" si="25"/>
        <v/>
      </c>
      <c r="M54" s="206" t="str">
        <f t="shared" si="26"/>
        <v/>
      </c>
      <c r="N54" s="206" t="str">
        <f t="shared" si="23"/>
        <v/>
      </c>
      <c r="O54" s="206" t="str">
        <f t="shared" si="12"/>
        <v/>
      </c>
      <c r="P54" s="165" t="str">
        <f t="shared" si="13"/>
        <v/>
      </c>
      <c r="Q54" s="207"/>
      <c r="R54" s="141" t="str">
        <f>IF(S54="IN",'BOM_Phan II'!$Y$3,"")</f>
        <v/>
      </c>
      <c r="S54" s="153" t="str">
        <f t="shared" si="14"/>
        <v/>
      </c>
      <c r="T54">
        <f t="shared" si="15"/>
        <v>6</v>
      </c>
      <c r="U54" s="208" t="str">
        <f t="shared" si="21"/>
        <v>KIỆN 9</v>
      </c>
      <c r="V54" s="208" t="str">
        <f t="shared" si="16"/>
        <v/>
      </c>
      <c r="W54" s="240"/>
      <c r="X54" s="240"/>
      <c r="Y54" s="240" t="str">
        <f t="shared" si="17"/>
        <v/>
      </c>
      <c r="Z54" s="240"/>
      <c r="AD54" s="232" t="str">
        <f t="shared" si="1"/>
        <v/>
      </c>
      <c r="AE54" s="204"/>
      <c r="AX54" s="3" t="str">
        <f t="shared" si="2"/>
        <v/>
      </c>
    </row>
    <row r="55" spans="1:50" s="155" customFormat="1" ht="30" hidden="1" customHeight="1">
      <c r="A55" s="141" t="str">
        <f t="shared" si="19"/>
        <v/>
      </c>
      <c r="B55" s="141" t="str">
        <f t="shared" si="20"/>
        <v/>
      </c>
      <c r="C55" s="205" t="str" cm="1">
        <f t="array" ref="C55">IF(D55="","",
    IF(AND(ISNUMBER(D55), D55=INT(D55)),
        $V$6 &amp; " " &amp; (IFERROR(MAX($Y$12:$Y54), 0) + 1),
        IF(ISNUMBER(SEARCH(".", D55)), "", INDEX($C$12:$C55, MATCH(2, 1/($C$12:$C55 &lt;&gt; ""))))
    )
)</f>
        <v/>
      </c>
      <c r="D55" s="206"/>
      <c r="E55" s="206" t="str">
        <f>IF(AA55 = "", "",
    IF(ISNUMBER(SEARCH("Kiện", C55)),
       " GÓI " &amp; COUNTIF($C$13:C55, "*Kiện*") &amp; "/" &amp; COUNTIF($C$13:$C$1000, "*Kiện*") &amp; " " &amp; AA55,
       AA55)
)</f>
        <v/>
      </c>
      <c r="F55" s="206"/>
      <c r="G55" s="206"/>
      <c r="H55" s="206"/>
      <c r="I55" s="206"/>
      <c r="J55" s="206" t="str">
        <f t="shared" si="22"/>
        <v/>
      </c>
      <c r="K55" s="206" t="str">
        <f t="shared" si="24"/>
        <v/>
      </c>
      <c r="L55" s="206" t="str">
        <f t="shared" si="25"/>
        <v/>
      </c>
      <c r="M55" s="206" t="str">
        <f t="shared" si="26"/>
        <v/>
      </c>
      <c r="N55" s="206" t="str">
        <f t="shared" si="23"/>
        <v/>
      </c>
      <c r="O55" s="206" t="str">
        <f t="shared" si="12"/>
        <v/>
      </c>
      <c r="P55" s="165" t="str">
        <f t="shared" si="13"/>
        <v/>
      </c>
      <c r="Q55" s="207"/>
      <c r="R55" s="141" t="str">
        <f>IF(S55="IN",'BOM_Phan II'!$Y$3,"")</f>
        <v/>
      </c>
      <c r="S55" s="153" t="str">
        <f t="shared" si="14"/>
        <v/>
      </c>
      <c r="T55">
        <f t="shared" si="15"/>
        <v>6</v>
      </c>
      <c r="U55" s="208" t="str">
        <f t="shared" si="21"/>
        <v>KIỆN 9</v>
      </c>
      <c r="V55" s="208" t="str">
        <f t="shared" si="16"/>
        <v/>
      </c>
      <c r="W55" s="240"/>
      <c r="X55" s="240"/>
      <c r="Y55" s="240" t="str">
        <f t="shared" si="17"/>
        <v/>
      </c>
      <c r="Z55" s="240"/>
      <c r="AD55" s="232" t="str">
        <f t="shared" si="1"/>
        <v/>
      </c>
      <c r="AE55" s="204"/>
      <c r="AX55" s="3" t="str">
        <f t="shared" si="2"/>
        <v/>
      </c>
    </row>
    <row r="56" spans="1:50" s="155" customFormat="1" ht="30" hidden="1" customHeight="1">
      <c r="A56" s="141" t="str">
        <f t="shared" si="19"/>
        <v/>
      </c>
      <c r="B56" s="141" t="str">
        <f t="shared" si="20"/>
        <v/>
      </c>
      <c r="C56" s="205" t="str" cm="1">
        <f t="array" ref="C56">IF(D56="","",
    IF(AND(ISNUMBER(D56), D56=INT(D56)),
        $V$6 &amp; " " &amp; (IFERROR(MAX($Y$12:$Y55), 0) + 1),
        IF(ISNUMBER(SEARCH(".", D56)), "", INDEX($C$12:$C56, MATCH(2, 1/($C$12:$C56 &lt;&gt; ""))))
    )
)</f>
        <v/>
      </c>
      <c r="D56" s="206"/>
      <c r="E56" s="206" t="str">
        <f>IF(AA56 = "", "",
    IF(ISNUMBER(SEARCH("Kiện", C56)),
       " GÓI " &amp; COUNTIF($C$13:C56, "*Kiện*") &amp; "/" &amp; COUNTIF($C$13:$C$1000, "*Kiện*") &amp; " " &amp; AA56,
       AA56)
)</f>
        <v/>
      </c>
      <c r="F56" s="206"/>
      <c r="G56" s="206"/>
      <c r="H56" s="206"/>
      <c r="I56" s="206"/>
      <c r="J56" s="206" t="str">
        <f t="shared" si="22"/>
        <v/>
      </c>
      <c r="K56" s="206" t="str">
        <f t="shared" si="24"/>
        <v/>
      </c>
      <c r="L56" s="206" t="str">
        <f t="shared" si="25"/>
        <v/>
      </c>
      <c r="M56" s="206" t="str">
        <f t="shared" si="26"/>
        <v/>
      </c>
      <c r="N56" s="206" t="str">
        <f t="shared" si="23"/>
        <v/>
      </c>
      <c r="O56" s="206" t="str">
        <f t="shared" si="12"/>
        <v/>
      </c>
      <c r="P56" s="165" t="str">
        <f t="shared" si="13"/>
        <v/>
      </c>
      <c r="Q56" s="207"/>
      <c r="R56" s="141" t="str">
        <f>IF(S56="IN",'BOM_Phan II'!$Y$3,"")</f>
        <v/>
      </c>
      <c r="S56" s="153" t="str">
        <f t="shared" si="14"/>
        <v/>
      </c>
      <c r="T56">
        <f t="shared" si="15"/>
        <v>6</v>
      </c>
      <c r="U56" s="208" t="str">
        <f t="shared" si="21"/>
        <v>KIỆN 9</v>
      </c>
      <c r="V56" s="208" t="str">
        <f t="shared" si="16"/>
        <v/>
      </c>
      <c r="W56" s="240"/>
      <c r="X56" s="240"/>
      <c r="Y56" s="240" t="str">
        <f t="shared" si="17"/>
        <v/>
      </c>
      <c r="Z56" s="240"/>
      <c r="AD56" s="232" t="str">
        <f t="shared" si="1"/>
        <v/>
      </c>
      <c r="AE56" s="204"/>
      <c r="AX56" s="3" t="str">
        <f t="shared" si="2"/>
        <v/>
      </c>
    </row>
    <row r="57" spans="1:50" s="155" customFormat="1" ht="30" hidden="1" customHeight="1">
      <c r="A57" s="141" t="str">
        <f t="shared" si="19"/>
        <v/>
      </c>
      <c r="B57" s="141" t="str">
        <f t="shared" si="20"/>
        <v/>
      </c>
      <c r="C57" s="205" t="str" cm="1">
        <f t="array" ref="C57">IF(D57="","",
    IF(AND(ISNUMBER(D57), D57=INT(D57)),
        $V$6 &amp; " " &amp; (IFERROR(MAX($Y$12:$Y56), 0) + 1),
        IF(ISNUMBER(SEARCH(".", D57)), "", INDEX($C$12:$C57, MATCH(2, 1/($C$12:$C57 &lt;&gt; ""))))
    )
)</f>
        <v/>
      </c>
      <c r="D57" s="206"/>
      <c r="E57" s="206" t="str">
        <f>IF(AA57 = "", "",
    IF(ISNUMBER(SEARCH("Kiện", C57)),
       " GÓI " &amp; COUNTIF($C$13:C57, "*Kiện*") &amp; "/" &amp; COUNTIF($C$13:$C$1000, "*Kiện*") &amp; " " &amp; AA57,
       AA57)
)</f>
        <v/>
      </c>
      <c r="F57" s="206"/>
      <c r="G57" s="206"/>
      <c r="H57" s="206"/>
      <c r="I57" s="206"/>
      <c r="J57" s="206" t="str">
        <f t="shared" si="22"/>
        <v/>
      </c>
      <c r="K57" s="206" t="str">
        <f t="shared" si="24"/>
        <v/>
      </c>
      <c r="L57" s="206" t="str">
        <f t="shared" si="25"/>
        <v/>
      </c>
      <c r="M57" s="206" t="str">
        <f t="shared" si="26"/>
        <v/>
      </c>
      <c r="N57" s="206" t="str">
        <f t="shared" si="23"/>
        <v/>
      </c>
      <c r="O57" s="206" t="str">
        <f t="shared" si="12"/>
        <v/>
      </c>
      <c r="P57" s="165" t="str">
        <f t="shared" si="13"/>
        <v/>
      </c>
      <c r="Q57" s="207"/>
      <c r="R57" s="141" t="str">
        <f>IF(S57="IN",'BOM_Phan II'!$Y$3,"")</f>
        <v/>
      </c>
      <c r="S57" s="153" t="str">
        <f t="shared" si="14"/>
        <v/>
      </c>
      <c r="T57">
        <f t="shared" si="15"/>
        <v>6</v>
      </c>
      <c r="U57" s="208" t="str">
        <f t="shared" si="21"/>
        <v>KIỆN 9</v>
      </c>
      <c r="V57" s="208" t="str">
        <f t="shared" si="16"/>
        <v/>
      </c>
      <c r="W57" s="240"/>
      <c r="X57" s="240"/>
      <c r="Y57" s="240" t="str">
        <f t="shared" si="17"/>
        <v/>
      </c>
      <c r="Z57" s="240"/>
      <c r="AD57" s="232" t="str">
        <f t="shared" si="1"/>
        <v/>
      </c>
      <c r="AE57" s="204"/>
      <c r="AX57" s="3" t="str">
        <f t="shared" si="2"/>
        <v/>
      </c>
    </row>
    <row r="58" spans="1:50" s="155" customFormat="1" ht="30" hidden="1" customHeight="1">
      <c r="A58" s="141" t="str">
        <f t="shared" si="19"/>
        <v/>
      </c>
      <c r="B58" s="141" t="str">
        <f t="shared" si="20"/>
        <v/>
      </c>
      <c r="C58" s="205" t="str" cm="1">
        <f t="array" ref="C58">IF(D58="","",
    IF(AND(ISNUMBER(D58), D58=INT(D58)),
        $V$6 &amp; " " &amp; (IFERROR(MAX($Y$12:$Y57), 0) + 1),
        IF(ISNUMBER(SEARCH(".", D58)), "", INDEX($C$12:$C58, MATCH(2, 1/($C$12:$C58 &lt;&gt; ""))))
    )
)</f>
        <v/>
      </c>
      <c r="D58" s="206"/>
      <c r="E58" s="206" t="str">
        <f>IF(AA58 = "", "",
    IF(ISNUMBER(SEARCH("Kiện", C58)),
       " GÓI " &amp; COUNTIF($C$13:C58, "*Kiện*") &amp; "/" &amp; COUNTIF($C$13:$C$1000, "*Kiện*") &amp; " " &amp; AA58,
       AA58)
)</f>
        <v/>
      </c>
      <c r="F58" s="206"/>
      <c r="G58" s="206"/>
      <c r="H58" s="206"/>
      <c r="I58" s="206"/>
      <c r="J58" s="206" t="str">
        <f t="shared" si="22"/>
        <v/>
      </c>
      <c r="K58" s="206" t="str">
        <f t="shared" si="24"/>
        <v/>
      </c>
      <c r="L58" s="206" t="str">
        <f t="shared" si="25"/>
        <v/>
      </c>
      <c r="M58" s="206" t="str">
        <f t="shared" si="26"/>
        <v/>
      </c>
      <c r="N58" s="206" t="str">
        <f t="shared" si="23"/>
        <v/>
      </c>
      <c r="O58" s="206" t="str">
        <f t="shared" si="12"/>
        <v/>
      </c>
      <c r="P58" s="165" t="str">
        <f t="shared" si="13"/>
        <v/>
      </c>
      <c r="Q58" s="207"/>
      <c r="R58" s="141" t="str">
        <f>IF(S58="IN",'BOM_Phan II'!$Y$3,"")</f>
        <v/>
      </c>
      <c r="S58" s="153" t="str">
        <f t="shared" si="14"/>
        <v/>
      </c>
      <c r="T58">
        <f t="shared" si="15"/>
        <v>6</v>
      </c>
      <c r="U58" s="208" t="str">
        <f t="shared" si="21"/>
        <v>KIỆN 9</v>
      </c>
      <c r="V58" s="208" t="str">
        <f t="shared" si="16"/>
        <v/>
      </c>
      <c r="W58" s="240"/>
      <c r="X58" s="240"/>
      <c r="Y58" s="240" t="str">
        <f t="shared" si="17"/>
        <v/>
      </c>
      <c r="Z58" s="240"/>
      <c r="AD58" s="232" t="str">
        <f t="shared" si="1"/>
        <v/>
      </c>
      <c r="AE58" s="204"/>
      <c r="AX58" s="3" t="str">
        <f t="shared" si="2"/>
        <v/>
      </c>
    </row>
    <row r="59" spans="1:50" s="155" customFormat="1" ht="30" hidden="1" customHeight="1">
      <c r="A59" s="141" t="str">
        <f t="shared" si="19"/>
        <v/>
      </c>
      <c r="B59" s="141" t="str">
        <f t="shared" si="20"/>
        <v/>
      </c>
      <c r="C59" s="205" t="str" cm="1">
        <f t="array" ref="C59">IF(D59="","",
    IF(AND(ISNUMBER(D59), D59=INT(D59)),
        $V$6 &amp; " " &amp; (IFERROR(MAX($Y$12:$Y58), 0) + 1),
        IF(ISNUMBER(SEARCH(".", D59)), "", INDEX($C$12:$C59, MATCH(2, 1/($C$12:$C59 &lt;&gt; ""))))
    )
)</f>
        <v/>
      </c>
      <c r="D59" s="206"/>
      <c r="E59" s="206" t="str">
        <f>IF(AA59 = "", "",
    IF(ISNUMBER(SEARCH("Kiện", C59)),
       " GÓI " &amp; COUNTIF($C$13:C59, "*Kiện*") &amp; "/" &amp; COUNTIF($C$13:$C$1000, "*Kiện*") &amp; " " &amp; AA59,
       AA59)
)</f>
        <v/>
      </c>
      <c r="F59" s="206"/>
      <c r="G59" s="206"/>
      <c r="H59" s="206"/>
      <c r="I59" s="206"/>
      <c r="J59" s="206" t="str">
        <f t="shared" si="22"/>
        <v/>
      </c>
      <c r="K59" s="206" t="str">
        <f t="shared" si="24"/>
        <v/>
      </c>
      <c r="L59" s="206" t="str">
        <f t="shared" si="25"/>
        <v/>
      </c>
      <c r="M59" s="206" t="str">
        <f t="shared" si="26"/>
        <v/>
      </c>
      <c r="N59" s="206" t="str">
        <f t="shared" si="23"/>
        <v/>
      </c>
      <c r="O59" s="206" t="str">
        <f t="shared" si="12"/>
        <v/>
      </c>
      <c r="P59" s="165" t="str">
        <f t="shared" si="13"/>
        <v/>
      </c>
      <c r="Q59" s="207"/>
      <c r="R59" s="141" t="str">
        <f>IF(S59="IN",'BOM_Phan II'!$Y$3,"")</f>
        <v/>
      </c>
      <c r="S59" s="153" t="str">
        <f t="shared" si="14"/>
        <v/>
      </c>
      <c r="T59">
        <f t="shared" si="15"/>
        <v>6</v>
      </c>
      <c r="U59" s="208" t="str">
        <f t="shared" si="21"/>
        <v>KIỆN 9</v>
      </c>
      <c r="V59" s="208" t="str">
        <f t="shared" si="16"/>
        <v/>
      </c>
      <c r="W59" s="240"/>
      <c r="X59" s="240"/>
      <c r="Y59" s="240" t="str">
        <f t="shared" si="17"/>
        <v/>
      </c>
      <c r="Z59" s="240"/>
      <c r="AD59" s="232" t="str">
        <f t="shared" si="1"/>
        <v/>
      </c>
      <c r="AE59" s="204"/>
      <c r="AX59" s="3" t="str">
        <f t="shared" si="2"/>
        <v/>
      </c>
    </row>
    <row r="60" spans="1:50" s="155" customFormat="1" ht="30" hidden="1" customHeight="1">
      <c r="A60" s="141" t="str">
        <f t="shared" si="19"/>
        <v/>
      </c>
      <c r="B60" s="141" t="str">
        <f t="shared" si="20"/>
        <v/>
      </c>
      <c r="C60" s="205" t="str" cm="1">
        <f t="array" ref="C60">IF(D60="","",
    IF(AND(ISNUMBER(D60), D60=INT(D60)),
        $V$6 &amp; " " &amp; (IFERROR(MAX($Y$12:$Y59), 0) + 1),
        IF(ISNUMBER(SEARCH(".", D60)), "", INDEX($C$12:$C60, MATCH(2, 1/($C$12:$C60 &lt;&gt; ""))))
    )
)</f>
        <v/>
      </c>
      <c r="D60" s="206"/>
      <c r="E60" s="206" t="str">
        <f>IF(AA60 = "", "",
    IF(ISNUMBER(SEARCH("Kiện", C60)),
       " GÓI " &amp; COUNTIF($C$13:C60, "*Kiện*") &amp; "/" &amp; COUNTIF($C$13:$C$1000, "*Kiện*") &amp; " " &amp; AA60,
       AA60)
)</f>
        <v/>
      </c>
      <c r="F60" s="206"/>
      <c r="G60" s="206"/>
      <c r="H60" s="206"/>
      <c r="I60" s="206"/>
      <c r="J60" s="206" t="str">
        <f t="shared" si="22"/>
        <v/>
      </c>
      <c r="K60" s="206" t="str">
        <f t="shared" si="24"/>
        <v/>
      </c>
      <c r="L60" s="206" t="str">
        <f t="shared" si="25"/>
        <v/>
      </c>
      <c r="M60" s="206" t="str">
        <f t="shared" si="26"/>
        <v/>
      </c>
      <c r="N60" s="206" t="str">
        <f t="shared" si="23"/>
        <v/>
      </c>
      <c r="O60" s="206" t="str">
        <f t="shared" si="12"/>
        <v/>
      </c>
      <c r="P60" s="165" t="str">
        <f t="shared" si="13"/>
        <v/>
      </c>
      <c r="Q60" s="207"/>
      <c r="R60" s="141" t="str">
        <f>IF(S60="IN",'BOM_Phan II'!$Y$3,"")</f>
        <v/>
      </c>
      <c r="S60" s="153" t="str">
        <f t="shared" si="14"/>
        <v/>
      </c>
      <c r="T60">
        <f t="shared" si="15"/>
        <v>6</v>
      </c>
      <c r="U60" s="208" t="str">
        <f t="shared" si="21"/>
        <v>KIỆN 9</v>
      </c>
      <c r="V60" s="208" t="str">
        <f t="shared" si="16"/>
        <v/>
      </c>
      <c r="W60" s="240"/>
      <c r="X60" s="240"/>
      <c r="Y60" s="240" t="str">
        <f t="shared" si="17"/>
        <v/>
      </c>
      <c r="Z60" s="240"/>
      <c r="AD60" s="232" t="str">
        <f t="shared" si="1"/>
        <v/>
      </c>
      <c r="AE60" s="204"/>
      <c r="AX60" s="3" t="str">
        <f t="shared" si="2"/>
        <v/>
      </c>
    </row>
    <row r="61" spans="1:50" s="155" customFormat="1" ht="30" hidden="1" customHeight="1">
      <c r="A61" s="141" t="str">
        <f t="shared" si="19"/>
        <v/>
      </c>
      <c r="B61" s="141" t="str">
        <f t="shared" si="20"/>
        <v/>
      </c>
      <c r="C61" s="205" t="str" cm="1">
        <f t="array" ref="C61">IF(D61="","",
    IF(AND(ISNUMBER(D61), D61=INT(D61)),
        $V$6 &amp; " " &amp; (IFERROR(MAX($Y$12:$Y60), 0) + 1),
        IF(ISNUMBER(SEARCH(".", D61)), "", INDEX($C$12:$C61, MATCH(2, 1/($C$12:$C61 &lt;&gt; ""))))
    )
)</f>
        <v/>
      </c>
      <c r="D61" s="206"/>
      <c r="E61" s="206" t="str">
        <f>IF(AA61 = "", "",
    IF(ISNUMBER(SEARCH("Kiện", C61)),
       " GÓI " &amp; COUNTIF($C$13:C61, "*Kiện*") &amp; "/" &amp; COUNTIF($C$13:$C$1000, "*Kiện*") &amp; " " &amp; AA61,
       AA61)
)</f>
        <v/>
      </c>
      <c r="F61" s="206"/>
      <c r="G61" s="206"/>
      <c r="H61" s="206"/>
      <c r="I61" s="206"/>
      <c r="J61" s="206" t="str">
        <f t="shared" si="22"/>
        <v/>
      </c>
      <c r="K61" s="206" t="str">
        <f t="shared" si="24"/>
        <v/>
      </c>
      <c r="L61" s="206" t="str">
        <f t="shared" si="25"/>
        <v/>
      </c>
      <c r="M61" s="206" t="str">
        <f t="shared" si="26"/>
        <v/>
      </c>
      <c r="N61" s="206" t="str">
        <f t="shared" si="23"/>
        <v/>
      </c>
      <c r="O61" s="206" t="str">
        <f t="shared" si="12"/>
        <v/>
      </c>
      <c r="P61" s="165" t="str">
        <f t="shared" si="13"/>
        <v/>
      </c>
      <c r="Q61" s="207"/>
      <c r="R61" s="141" t="str">
        <f>IF(S61="IN",'BOM_Phan II'!$Y$3,"")</f>
        <v/>
      </c>
      <c r="S61" s="153" t="str">
        <f t="shared" si="14"/>
        <v/>
      </c>
      <c r="T61">
        <f t="shared" si="15"/>
        <v>6</v>
      </c>
      <c r="U61" s="208" t="str">
        <f t="shared" si="21"/>
        <v>KIỆN 9</v>
      </c>
      <c r="V61" s="208" t="str">
        <f t="shared" si="16"/>
        <v/>
      </c>
      <c r="W61" s="240"/>
      <c r="X61" s="240"/>
      <c r="Y61" s="240" t="str">
        <f t="shared" si="17"/>
        <v/>
      </c>
      <c r="Z61" s="240"/>
      <c r="AD61" s="232" t="str">
        <f t="shared" si="1"/>
        <v/>
      </c>
      <c r="AE61" s="204"/>
      <c r="AX61" s="3" t="str">
        <f t="shared" si="2"/>
        <v/>
      </c>
    </row>
    <row r="62" spans="1:50" s="155" customFormat="1" ht="30" hidden="1" customHeight="1">
      <c r="A62" s="141" t="str">
        <f t="shared" si="19"/>
        <v/>
      </c>
      <c r="B62" s="141" t="str">
        <f t="shared" si="20"/>
        <v/>
      </c>
      <c r="C62" s="205" t="str" cm="1">
        <f t="array" ref="C62">IF(D62="","",
    IF(AND(ISNUMBER(D62), D62=INT(D62)),
        $V$6 &amp; " " &amp; (IFERROR(MAX($Y$12:$Y61), 0) + 1),
        IF(ISNUMBER(SEARCH(".", D62)), "", INDEX($C$12:$C62, MATCH(2, 1/($C$12:$C62 &lt;&gt; ""))))
    )
)</f>
        <v/>
      </c>
      <c r="D62" s="206"/>
      <c r="E62" s="206" t="str">
        <f>IF(AA62 = "", "",
    IF(ISNUMBER(SEARCH("Kiện", C62)),
       " GÓI " &amp; COUNTIF($C$13:C62, "*Kiện*") &amp; "/" &amp; COUNTIF($C$13:$C$1000, "*Kiện*") &amp; " " &amp; AA62,
       AA62)
)</f>
        <v/>
      </c>
      <c r="F62" s="206"/>
      <c r="G62" s="206"/>
      <c r="H62" s="206"/>
      <c r="I62" s="206"/>
      <c r="J62" s="206" t="str">
        <f t="shared" si="22"/>
        <v/>
      </c>
      <c r="K62" s="206" t="str">
        <f t="shared" si="24"/>
        <v/>
      </c>
      <c r="L62" s="206" t="str">
        <f t="shared" si="25"/>
        <v/>
      </c>
      <c r="M62" s="206" t="str">
        <f t="shared" si="26"/>
        <v/>
      </c>
      <c r="N62" s="206" t="str">
        <f t="shared" si="23"/>
        <v/>
      </c>
      <c r="O62" s="206" t="str">
        <f t="shared" si="12"/>
        <v/>
      </c>
      <c r="P62" s="165" t="str">
        <f t="shared" si="13"/>
        <v/>
      </c>
      <c r="Q62" s="207"/>
      <c r="R62" s="141" t="str">
        <f>IF(S62="IN",'BOM_Phan II'!$Y$3,"")</f>
        <v/>
      </c>
      <c r="S62" s="153" t="str">
        <f t="shared" si="14"/>
        <v/>
      </c>
      <c r="T62">
        <f t="shared" si="15"/>
        <v>6</v>
      </c>
      <c r="U62" s="208" t="str">
        <f t="shared" si="21"/>
        <v>KIỆN 9</v>
      </c>
      <c r="V62" s="208" t="str">
        <f t="shared" si="16"/>
        <v/>
      </c>
      <c r="W62" s="240"/>
      <c r="X62" s="240"/>
      <c r="Y62" s="240" t="str">
        <f t="shared" si="17"/>
        <v/>
      </c>
      <c r="Z62" s="240"/>
      <c r="AD62" s="232" t="str">
        <f t="shared" si="1"/>
        <v/>
      </c>
      <c r="AE62" s="204"/>
      <c r="AX62" s="3" t="str">
        <f t="shared" si="2"/>
        <v/>
      </c>
    </row>
    <row r="63" spans="1:50" s="155" customFormat="1" ht="30" hidden="1" customHeight="1">
      <c r="A63" s="141" t="str">
        <f t="shared" si="19"/>
        <v/>
      </c>
      <c r="B63" s="141" t="str">
        <f t="shared" si="20"/>
        <v/>
      </c>
      <c r="C63" s="205" t="str" cm="1">
        <f t="array" ref="C63">IF(D63="","",
    IF(AND(ISNUMBER(D63), D63=INT(D63)),
        $V$6 &amp; " " &amp; (IFERROR(MAX($Y$12:$Y62), 0) + 1),
        IF(ISNUMBER(SEARCH(".", D63)), "", INDEX($C$12:$C63, MATCH(2, 1/($C$12:$C63 &lt;&gt; ""))))
    )
)</f>
        <v/>
      </c>
      <c r="D63" s="206"/>
      <c r="E63" s="206" t="str">
        <f>IF(AA63 = "", "",
    IF(ISNUMBER(SEARCH("Kiện", C63)),
       " GÓI " &amp; COUNTIF($C$13:C63, "*Kiện*") &amp; "/" &amp; COUNTIF($C$13:$C$1000, "*Kiện*") &amp; " " &amp; AA63,
       AA63)
)</f>
        <v/>
      </c>
      <c r="F63" s="206"/>
      <c r="G63" s="206"/>
      <c r="H63" s="206"/>
      <c r="I63" s="206"/>
      <c r="J63" s="206" t="str">
        <f t="shared" si="22"/>
        <v/>
      </c>
      <c r="K63" s="206" t="str">
        <f t="shared" si="24"/>
        <v/>
      </c>
      <c r="L63" s="206" t="str">
        <f t="shared" si="25"/>
        <v/>
      </c>
      <c r="M63" s="206" t="str">
        <f t="shared" si="26"/>
        <v/>
      </c>
      <c r="N63" s="206" t="str">
        <f t="shared" si="23"/>
        <v/>
      </c>
      <c r="O63" s="206" t="str">
        <f t="shared" si="12"/>
        <v/>
      </c>
      <c r="P63" s="165" t="str">
        <f t="shared" si="13"/>
        <v/>
      </c>
      <c r="Q63" s="207"/>
      <c r="R63" s="141" t="str">
        <f>IF(S63="IN",'BOM_Phan II'!$Y$3,"")</f>
        <v/>
      </c>
      <c r="S63" s="153" t="str">
        <f t="shared" si="14"/>
        <v/>
      </c>
      <c r="T63">
        <f t="shared" si="15"/>
        <v>6</v>
      </c>
      <c r="U63" s="208" t="str">
        <f t="shared" si="21"/>
        <v>KIỆN 9</v>
      </c>
      <c r="V63" s="208" t="str">
        <f t="shared" si="16"/>
        <v/>
      </c>
      <c r="W63" s="240"/>
      <c r="X63" s="240"/>
      <c r="Y63" s="240" t="str">
        <f t="shared" si="17"/>
        <v/>
      </c>
      <c r="Z63" s="240"/>
      <c r="AD63" s="232" t="str">
        <f t="shared" si="1"/>
        <v/>
      </c>
      <c r="AE63" s="204"/>
      <c r="AX63" s="3" t="str">
        <f t="shared" si="2"/>
        <v/>
      </c>
    </row>
    <row r="64" spans="1:50" s="155" customFormat="1" ht="30" hidden="1" customHeight="1">
      <c r="A64" s="141" t="str">
        <f t="shared" si="19"/>
        <v/>
      </c>
      <c r="B64" s="141" t="str">
        <f t="shared" si="20"/>
        <v/>
      </c>
      <c r="C64" s="205" t="str" cm="1">
        <f t="array" ref="C64">IF(D64="","",
    IF(AND(ISNUMBER(D64), D64=INT(D64)),
        $V$6 &amp; " " &amp; (IFERROR(MAX($Y$12:$Y63), 0) + 1),
        IF(ISNUMBER(SEARCH(".", D64)), "", INDEX($C$12:$C64, MATCH(2, 1/($C$12:$C64 &lt;&gt; ""))))
    )
)</f>
        <v/>
      </c>
      <c r="D64" s="206"/>
      <c r="E64" s="206" t="str">
        <f>IF(AA64 = "", "",
    IF(ISNUMBER(SEARCH("Kiện", C64)),
       " GÓI " &amp; COUNTIF($C$13:C64, "*Kiện*") &amp; "/" &amp; COUNTIF($C$13:$C$1000, "*Kiện*") &amp; " " &amp; AA64,
       AA64)
)</f>
        <v/>
      </c>
      <c r="F64" s="206"/>
      <c r="G64" s="206"/>
      <c r="H64" s="206"/>
      <c r="I64" s="206"/>
      <c r="J64" s="206" t="str">
        <f t="shared" si="22"/>
        <v/>
      </c>
      <c r="K64" s="206" t="str">
        <f t="shared" si="24"/>
        <v/>
      </c>
      <c r="L64" s="206" t="str">
        <f t="shared" si="25"/>
        <v/>
      </c>
      <c r="M64" s="206" t="str">
        <f t="shared" si="26"/>
        <v/>
      </c>
      <c r="N64" s="206" t="str">
        <f t="shared" si="23"/>
        <v/>
      </c>
      <c r="O64" s="206" t="str">
        <f t="shared" si="12"/>
        <v/>
      </c>
      <c r="P64" s="165" t="str">
        <f t="shared" si="13"/>
        <v/>
      </c>
      <c r="Q64" s="207"/>
      <c r="R64" s="141" t="str">
        <f>IF(S64="IN",'BOM_Phan II'!$Y$3,"")</f>
        <v/>
      </c>
      <c r="S64" s="153" t="str">
        <f t="shared" si="14"/>
        <v/>
      </c>
      <c r="T64">
        <f t="shared" si="15"/>
        <v>6</v>
      </c>
      <c r="U64" s="208" t="str">
        <f t="shared" si="21"/>
        <v>KIỆN 9</v>
      </c>
      <c r="V64" s="208" t="str">
        <f t="shared" si="16"/>
        <v/>
      </c>
      <c r="W64" s="240"/>
      <c r="X64" s="240"/>
      <c r="Y64" s="240" t="str">
        <f t="shared" si="17"/>
        <v/>
      </c>
      <c r="Z64" s="240"/>
      <c r="AD64" s="232" t="str">
        <f t="shared" si="1"/>
        <v/>
      </c>
      <c r="AE64" s="204"/>
      <c r="AX64" s="3" t="str">
        <f t="shared" si="2"/>
        <v/>
      </c>
    </row>
    <row r="65" spans="1:50" s="155" customFormat="1" ht="30" hidden="1" customHeight="1">
      <c r="A65" s="141" t="str">
        <f t="shared" si="19"/>
        <v/>
      </c>
      <c r="B65" s="141" t="str">
        <f t="shared" si="20"/>
        <v/>
      </c>
      <c r="C65" s="205" t="str" cm="1">
        <f t="array" ref="C65">IF(D65="","",
    IF(AND(ISNUMBER(D65), D65=INT(D65)),
        $V$6 &amp; " " &amp; (IFERROR(MAX($Y$12:$Y64), 0) + 1),
        IF(ISNUMBER(SEARCH(".", D65)), "", INDEX($C$12:$C65, MATCH(2, 1/($C$12:$C65 &lt;&gt; ""))))
    )
)</f>
        <v/>
      </c>
      <c r="D65" s="206"/>
      <c r="E65" s="206" t="str">
        <f>IF(AA65 = "", "",
    IF(ISNUMBER(SEARCH("Kiện", C65)),
       " GÓI " &amp; COUNTIF($C$13:C65, "*Kiện*") &amp; "/" &amp; COUNTIF($C$13:$C$1000, "*Kiện*") &amp; " " &amp; AA65,
       AA65)
)</f>
        <v/>
      </c>
      <c r="F65" s="206"/>
      <c r="G65" s="206"/>
      <c r="H65" s="206"/>
      <c r="I65" s="206"/>
      <c r="J65" s="206" t="str">
        <f t="shared" si="22"/>
        <v/>
      </c>
      <c r="K65" s="206" t="str">
        <f t="shared" si="24"/>
        <v/>
      </c>
      <c r="L65" s="206" t="str">
        <f t="shared" si="25"/>
        <v/>
      </c>
      <c r="M65" s="206" t="str">
        <f t="shared" si="26"/>
        <v/>
      </c>
      <c r="N65" s="206" t="str">
        <f t="shared" si="23"/>
        <v/>
      </c>
      <c r="O65" s="206" t="str">
        <f t="shared" si="12"/>
        <v/>
      </c>
      <c r="P65" s="165" t="str">
        <f t="shared" si="13"/>
        <v/>
      </c>
      <c r="Q65" s="207"/>
      <c r="R65" s="141" t="str">
        <f>IF(S65="IN",'BOM_Phan II'!$Y$3,"")</f>
        <v/>
      </c>
      <c r="S65" s="153" t="str">
        <f t="shared" si="14"/>
        <v/>
      </c>
      <c r="T65">
        <f t="shared" si="15"/>
        <v>6</v>
      </c>
      <c r="U65" s="208" t="str">
        <f t="shared" si="21"/>
        <v>KIỆN 9</v>
      </c>
      <c r="V65" s="208" t="str">
        <f t="shared" si="16"/>
        <v/>
      </c>
      <c r="W65" s="240"/>
      <c r="X65" s="240"/>
      <c r="Y65" s="240" t="str">
        <f t="shared" si="17"/>
        <v/>
      </c>
      <c r="Z65" s="240"/>
      <c r="AD65" s="232" t="str">
        <f t="shared" si="1"/>
        <v/>
      </c>
      <c r="AE65" s="204"/>
      <c r="AX65" s="3" t="str">
        <f t="shared" si="2"/>
        <v/>
      </c>
    </row>
    <row r="66" spans="1:50" s="155" customFormat="1" ht="30" hidden="1" customHeight="1">
      <c r="A66" s="141" t="str">
        <f t="shared" si="19"/>
        <v/>
      </c>
      <c r="B66" s="141" t="str">
        <f t="shared" si="20"/>
        <v/>
      </c>
      <c r="C66" s="205" t="str" cm="1">
        <f t="array" ref="C66">IF(D66="","",
    IF(AND(ISNUMBER(D66), D66=INT(D66)),
        $V$6 &amp; " " &amp; (IFERROR(MAX($Y$12:$Y65), 0) + 1),
        IF(ISNUMBER(SEARCH(".", D66)), "", INDEX($C$12:$C66, MATCH(2, 1/($C$12:$C66 &lt;&gt; ""))))
    )
)</f>
        <v/>
      </c>
      <c r="D66" s="206"/>
      <c r="E66" s="206" t="str">
        <f>IF(AA66 = "", "",
    IF(ISNUMBER(SEARCH("Kiện", C66)),
       " GÓI " &amp; COUNTIF($C$13:C66, "*Kiện*") &amp; "/" &amp; COUNTIF($C$13:$C$1000, "*Kiện*") &amp; " " &amp; AA66,
       AA66)
)</f>
        <v/>
      </c>
      <c r="F66" s="206"/>
      <c r="G66" s="206"/>
      <c r="H66" s="206"/>
      <c r="I66" s="206"/>
      <c r="J66" s="206" t="str">
        <f t="shared" si="22"/>
        <v/>
      </c>
      <c r="K66" s="206" t="str">
        <f t="shared" si="24"/>
        <v/>
      </c>
      <c r="L66" s="206" t="str">
        <f t="shared" si="25"/>
        <v/>
      </c>
      <c r="M66" s="206" t="str">
        <f t="shared" si="26"/>
        <v/>
      </c>
      <c r="N66" s="206" t="str">
        <f t="shared" si="23"/>
        <v/>
      </c>
      <c r="O66" s="206" t="str">
        <f t="shared" si="12"/>
        <v/>
      </c>
      <c r="P66" s="165" t="str">
        <f t="shared" si="13"/>
        <v/>
      </c>
      <c r="Q66" s="207"/>
      <c r="R66" s="141" t="str">
        <f>IF(S66="IN",'BOM_Phan II'!$Y$3,"")</f>
        <v/>
      </c>
      <c r="S66" s="153" t="str">
        <f t="shared" si="14"/>
        <v/>
      </c>
      <c r="T66">
        <f t="shared" si="15"/>
        <v>6</v>
      </c>
      <c r="U66" s="208" t="str">
        <f t="shared" si="21"/>
        <v>KIỆN 9</v>
      </c>
      <c r="V66" s="208" t="str">
        <f t="shared" si="16"/>
        <v/>
      </c>
      <c r="W66" s="240"/>
      <c r="X66" s="240"/>
      <c r="Y66" s="240" t="str">
        <f t="shared" si="17"/>
        <v/>
      </c>
      <c r="Z66" s="240"/>
      <c r="AD66" s="232" t="str">
        <f t="shared" si="1"/>
        <v/>
      </c>
      <c r="AE66" s="204"/>
      <c r="AX66" s="3" t="str">
        <f t="shared" si="2"/>
        <v/>
      </c>
    </row>
    <row r="67" spans="1:50" s="155" customFormat="1" ht="30" hidden="1" customHeight="1">
      <c r="A67" s="141" t="str">
        <f t="shared" si="19"/>
        <v/>
      </c>
      <c r="B67" s="141" t="str">
        <f t="shared" si="20"/>
        <v/>
      </c>
      <c r="C67" s="205" t="str" cm="1">
        <f t="array" ref="C67">IF(D67="","",
    IF(AND(ISNUMBER(D67), D67=INT(D67)),
        $V$6 &amp; " " &amp; (IFERROR(MAX($Y$12:$Y66), 0) + 1),
        IF(ISNUMBER(SEARCH(".", D67)), "", INDEX($C$12:$C67, MATCH(2, 1/($C$12:$C67 &lt;&gt; ""))))
    )
)</f>
        <v/>
      </c>
      <c r="D67" s="206"/>
      <c r="E67" s="206" t="str">
        <f>IF(AA67 = "", "",
    IF(ISNUMBER(SEARCH("Kiện", C67)),
       " GÓI " &amp; COUNTIF($C$13:C67, "*Kiện*") &amp; "/" &amp; COUNTIF($C$13:$C$1000, "*Kiện*") &amp; " " &amp; AA67,
       AA67)
)</f>
        <v/>
      </c>
      <c r="F67" s="206"/>
      <c r="G67" s="206"/>
      <c r="H67" s="206"/>
      <c r="I67" s="206"/>
      <c r="J67" s="206" t="str">
        <f t="shared" si="22"/>
        <v/>
      </c>
      <c r="K67" s="206" t="str">
        <f t="shared" si="24"/>
        <v/>
      </c>
      <c r="L67" s="206" t="str">
        <f t="shared" si="25"/>
        <v/>
      </c>
      <c r="M67" s="206" t="str">
        <f t="shared" si="26"/>
        <v/>
      </c>
      <c r="N67" s="206" t="str">
        <f t="shared" si="23"/>
        <v/>
      </c>
      <c r="O67" s="206" t="str">
        <f t="shared" si="12"/>
        <v/>
      </c>
      <c r="P67" s="165" t="str">
        <f t="shared" si="13"/>
        <v/>
      </c>
      <c r="Q67" s="207"/>
      <c r="R67" s="141" t="str">
        <f>IF(S67="IN",'BOM_Phan II'!$Y$3,"")</f>
        <v/>
      </c>
      <c r="S67" s="153" t="str">
        <f t="shared" si="14"/>
        <v/>
      </c>
      <c r="T67">
        <f t="shared" si="15"/>
        <v>6</v>
      </c>
      <c r="U67" s="208" t="str">
        <f t="shared" si="21"/>
        <v>KIỆN 9</v>
      </c>
      <c r="V67" s="208" t="str">
        <f t="shared" si="16"/>
        <v/>
      </c>
      <c r="W67" s="240"/>
      <c r="X67" s="240"/>
      <c r="Y67" s="240" t="str">
        <f t="shared" si="17"/>
        <v/>
      </c>
      <c r="Z67" s="240"/>
      <c r="AD67" s="232" t="str">
        <f t="shared" si="1"/>
        <v/>
      </c>
      <c r="AE67" s="204"/>
      <c r="AX67" s="3" t="str">
        <f t="shared" si="2"/>
        <v/>
      </c>
    </row>
    <row r="68" spans="1:50" s="155" customFormat="1" ht="30" hidden="1" customHeight="1">
      <c r="A68" s="141" t="str">
        <f t="shared" si="19"/>
        <v/>
      </c>
      <c r="B68" s="141" t="str">
        <f t="shared" si="20"/>
        <v/>
      </c>
      <c r="C68" s="205" t="str" cm="1">
        <f t="array" ref="C68">IF(D68="","",
    IF(AND(ISNUMBER(D68), D68=INT(D68)),
        $V$6 &amp; " " &amp; (IFERROR(MAX($Y$12:$Y67), 0) + 1),
        IF(ISNUMBER(SEARCH(".", D68)), "", INDEX($C$12:$C68, MATCH(2, 1/($C$12:$C68 &lt;&gt; ""))))
    )
)</f>
        <v/>
      </c>
      <c r="D68" s="206"/>
      <c r="E68" s="206" t="str">
        <f>IF(AA68 = "", "",
    IF(ISNUMBER(SEARCH("Kiện", C68)),
       " GÓI " &amp; COUNTIF($C$13:C68, "*Kiện*") &amp; "/" &amp; COUNTIF($C$13:$C$1000, "*Kiện*") &amp; " " &amp; AA68,
       AA68)
)</f>
        <v/>
      </c>
      <c r="F68" s="206"/>
      <c r="G68" s="206"/>
      <c r="H68" s="206"/>
      <c r="I68" s="206"/>
      <c r="J68" s="206" t="str">
        <f t="shared" si="22"/>
        <v/>
      </c>
      <c r="K68" s="206" t="str">
        <f t="shared" si="24"/>
        <v/>
      </c>
      <c r="L68" s="206" t="str">
        <f t="shared" si="25"/>
        <v/>
      </c>
      <c r="M68" s="206" t="str">
        <f t="shared" si="26"/>
        <v/>
      </c>
      <c r="N68" s="206" t="str">
        <f t="shared" si="23"/>
        <v/>
      </c>
      <c r="O68" s="206" t="str">
        <f t="shared" si="12"/>
        <v/>
      </c>
      <c r="P68" s="165" t="str">
        <f t="shared" si="13"/>
        <v/>
      </c>
      <c r="Q68" s="207"/>
      <c r="R68" s="141" t="str">
        <f>IF(S68="IN",'BOM_Phan II'!$Y$3,"")</f>
        <v/>
      </c>
      <c r="S68" s="153" t="str">
        <f t="shared" si="14"/>
        <v/>
      </c>
      <c r="T68">
        <f t="shared" si="15"/>
        <v>6</v>
      </c>
      <c r="U68" s="208" t="str">
        <f t="shared" si="21"/>
        <v>KIỆN 9</v>
      </c>
      <c r="V68" s="208" t="str">
        <f t="shared" si="16"/>
        <v/>
      </c>
      <c r="W68" s="240"/>
      <c r="X68" s="240"/>
      <c r="Y68" s="240" t="str">
        <f t="shared" si="17"/>
        <v/>
      </c>
      <c r="Z68" s="240"/>
      <c r="AD68" s="232" t="str">
        <f t="shared" si="1"/>
        <v/>
      </c>
      <c r="AE68" s="204"/>
      <c r="AX68" s="3" t="str">
        <f t="shared" si="2"/>
        <v/>
      </c>
    </row>
    <row r="69" spans="1:50" s="155" customFormat="1" ht="30" hidden="1" customHeight="1">
      <c r="A69" s="141" t="str">
        <f t="shared" si="19"/>
        <v/>
      </c>
      <c r="B69" s="141" t="str">
        <f t="shared" si="20"/>
        <v/>
      </c>
      <c r="C69" s="205" t="str" cm="1">
        <f t="array" ref="C69">IF(D69="","",
    IF(AND(ISNUMBER(D69), D69=INT(D69)),
        $V$6 &amp; " " &amp; (IFERROR(MAX($Y$12:$Y68), 0) + 1),
        IF(ISNUMBER(SEARCH(".", D69)), "", INDEX($C$12:$C69, MATCH(2, 1/($C$12:$C69 &lt;&gt; ""))))
    )
)</f>
        <v/>
      </c>
      <c r="D69" s="206"/>
      <c r="E69" s="206" t="str">
        <f>IF(AA69 = "", "",
    IF(ISNUMBER(SEARCH("Kiện", C69)),
       " GÓI " &amp; COUNTIF($C$13:C69, "*Kiện*") &amp; "/" &amp; COUNTIF($C$13:$C$1000, "*Kiện*") &amp; " " &amp; AA69,
       AA69)
)</f>
        <v/>
      </c>
      <c r="F69" s="206"/>
      <c r="G69" s="206"/>
      <c r="H69" s="206"/>
      <c r="I69" s="206"/>
      <c r="J69" s="206" t="str">
        <f t="shared" si="22"/>
        <v/>
      </c>
      <c r="K69" s="206" t="str">
        <f t="shared" si="24"/>
        <v/>
      </c>
      <c r="L69" s="206" t="str">
        <f t="shared" si="25"/>
        <v/>
      </c>
      <c r="M69" s="206" t="str">
        <f t="shared" si="26"/>
        <v/>
      </c>
      <c r="N69" s="206" t="str">
        <f t="shared" si="23"/>
        <v/>
      </c>
      <c r="O69" s="206" t="str">
        <f t="shared" si="12"/>
        <v/>
      </c>
      <c r="P69" s="165" t="str">
        <f t="shared" si="13"/>
        <v/>
      </c>
      <c r="Q69" s="207"/>
      <c r="R69" s="141" t="str">
        <f>IF(S69="IN",'BOM_Phan II'!$Y$3,"")</f>
        <v/>
      </c>
      <c r="S69" s="153" t="str">
        <f t="shared" si="14"/>
        <v/>
      </c>
      <c r="T69">
        <f t="shared" si="15"/>
        <v>6</v>
      </c>
      <c r="U69" s="208" t="str">
        <f t="shared" si="21"/>
        <v>KIỆN 9</v>
      </c>
      <c r="V69" s="208" t="str">
        <f t="shared" si="16"/>
        <v/>
      </c>
      <c r="W69" s="240"/>
      <c r="X69" s="240"/>
      <c r="Y69" s="240" t="str">
        <f t="shared" si="17"/>
        <v/>
      </c>
      <c r="Z69" s="240"/>
      <c r="AD69" s="232" t="str">
        <f t="shared" si="1"/>
        <v/>
      </c>
      <c r="AE69" s="204"/>
      <c r="AX69" s="3" t="str">
        <f t="shared" si="2"/>
        <v/>
      </c>
    </row>
    <row r="70" spans="1:50" s="155" customFormat="1" ht="30" hidden="1" customHeight="1">
      <c r="A70" s="141" t="str">
        <f t="shared" si="19"/>
        <v/>
      </c>
      <c r="B70" s="141" t="str">
        <f t="shared" si="20"/>
        <v/>
      </c>
      <c r="C70" s="205" t="str" cm="1">
        <f t="array" ref="C70">IF(D70="","",
    IF(AND(ISNUMBER(D70), D70=INT(D70)),
        $V$6 &amp; " " &amp; (IFERROR(MAX($Y$12:$Y69), 0) + 1),
        IF(ISNUMBER(SEARCH(".", D70)), "", INDEX($C$12:$C70, MATCH(2, 1/($C$12:$C70 &lt;&gt; ""))))
    )
)</f>
        <v/>
      </c>
      <c r="D70" s="206"/>
      <c r="E70" s="206" t="str">
        <f>IF(AA70 = "", "",
    IF(ISNUMBER(SEARCH("Kiện", C70)),
       " GÓI " &amp; COUNTIF($C$13:C70, "*Kiện*") &amp; "/" &amp; COUNTIF($C$13:$C$1000, "*Kiện*") &amp; " " &amp; AA70,
       AA70)
)</f>
        <v/>
      </c>
      <c r="F70" s="206"/>
      <c r="G70" s="206"/>
      <c r="H70" s="206"/>
      <c r="I70" s="206"/>
      <c r="J70" s="206" t="str">
        <f t="shared" si="22"/>
        <v/>
      </c>
      <c r="K70" s="206" t="str">
        <f t="shared" si="24"/>
        <v/>
      </c>
      <c r="L70" s="206" t="str">
        <f t="shared" si="25"/>
        <v/>
      </c>
      <c r="M70" s="206" t="str">
        <f t="shared" si="26"/>
        <v/>
      </c>
      <c r="N70" s="206" t="str">
        <f t="shared" si="23"/>
        <v/>
      </c>
      <c r="O70" s="206" t="str">
        <f t="shared" si="12"/>
        <v/>
      </c>
      <c r="P70" s="165" t="str">
        <f t="shared" si="13"/>
        <v/>
      </c>
      <c r="Q70" s="207"/>
      <c r="R70" s="141" t="str">
        <f>IF(S70="IN",'BOM_Phan II'!$Y$3,"")</f>
        <v/>
      </c>
      <c r="S70" s="153" t="str">
        <f t="shared" si="14"/>
        <v/>
      </c>
      <c r="T70">
        <f t="shared" si="15"/>
        <v>6</v>
      </c>
      <c r="U70" s="208" t="str">
        <f t="shared" si="21"/>
        <v>KIỆN 9</v>
      </c>
      <c r="V70" s="208" t="str">
        <f t="shared" si="16"/>
        <v/>
      </c>
      <c r="W70" s="240"/>
      <c r="X70" s="240"/>
      <c r="Y70" s="240" t="str">
        <f t="shared" si="17"/>
        <v/>
      </c>
      <c r="Z70" s="240"/>
      <c r="AD70" s="232" t="str">
        <f t="shared" si="1"/>
        <v/>
      </c>
      <c r="AE70" s="204"/>
      <c r="AX70" s="3" t="str">
        <f t="shared" si="2"/>
        <v/>
      </c>
    </row>
    <row r="71" spans="1:50" s="155" customFormat="1" ht="30" hidden="1" customHeight="1">
      <c r="A71" s="141" t="str">
        <f t="shared" si="19"/>
        <v/>
      </c>
      <c r="B71" s="141" t="str">
        <f t="shared" si="20"/>
        <v/>
      </c>
      <c r="C71" s="205" t="str" cm="1">
        <f t="array" ref="C71">IF(D71="","",
    IF(AND(ISNUMBER(D71), D71=INT(D71)),
        $V$6 &amp; " " &amp; (IFERROR(MAX($Y$12:$Y70), 0) + 1),
        IF(ISNUMBER(SEARCH(".", D71)), "", INDEX($C$12:$C71, MATCH(2, 1/($C$12:$C71 &lt;&gt; ""))))
    )
)</f>
        <v/>
      </c>
      <c r="D71" s="206"/>
      <c r="E71" s="206" t="str">
        <f>IF(AA71 = "", "",
    IF(ISNUMBER(SEARCH("Kiện", C71)),
       " GÓI " &amp; COUNTIF($C$13:C71, "*Kiện*") &amp; "/" &amp; COUNTIF($C$13:$C$1000, "*Kiện*") &amp; " " &amp; AA71,
       AA71)
)</f>
        <v/>
      </c>
      <c r="F71" s="206"/>
      <c r="G71" s="206"/>
      <c r="H71" s="206"/>
      <c r="I71" s="206"/>
      <c r="J71" s="206" t="str">
        <f t="shared" si="22"/>
        <v/>
      </c>
      <c r="K71" s="206" t="str">
        <f t="shared" si="24"/>
        <v/>
      </c>
      <c r="L71" s="206" t="str">
        <f t="shared" si="25"/>
        <v/>
      </c>
      <c r="M71" s="206" t="str">
        <f t="shared" si="26"/>
        <v/>
      </c>
      <c r="N71" s="206" t="str">
        <f t="shared" si="23"/>
        <v/>
      </c>
      <c r="O71" s="206" t="str">
        <f t="shared" si="12"/>
        <v/>
      </c>
      <c r="P71" s="165" t="str">
        <f t="shared" si="13"/>
        <v/>
      </c>
      <c r="Q71" s="207"/>
      <c r="R71" s="141" t="str">
        <f>IF(S71="IN",'BOM_Phan II'!$Y$3,"")</f>
        <v/>
      </c>
      <c r="S71" s="153" t="str">
        <f t="shared" si="14"/>
        <v/>
      </c>
      <c r="T71">
        <f t="shared" si="15"/>
        <v>6</v>
      </c>
      <c r="U71" s="208" t="str">
        <f t="shared" si="21"/>
        <v>KIỆN 9</v>
      </c>
      <c r="V71" s="208" t="str">
        <f t="shared" si="16"/>
        <v/>
      </c>
      <c r="W71" s="240"/>
      <c r="X71" s="240"/>
      <c r="Y71" s="240" t="str">
        <f t="shared" si="17"/>
        <v/>
      </c>
      <c r="Z71" s="240"/>
      <c r="AD71" s="232" t="str">
        <f t="shared" si="1"/>
        <v/>
      </c>
      <c r="AE71" s="204"/>
      <c r="AX71" s="3" t="str">
        <f t="shared" si="2"/>
        <v/>
      </c>
    </row>
    <row r="72" spans="1:50" s="155" customFormat="1" ht="30" hidden="1" customHeight="1">
      <c r="A72" s="141" t="str">
        <f t="shared" si="19"/>
        <v/>
      </c>
      <c r="B72" s="141" t="str">
        <f t="shared" si="20"/>
        <v/>
      </c>
      <c r="C72" s="205" t="str" cm="1">
        <f t="array" ref="C72">IF(D72="","",
    IF(AND(ISNUMBER(D72), D72=INT(D72)),
        $V$6 &amp; " " &amp; (IFERROR(MAX($Y$12:$Y71), 0) + 1),
        IF(ISNUMBER(SEARCH(".", D72)), "", INDEX($C$12:$C72, MATCH(2, 1/($C$12:$C72 &lt;&gt; ""))))
    )
)</f>
        <v/>
      </c>
      <c r="D72" s="206"/>
      <c r="E72" s="206" t="str">
        <f>IF(AA72 = "", "",
    IF(ISNUMBER(SEARCH("Kiện", C72)),
       " GÓI " &amp; COUNTIF($C$13:C72, "*Kiện*") &amp; "/" &amp; COUNTIF($C$13:$C$1000, "*Kiện*") &amp; " " &amp; AA72,
       AA72)
)</f>
        <v/>
      </c>
      <c r="F72" s="206"/>
      <c r="G72" s="206"/>
      <c r="H72" s="206"/>
      <c r="I72" s="206"/>
      <c r="J72" s="206" t="str">
        <f t="shared" si="22"/>
        <v/>
      </c>
      <c r="K72" s="206" t="str">
        <f t="shared" si="24"/>
        <v/>
      </c>
      <c r="L72" s="206" t="str">
        <f t="shared" si="25"/>
        <v/>
      </c>
      <c r="M72" s="206" t="str">
        <f t="shared" si="26"/>
        <v/>
      </c>
      <c r="N72" s="206" t="str">
        <f t="shared" si="23"/>
        <v/>
      </c>
      <c r="O72" s="206" t="str">
        <f t="shared" si="12"/>
        <v/>
      </c>
      <c r="P72" s="165" t="str">
        <f t="shared" si="13"/>
        <v/>
      </c>
      <c r="Q72" s="207"/>
      <c r="R72" s="141" t="str">
        <f>IF(S72="IN",'BOM_Phan II'!$Y$3,"")</f>
        <v/>
      </c>
      <c r="S72" s="153" t="str">
        <f t="shared" si="14"/>
        <v/>
      </c>
      <c r="T72">
        <f t="shared" si="15"/>
        <v>6</v>
      </c>
      <c r="U72" s="208" t="str">
        <f t="shared" si="21"/>
        <v>KIỆN 9</v>
      </c>
      <c r="V72" s="208" t="str">
        <f t="shared" si="16"/>
        <v/>
      </c>
      <c r="W72" s="240"/>
      <c r="X72" s="240"/>
      <c r="Y72" s="240" t="str">
        <f t="shared" si="17"/>
        <v/>
      </c>
      <c r="Z72" s="240"/>
      <c r="AD72" s="232" t="str">
        <f t="shared" si="1"/>
        <v/>
      </c>
      <c r="AE72" s="204"/>
      <c r="AX72" s="3" t="str">
        <f t="shared" si="2"/>
        <v/>
      </c>
    </row>
    <row r="73" spans="1:50" s="155" customFormat="1" ht="30" hidden="1" customHeight="1">
      <c r="A73" s="141" t="str">
        <f t="shared" si="19"/>
        <v/>
      </c>
      <c r="B73" s="141" t="str">
        <f t="shared" si="20"/>
        <v/>
      </c>
      <c r="C73" s="205" t="str" cm="1">
        <f t="array" ref="C73">IF(D73="","",
    IF(AND(ISNUMBER(D73), D73=INT(D73)),
        $V$6 &amp; " " &amp; (IFERROR(MAX($Y$12:$Y72), 0) + 1),
        IF(ISNUMBER(SEARCH(".", D73)), "", INDEX($C$12:$C73, MATCH(2, 1/($C$12:$C73 &lt;&gt; ""))))
    )
)</f>
        <v/>
      </c>
      <c r="D73" s="206"/>
      <c r="E73" s="206" t="str">
        <f>IF(AA73 = "", "",
    IF(ISNUMBER(SEARCH("Kiện", C73)),
       " GÓI " &amp; COUNTIF($C$13:C73, "*Kiện*") &amp; "/" &amp; COUNTIF($C$13:$C$1000, "*Kiện*") &amp; " " &amp; AA73,
       AA73)
)</f>
        <v/>
      </c>
      <c r="F73" s="206"/>
      <c r="G73" s="206"/>
      <c r="H73" s="206"/>
      <c r="I73" s="206"/>
      <c r="J73" s="206" t="str">
        <f t="shared" si="22"/>
        <v/>
      </c>
      <c r="K73" s="206" t="str">
        <f t="shared" si="24"/>
        <v/>
      </c>
      <c r="L73" s="206" t="str">
        <f t="shared" si="25"/>
        <v/>
      </c>
      <c r="M73" s="206" t="str">
        <f t="shared" si="26"/>
        <v/>
      </c>
      <c r="N73" s="206" t="str">
        <f t="shared" si="23"/>
        <v/>
      </c>
      <c r="O73" s="206" t="str">
        <f t="shared" si="12"/>
        <v/>
      </c>
      <c r="P73" s="165" t="str">
        <f t="shared" si="13"/>
        <v/>
      </c>
      <c r="Q73" s="207"/>
      <c r="R73" s="141" t="str">
        <f>IF(S73="IN",'BOM_Phan II'!$Y$3,"")</f>
        <v/>
      </c>
      <c r="S73" s="153" t="str">
        <f t="shared" si="14"/>
        <v/>
      </c>
      <c r="T73">
        <f t="shared" si="15"/>
        <v>6</v>
      </c>
      <c r="U73" s="208" t="str">
        <f t="shared" si="21"/>
        <v>KIỆN 9</v>
      </c>
      <c r="V73" s="208" t="str">
        <f t="shared" si="16"/>
        <v/>
      </c>
      <c r="W73" s="240"/>
      <c r="X73" s="240"/>
      <c r="Y73" s="240" t="str">
        <f t="shared" si="17"/>
        <v/>
      </c>
      <c r="Z73" s="240"/>
      <c r="AD73" s="232" t="str">
        <f t="shared" si="1"/>
        <v/>
      </c>
      <c r="AE73" s="204"/>
      <c r="AX73" s="3" t="str">
        <f t="shared" si="2"/>
        <v/>
      </c>
    </row>
    <row r="74" spans="1:50" s="155" customFormat="1" ht="30" hidden="1" customHeight="1">
      <c r="A74" s="141" t="str">
        <f t="shared" si="19"/>
        <v/>
      </c>
      <c r="B74" s="141" t="str">
        <f t="shared" si="20"/>
        <v/>
      </c>
      <c r="C74" s="205" t="str" cm="1">
        <f t="array" ref="C74">IF(D74="","",
    IF(AND(ISNUMBER(D74), D74=INT(D74)),
        $V$6 &amp; " " &amp; (IFERROR(MAX($Y$12:$Y73), 0) + 1),
        IF(ISNUMBER(SEARCH(".", D74)), "", INDEX($C$12:$C74, MATCH(2, 1/($C$12:$C74 &lt;&gt; ""))))
    )
)</f>
        <v/>
      </c>
      <c r="D74" s="206"/>
      <c r="E74" s="206" t="str">
        <f>IF(AA74 = "", "",
    IF(ISNUMBER(SEARCH("Kiện", C74)),
       " GÓI " &amp; COUNTIF($C$13:C74, "*Kiện*") &amp; "/" &amp; COUNTIF($C$13:$C$1000, "*Kiện*") &amp; " " &amp; AA74,
       AA74)
)</f>
        <v/>
      </c>
      <c r="F74" s="206"/>
      <c r="G74" s="206"/>
      <c r="H74" s="206"/>
      <c r="I74" s="206"/>
      <c r="J74" s="206" t="str">
        <f t="shared" si="22"/>
        <v/>
      </c>
      <c r="K74" s="206" t="str">
        <f t="shared" si="24"/>
        <v/>
      </c>
      <c r="L74" s="206" t="str">
        <f t="shared" si="25"/>
        <v/>
      </c>
      <c r="M74" s="206" t="str">
        <f t="shared" si="26"/>
        <v/>
      </c>
      <c r="N74" s="206" t="str">
        <f t="shared" si="23"/>
        <v/>
      </c>
      <c r="O74" s="206" t="str">
        <f t="shared" si="12"/>
        <v/>
      </c>
      <c r="P74" s="165" t="str">
        <f t="shared" si="13"/>
        <v/>
      </c>
      <c r="Q74" s="207"/>
      <c r="R74" s="141" t="str">
        <f>IF(S74="IN",'BOM_Phan II'!$Y$3,"")</f>
        <v/>
      </c>
      <c r="S74" s="153" t="str">
        <f t="shared" si="14"/>
        <v/>
      </c>
      <c r="T74">
        <f t="shared" si="15"/>
        <v>6</v>
      </c>
      <c r="U74" s="208" t="str">
        <f t="shared" si="21"/>
        <v>KIỆN 9</v>
      </c>
      <c r="V74" s="208" t="str">
        <f t="shared" si="16"/>
        <v/>
      </c>
      <c r="W74" s="240"/>
      <c r="X74" s="240"/>
      <c r="Y74" s="240" t="str">
        <f t="shared" si="17"/>
        <v/>
      </c>
      <c r="Z74" s="240"/>
      <c r="AD74" s="232" t="str">
        <f t="shared" si="1"/>
        <v/>
      </c>
      <c r="AE74" s="204"/>
      <c r="AX74" s="3" t="str">
        <f t="shared" si="2"/>
        <v/>
      </c>
    </row>
    <row r="75" spans="1:50" s="155" customFormat="1" ht="30" hidden="1" customHeight="1">
      <c r="A75" s="141" t="str">
        <f t="shared" si="19"/>
        <v/>
      </c>
      <c r="B75" s="141" t="str">
        <f t="shared" si="20"/>
        <v/>
      </c>
      <c r="C75" s="205" t="str" cm="1">
        <f t="array" ref="C75">IF(D75="","",
    IF(AND(ISNUMBER(D75), D75=INT(D75)),
        $V$6 &amp; " " &amp; (IFERROR(MAX($Y$12:$Y74), 0) + 1),
        IF(ISNUMBER(SEARCH(".", D75)), "", INDEX($C$12:$C75, MATCH(2, 1/($C$12:$C75 &lt;&gt; ""))))
    )
)</f>
        <v/>
      </c>
      <c r="D75" s="206"/>
      <c r="E75" s="206" t="str">
        <f>IF(AA75 = "", "",
    IF(ISNUMBER(SEARCH("Kiện", C75)),
       " GÓI " &amp; COUNTIF($C$13:C75, "*Kiện*") &amp; "/" &amp; COUNTIF($C$13:$C$1000, "*Kiện*") &amp; " " &amp; AA75,
       AA75)
)</f>
        <v/>
      </c>
      <c r="F75" s="206"/>
      <c r="G75" s="206"/>
      <c r="H75" s="206"/>
      <c r="I75" s="206"/>
      <c r="J75" s="206" t="str">
        <f t="shared" si="22"/>
        <v/>
      </c>
      <c r="K75" s="206" t="str">
        <f t="shared" si="24"/>
        <v/>
      </c>
      <c r="L75" s="206" t="str">
        <f t="shared" si="25"/>
        <v/>
      </c>
      <c r="M75" s="206" t="str">
        <f t="shared" si="26"/>
        <v/>
      </c>
      <c r="N75" s="206" t="str">
        <f t="shared" si="23"/>
        <v/>
      </c>
      <c r="O75" s="206" t="str">
        <f t="shared" si="12"/>
        <v/>
      </c>
      <c r="P75" s="165" t="str">
        <f t="shared" si="13"/>
        <v/>
      </c>
      <c r="Q75" s="207"/>
      <c r="R75" s="141" t="str">
        <f>IF(S75="IN",'BOM_Phan II'!$Y$3,"")</f>
        <v/>
      </c>
      <c r="S75" s="153" t="str">
        <f t="shared" si="14"/>
        <v/>
      </c>
      <c r="T75">
        <f t="shared" si="15"/>
        <v>6</v>
      </c>
      <c r="U75" s="208" t="str">
        <f t="shared" si="21"/>
        <v>KIỆN 9</v>
      </c>
      <c r="V75" s="208" t="str">
        <f t="shared" si="16"/>
        <v/>
      </c>
      <c r="W75" s="240"/>
      <c r="X75" s="240"/>
      <c r="Y75" s="240" t="str">
        <f t="shared" si="17"/>
        <v/>
      </c>
      <c r="Z75" s="240"/>
      <c r="AD75" s="232" t="str">
        <f t="shared" si="1"/>
        <v/>
      </c>
      <c r="AE75" s="204"/>
      <c r="AX75" s="3" t="str">
        <f t="shared" si="2"/>
        <v/>
      </c>
    </row>
    <row r="76" spans="1:50" s="155" customFormat="1" ht="30" hidden="1" customHeight="1">
      <c r="A76" s="141" t="str">
        <f t="shared" si="19"/>
        <v/>
      </c>
      <c r="B76" s="141" t="str">
        <f t="shared" si="20"/>
        <v/>
      </c>
      <c r="C76" s="205" t="str" cm="1">
        <f t="array" ref="C76">IF(D76="","",
    IF(AND(ISNUMBER(D76), D76=INT(D76)),
        $V$6 &amp; " " &amp; (IFERROR(MAX($Y$12:$Y75), 0) + 1),
        IF(ISNUMBER(SEARCH(".", D76)), "", INDEX($C$12:$C76, MATCH(2, 1/($C$12:$C76 &lt;&gt; ""))))
    )
)</f>
        <v/>
      </c>
      <c r="D76" s="206"/>
      <c r="E76" s="206" t="str">
        <f>IF(AA76 = "", "",
    IF(ISNUMBER(SEARCH("Kiện", C76)),
       " GÓI " &amp; COUNTIF($C$13:C76, "*Kiện*") &amp; "/" &amp; COUNTIF($C$13:$C$1000, "*Kiện*") &amp; " " &amp; AA76,
       AA76)
)</f>
        <v/>
      </c>
      <c r="F76" s="206"/>
      <c r="G76" s="206"/>
      <c r="H76" s="206"/>
      <c r="I76" s="206"/>
      <c r="J76" s="206" t="str">
        <f t="shared" si="22"/>
        <v/>
      </c>
      <c r="K76" s="206" t="str">
        <f t="shared" si="24"/>
        <v/>
      </c>
      <c r="L76" s="206" t="str">
        <f t="shared" si="25"/>
        <v/>
      </c>
      <c r="M76" s="206" t="str">
        <f t="shared" si="26"/>
        <v/>
      </c>
      <c r="N76" s="206" t="str">
        <f t="shared" si="23"/>
        <v/>
      </c>
      <c r="O76" s="206" t="str">
        <f t="shared" si="12"/>
        <v/>
      </c>
      <c r="P76" s="165" t="str">
        <f t="shared" si="13"/>
        <v/>
      </c>
      <c r="Q76" s="207"/>
      <c r="R76" s="141" t="str">
        <f>IF(S76="IN",'BOM_Phan II'!$Y$3,"")</f>
        <v/>
      </c>
      <c r="S76" s="153" t="str">
        <f t="shared" si="14"/>
        <v/>
      </c>
      <c r="T76">
        <f t="shared" si="15"/>
        <v>6</v>
      </c>
      <c r="U76" s="208" t="str">
        <f t="shared" si="21"/>
        <v>KIỆN 9</v>
      </c>
      <c r="V76" s="208" t="str">
        <f t="shared" si="16"/>
        <v/>
      </c>
      <c r="W76" s="240"/>
      <c r="X76" s="240"/>
      <c r="Y76" s="240" t="str">
        <f t="shared" si="17"/>
        <v/>
      </c>
      <c r="Z76" s="240"/>
      <c r="AD76" s="232" t="str">
        <f t="shared" si="1"/>
        <v/>
      </c>
      <c r="AE76" s="204"/>
      <c r="AX76" s="3" t="str">
        <f t="shared" ref="AX76:AX139" si="27">+S76</f>
        <v/>
      </c>
    </row>
    <row r="77" spans="1:50" s="155" customFormat="1" ht="30" hidden="1" customHeight="1">
      <c r="A77" s="141" t="str">
        <f t="shared" si="19"/>
        <v/>
      </c>
      <c r="B77" s="141" t="str">
        <f t="shared" si="20"/>
        <v/>
      </c>
      <c r="C77" s="205" t="str" cm="1">
        <f t="array" ref="C77">IF(D77="","",
    IF(AND(ISNUMBER(D77), D77=INT(D77)),
        $V$6 &amp; " " &amp; (IFERROR(MAX($Y$12:$Y76), 0) + 1),
        IF(ISNUMBER(SEARCH(".", D77)), "", INDEX($C$12:$C77, MATCH(2, 1/($C$12:$C77 &lt;&gt; ""))))
    )
)</f>
        <v/>
      </c>
      <c r="D77" s="206"/>
      <c r="E77" s="206" t="str">
        <f>IF(AA77 = "", "",
    IF(ISNUMBER(SEARCH("Kiện", C77)),
       " GÓI " &amp; COUNTIF($C$13:C77, "*Kiện*") &amp; "/" &amp; COUNTIF($C$13:$C$1000, "*Kiện*") &amp; " " &amp; AA77,
       AA77)
)</f>
        <v/>
      </c>
      <c r="F77" s="206"/>
      <c r="G77" s="206"/>
      <c r="H77" s="206"/>
      <c r="I77" s="206"/>
      <c r="J77" s="206" t="str">
        <f t="shared" si="22"/>
        <v/>
      </c>
      <c r="K77" s="206" t="str">
        <f t="shared" si="24"/>
        <v/>
      </c>
      <c r="L77" s="206" t="str">
        <f t="shared" si="25"/>
        <v/>
      </c>
      <c r="M77" s="206" t="str">
        <f t="shared" si="26"/>
        <v/>
      </c>
      <c r="N77" s="206" t="str">
        <f t="shared" si="23"/>
        <v/>
      </c>
      <c r="O77" s="206" t="str">
        <f t="shared" si="12"/>
        <v/>
      </c>
      <c r="P77" s="165" t="str">
        <f t="shared" si="13"/>
        <v/>
      </c>
      <c r="Q77" s="207"/>
      <c r="R77" s="141" t="str">
        <f>IF(S77="IN",'BOM_Phan II'!$Y$3,"")</f>
        <v/>
      </c>
      <c r="S77" s="153" t="str">
        <f t="shared" si="14"/>
        <v/>
      </c>
      <c r="T77">
        <f t="shared" si="15"/>
        <v>6</v>
      </c>
      <c r="U77" s="208" t="str">
        <f t="shared" si="21"/>
        <v>KIỆN 9</v>
      </c>
      <c r="V77" s="208" t="str">
        <f t="shared" si="16"/>
        <v/>
      </c>
      <c r="W77" s="240"/>
      <c r="X77" s="240"/>
      <c r="Y77" s="240" t="str">
        <f t="shared" si="17"/>
        <v/>
      </c>
      <c r="Z77" s="240"/>
      <c r="AD77" s="232" t="str">
        <f t="shared" si="1"/>
        <v/>
      </c>
      <c r="AE77" s="204"/>
      <c r="AX77" s="3" t="str">
        <f t="shared" si="27"/>
        <v/>
      </c>
    </row>
    <row r="78" spans="1:50" s="155" customFormat="1" ht="30" hidden="1" customHeight="1">
      <c r="A78" s="141" t="str">
        <f t="shared" si="19"/>
        <v/>
      </c>
      <c r="B78" s="141" t="str">
        <f t="shared" si="20"/>
        <v/>
      </c>
      <c r="C78" s="205" t="str" cm="1">
        <f t="array" ref="C78">IF(D78="","",
    IF(AND(ISNUMBER(D78), D78=INT(D78)),
        $V$6 &amp; " " &amp; (IFERROR(MAX($Y$12:$Y77), 0) + 1),
        IF(ISNUMBER(SEARCH(".", D78)), "", INDEX($C$12:$C78, MATCH(2, 1/($C$12:$C78 &lt;&gt; ""))))
    )
)</f>
        <v/>
      </c>
      <c r="D78" s="206"/>
      <c r="E78" s="206" t="str">
        <f>IF(AA78 = "", "",
    IF(ISNUMBER(SEARCH("Kiện", C78)),
       " GÓI " &amp; COUNTIF($C$13:C78, "*Kiện*") &amp; "/" &amp; COUNTIF($C$13:$C$1000, "*Kiện*") &amp; " " &amp; AA78,
       AA78)
)</f>
        <v/>
      </c>
      <c r="F78" s="206"/>
      <c r="G78" s="206"/>
      <c r="H78" s="206"/>
      <c r="I78" s="206"/>
      <c r="J78" s="206" t="str">
        <f t="shared" si="22"/>
        <v/>
      </c>
      <c r="K78" s="206" t="str">
        <f t="shared" ref="K78:K141" si="28">IFERROR(IF($C78&lt;&gt;"",IF($T$13=1,F78+20,IF($T$13=2,F78+20,IF($T$13=3,F78+50,IF($T$13=4,F78+40,IF($T$13=5,F78+50,IF($T$13=51,F78+50,IF($T$13=6,F78+50,IF($T$13=7,F78+50,"")))))))),""),"")</f>
        <v/>
      </c>
      <c r="L78" s="206" t="str">
        <f t="shared" ref="L78:L141" si="29">IFERROR(IF($C78&lt;&gt;"",IF($T$13=1,G78+20,IF($T$13=2,G78+20,IF($T$13=3,G78+50,IF($T$13=4,G78+40,IF($T$13=5,G78+50,IF($T$13=51,G78+50,IF($T$13=6,G78+50,IF($T$13=7,G78+50,"")))))))),""),"")</f>
        <v/>
      </c>
      <c r="M78" s="206" t="str">
        <f t="shared" ref="M78:M141" si="30">IFERROR(IF($C78&lt;&gt;"",IF($T$13=1,H78+20,IF($T$13=2,H78+20,IF($T$13=3,H78+70,IF($T$13=4,H78+40,IF($T$13=5,H78+50,IF($T$13=51,H78+150,IF($T$13=6,H78+50,IF($T$13=7,H78+50,"")))))))),""),"")</f>
        <v/>
      </c>
      <c r="N78" s="206" t="str">
        <f t="shared" si="23"/>
        <v/>
      </c>
      <c r="O78" s="206" t="str">
        <f t="shared" ref="O78:O141" si="31">IF(C78&lt;&gt;"",$O$12,"")</f>
        <v/>
      </c>
      <c r="P78" s="165" t="str">
        <f t="shared" ref="P78:P141" si="32">IFERROR(IF(C78&lt;&gt;"",SUMIFS($V$13:$V$969,$U$13:$U$969,C78)*$S$6,V78*$S$6),"")</f>
        <v/>
      </c>
      <c r="Q78" s="207"/>
      <c r="R78" s="141" t="str">
        <f>IF(S78="IN",'BOM_Phan II'!$Y$3,"")</f>
        <v/>
      </c>
      <c r="S78" s="153" t="str">
        <f t="shared" ref="S78:S141" si="33">IF(OR(E78&lt;&gt;"",D78&lt;&gt;""),"IN","")</f>
        <v/>
      </c>
      <c r="T78">
        <f t="shared" ref="T78:T141" si="34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78" s="208" t="str">
        <f t="shared" si="21"/>
        <v>KIỆN 9</v>
      </c>
      <c r="V78" s="208" t="str">
        <f t="shared" ref="V78:V141" si="35">IFERROR(IF(AND(C78="", OR($W78="1", $W78="2")), IF(I78="", "", F78*G78*H78*I78/10^9), ""), "")</f>
        <v/>
      </c>
      <c r="W78" s="240"/>
      <c r="X78" s="240"/>
      <c r="Y78" s="240" t="str">
        <f t="shared" ref="Y78:Y141" si="36">IFERROR(VALUE(RIGHT(C78,LEN(C78)-5)),"")</f>
        <v/>
      </c>
      <c r="Z78" s="240"/>
      <c r="AD78" s="232" t="str">
        <f t="shared" ref="AD78:AD141" si="37">IFERROR(VALUE(RIGHT(C78,LEN(C78)-5)),"")</f>
        <v/>
      </c>
      <c r="AE78" s="204"/>
      <c r="AX78" s="3" t="str">
        <f t="shared" si="27"/>
        <v/>
      </c>
    </row>
    <row r="79" spans="1:50" s="155" customFormat="1" ht="30" hidden="1" customHeight="1">
      <c r="A79" s="141" t="str">
        <f t="shared" si="19"/>
        <v/>
      </c>
      <c r="B79" s="141" t="str">
        <f t="shared" si="20"/>
        <v/>
      </c>
      <c r="C79" s="205" t="str" cm="1">
        <f t="array" ref="C79">IF(D79="","",
    IF(AND(ISNUMBER(D79), D79=INT(D79)),
        $V$6 &amp; " " &amp; (IFERROR(MAX($Y$12:$Y78), 0) + 1),
        IF(ISNUMBER(SEARCH(".", D79)), "", INDEX($C$12:$C79, MATCH(2, 1/($C$12:$C79 &lt;&gt; ""))))
    )
)</f>
        <v/>
      </c>
      <c r="D79" s="206"/>
      <c r="E79" s="206" t="str">
        <f>IF(AA79 = "", "",
    IF(ISNUMBER(SEARCH("Kiện", C79)),
       " GÓI " &amp; COUNTIF($C$13:C79, "*Kiện*") &amp; "/" &amp; COUNTIF($C$13:$C$1000, "*Kiện*") &amp; " " &amp; AA79,
       AA79)
)</f>
        <v/>
      </c>
      <c r="F79" s="206"/>
      <c r="G79" s="206"/>
      <c r="H79" s="206"/>
      <c r="I79" s="206"/>
      <c r="J79" s="206" t="str">
        <f t="shared" si="22"/>
        <v/>
      </c>
      <c r="K79" s="206" t="str">
        <f t="shared" si="28"/>
        <v/>
      </c>
      <c r="L79" s="206" t="str">
        <f t="shared" si="29"/>
        <v/>
      </c>
      <c r="M79" s="206" t="str">
        <f t="shared" si="30"/>
        <v/>
      </c>
      <c r="N79" s="206" t="str">
        <f t="shared" si="23"/>
        <v/>
      </c>
      <c r="O79" s="206" t="str">
        <f t="shared" si="31"/>
        <v/>
      </c>
      <c r="P79" s="165" t="str">
        <f t="shared" si="32"/>
        <v/>
      </c>
      <c r="Q79" s="207"/>
      <c r="R79" s="141" t="str">
        <f>IF(S79="IN",'BOM_Phan II'!$Y$3,"")</f>
        <v/>
      </c>
      <c r="S79" s="153" t="str">
        <f t="shared" si="33"/>
        <v/>
      </c>
      <c r="T79">
        <f t="shared" si="34"/>
        <v>6</v>
      </c>
      <c r="U79" s="208" t="str">
        <f t="shared" si="21"/>
        <v>KIỆN 9</v>
      </c>
      <c r="V79" s="208" t="str">
        <f t="shared" si="35"/>
        <v/>
      </c>
      <c r="W79" s="240"/>
      <c r="X79" s="240"/>
      <c r="Y79" s="240" t="str">
        <f t="shared" si="36"/>
        <v/>
      </c>
      <c r="Z79" s="240"/>
      <c r="AD79" s="232" t="str">
        <f t="shared" si="37"/>
        <v/>
      </c>
      <c r="AE79" s="204"/>
      <c r="AX79" s="3" t="str">
        <f t="shared" si="27"/>
        <v/>
      </c>
    </row>
    <row r="80" spans="1:50" s="155" customFormat="1" ht="30" hidden="1" customHeight="1">
      <c r="A80" s="141" t="str">
        <f t="shared" ref="A80:A143" si="38">IF(S80="IN",$E$6,"")</f>
        <v/>
      </c>
      <c r="B80" s="141" t="str">
        <f t="shared" ref="B80:B143" si="39">IF(S80="IN","Muc "&amp;$E$7,"")</f>
        <v/>
      </c>
      <c r="C80" s="205" t="str" cm="1">
        <f t="array" ref="C80">IF(D80="","",
    IF(AND(ISNUMBER(D80), D80=INT(D80)),
        $V$6 &amp; " " &amp; (IFERROR(MAX($Y$12:$Y79), 0) + 1),
        IF(ISNUMBER(SEARCH(".", D80)), "", INDEX($C$12:$C80, MATCH(2, 1/($C$12:$C80 &lt;&gt; ""))))
    )
)</f>
        <v/>
      </c>
      <c r="D80" s="206"/>
      <c r="E80" s="206" t="str">
        <f>IF(AA80 = "", "",
    IF(ISNUMBER(SEARCH("Kiện", C80)),
       " GÓI " &amp; COUNTIF($C$13:C80, "*Kiện*") &amp; "/" &amp; COUNTIF($C$13:$C$1000, "*Kiện*") &amp; " " &amp; AA80,
       AA80)
)</f>
        <v/>
      </c>
      <c r="F80" s="206"/>
      <c r="G80" s="206"/>
      <c r="H80" s="206"/>
      <c r="I80" s="206"/>
      <c r="J80" s="206" t="str">
        <f t="shared" ref="J80:J143" si="40">IF(C80&lt;&gt;"",C80&amp;"_"&amp;$E$6,"")</f>
        <v/>
      </c>
      <c r="K80" s="206" t="str">
        <f t="shared" si="28"/>
        <v/>
      </c>
      <c r="L80" s="206" t="str">
        <f t="shared" si="29"/>
        <v/>
      </c>
      <c r="M80" s="206" t="str">
        <f t="shared" si="30"/>
        <v/>
      </c>
      <c r="N80" s="206" t="str">
        <f t="shared" ref="N80:N143" si="41">IF(C80&lt;&gt;"",I80,"")</f>
        <v/>
      </c>
      <c r="O80" s="206" t="str">
        <f t="shared" si="31"/>
        <v/>
      </c>
      <c r="P80" s="165" t="str">
        <f t="shared" si="32"/>
        <v/>
      </c>
      <c r="Q80" s="207"/>
      <c r="R80" s="141" t="str">
        <f>IF(S80="IN",'BOM_Phan II'!$Y$3,"")</f>
        <v/>
      </c>
      <c r="S80" s="153" t="str">
        <f t="shared" si="33"/>
        <v/>
      </c>
      <c r="T80">
        <f t="shared" si="34"/>
        <v>6</v>
      </c>
      <c r="U80" s="208" t="str">
        <f t="shared" ref="U80:U143" si="42">IF(C80="",U79,C80)</f>
        <v>KIỆN 9</v>
      </c>
      <c r="V80" s="208" t="str">
        <f t="shared" si="35"/>
        <v/>
      </c>
      <c r="W80" s="240"/>
      <c r="X80" s="240"/>
      <c r="Y80" s="240" t="str">
        <f t="shared" si="36"/>
        <v/>
      </c>
      <c r="Z80" s="240"/>
      <c r="AD80" s="232" t="str">
        <f t="shared" si="37"/>
        <v/>
      </c>
      <c r="AE80" s="204"/>
      <c r="AX80" s="3" t="str">
        <f t="shared" si="27"/>
        <v/>
      </c>
    </row>
    <row r="81" spans="1:50" s="155" customFormat="1" ht="30" hidden="1" customHeight="1">
      <c r="A81" s="141" t="str">
        <f t="shared" si="38"/>
        <v/>
      </c>
      <c r="B81" s="141" t="str">
        <f t="shared" si="39"/>
        <v/>
      </c>
      <c r="C81" s="205" t="str" cm="1">
        <f t="array" ref="C81">IF(D81="","",
    IF(AND(ISNUMBER(D81), D81=INT(D81)),
        $V$6 &amp; " " &amp; (IFERROR(MAX($Y$12:$Y80), 0) + 1),
        IF(ISNUMBER(SEARCH(".", D81)), "", INDEX($C$12:$C81, MATCH(2, 1/($C$12:$C81 &lt;&gt; ""))))
    )
)</f>
        <v/>
      </c>
      <c r="D81" s="206"/>
      <c r="E81" s="206" t="str">
        <f>IF(AA81 = "", "",
    IF(ISNUMBER(SEARCH("Kiện", C81)),
       " GÓI " &amp; COUNTIF($C$13:C81, "*Kiện*") &amp; "/" &amp; COUNTIF($C$13:$C$1000, "*Kiện*") &amp; " " &amp; AA81,
       AA81)
)</f>
        <v/>
      </c>
      <c r="F81" s="206"/>
      <c r="G81" s="206"/>
      <c r="H81" s="206"/>
      <c r="I81" s="206"/>
      <c r="J81" s="206" t="str">
        <f t="shared" si="40"/>
        <v/>
      </c>
      <c r="K81" s="206" t="str">
        <f t="shared" si="28"/>
        <v/>
      </c>
      <c r="L81" s="206" t="str">
        <f t="shared" si="29"/>
        <v/>
      </c>
      <c r="M81" s="206" t="str">
        <f t="shared" si="30"/>
        <v/>
      </c>
      <c r="N81" s="206" t="str">
        <f t="shared" si="41"/>
        <v/>
      </c>
      <c r="O81" s="206" t="str">
        <f t="shared" si="31"/>
        <v/>
      </c>
      <c r="P81" s="165" t="str">
        <f t="shared" si="32"/>
        <v/>
      </c>
      <c r="Q81" s="207"/>
      <c r="R81" s="141" t="str">
        <f>IF(S81="IN",'BOM_Phan II'!$Y$3,"")</f>
        <v/>
      </c>
      <c r="S81" s="153" t="str">
        <f t="shared" si="33"/>
        <v/>
      </c>
      <c r="T81">
        <f t="shared" si="34"/>
        <v>6</v>
      </c>
      <c r="U81" s="208" t="str">
        <f t="shared" si="42"/>
        <v>KIỆN 9</v>
      </c>
      <c r="V81" s="208" t="str">
        <f t="shared" si="35"/>
        <v/>
      </c>
      <c r="W81" s="240"/>
      <c r="X81" s="240"/>
      <c r="Y81" s="240" t="str">
        <f t="shared" si="36"/>
        <v/>
      </c>
      <c r="Z81" s="240"/>
      <c r="AD81" s="232" t="str">
        <f t="shared" si="37"/>
        <v/>
      </c>
      <c r="AE81" s="204"/>
      <c r="AX81" s="3" t="str">
        <f t="shared" si="27"/>
        <v/>
      </c>
    </row>
    <row r="82" spans="1:50" s="155" customFormat="1" ht="30" hidden="1" customHeight="1">
      <c r="A82" s="141" t="str">
        <f t="shared" si="38"/>
        <v/>
      </c>
      <c r="B82" s="141" t="str">
        <f t="shared" si="39"/>
        <v/>
      </c>
      <c r="C82" s="205" t="str" cm="1">
        <f t="array" ref="C82">IF(D82="","",
    IF(AND(ISNUMBER(D82), D82=INT(D82)),
        $V$6 &amp; " " &amp; (IFERROR(MAX($Y$12:$Y81), 0) + 1),
        IF(ISNUMBER(SEARCH(".", D82)), "", INDEX($C$12:$C82, MATCH(2, 1/($C$12:$C82 &lt;&gt; ""))))
    )
)</f>
        <v/>
      </c>
      <c r="D82" s="206"/>
      <c r="E82" s="206" t="str">
        <f>IF(AA82 = "", "",
    IF(ISNUMBER(SEARCH("Kiện", C82)),
       " GÓI " &amp; COUNTIF($C$13:C82, "*Kiện*") &amp; "/" &amp; COUNTIF($C$13:$C$1000, "*Kiện*") &amp; " " &amp; AA82,
       AA82)
)</f>
        <v/>
      </c>
      <c r="F82" s="206"/>
      <c r="G82" s="206"/>
      <c r="H82" s="206"/>
      <c r="I82" s="206"/>
      <c r="J82" s="206" t="str">
        <f t="shared" si="40"/>
        <v/>
      </c>
      <c r="K82" s="206" t="str">
        <f t="shared" si="28"/>
        <v/>
      </c>
      <c r="L82" s="206" t="str">
        <f t="shared" si="29"/>
        <v/>
      </c>
      <c r="M82" s="206" t="str">
        <f t="shared" si="30"/>
        <v/>
      </c>
      <c r="N82" s="206" t="str">
        <f t="shared" si="41"/>
        <v/>
      </c>
      <c r="O82" s="206" t="str">
        <f t="shared" si="31"/>
        <v/>
      </c>
      <c r="P82" s="165" t="str">
        <f t="shared" si="32"/>
        <v/>
      </c>
      <c r="Q82" s="207"/>
      <c r="R82" s="141" t="str">
        <f>IF(S82="IN",'BOM_Phan II'!$Y$3,"")</f>
        <v/>
      </c>
      <c r="S82" s="153" t="str">
        <f t="shared" si="33"/>
        <v/>
      </c>
      <c r="T82">
        <f t="shared" si="34"/>
        <v>6</v>
      </c>
      <c r="U82" s="208" t="str">
        <f t="shared" si="42"/>
        <v>KIỆN 9</v>
      </c>
      <c r="V82" s="208" t="str">
        <f t="shared" si="35"/>
        <v/>
      </c>
      <c r="W82" s="240"/>
      <c r="X82" s="240"/>
      <c r="Y82" s="240" t="str">
        <f t="shared" si="36"/>
        <v/>
      </c>
      <c r="Z82" s="240"/>
      <c r="AD82" s="232" t="str">
        <f t="shared" si="37"/>
        <v/>
      </c>
      <c r="AE82" s="204"/>
      <c r="AX82" s="3" t="str">
        <f t="shared" si="27"/>
        <v/>
      </c>
    </row>
    <row r="83" spans="1:50" s="155" customFormat="1" ht="30" hidden="1" customHeight="1">
      <c r="A83" s="141" t="str">
        <f t="shared" si="38"/>
        <v/>
      </c>
      <c r="B83" s="141" t="str">
        <f t="shared" si="39"/>
        <v/>
      </c>
      <c r="C83" s="205" t="str" cm="1">
        <f t="array" ref="C83">IF(D83="","",
    IF(AND(ISNUMBER(D83), D83=INT(D83)),
        $V$6 &amp; " " &amp; (IFERROR(MAX($Y$12:$Y82), 0) + 1),
        IF(ISNUMBER(SEARCH(".", D83)), "", INDEX($C$12:$C83, MATCH(2, 1/($C$12:$C83 &lt;&gt; ""))))
    )
)</f>
        <v/>
      </c>
      <c r="D83" s="206"/>
      <c r="E83" s="206" t="str">
        <f>IF(AA83 = "", "",
    IF(ISNUMBER(SEARCH("Kiện", C83)),
       " GÓI " &amp; COUNTIF($C$13:C83, "*Kiện*") &amp; "/" &amp; COUNTIF($C$13:$C$1000, "*Kiện*") &amp; " " &amp; AA83,
       AA83)
)</f>
        <v/>
      </c>
      <c r="F83" s="206"/>
      <c r="G83" s="206"/>
      <c r="H83" s="206"/>
      <c r="I83" s="206"/>
      <c r="J83" s="206" t="str">
        <f t="shared" si="40"/>
        <v/>
      </c>
      <c r="K83" s="206" t="str">
        <f t="shared" si="28"/>
        <v/>
      </c>
      <c r="L83" s="206" t="str">
        <f t="shared" si="29"/>
        <v/>
      </c>
      <c r="M83" s="206" t="str">
        <f t="shared" si="30"/>
        <v/>
      </c>
      <c r="N83" s="206" t="str">
        <f t="shared" si="41"/>
        <v/>
      </c>
      <c r="O83" s="206" t="str">
        <f t="shared" si="31"/>
        <v/>
      </c>
      <c r="P83" s="165" t="str">
        <f t="shared" si="32"/>
        <v/>
      </c>
      <c r="Q83" s="207"/>
      <c r="R83" s="141" t="str">
        <f>IF(S83="IN",'BOM_Phan II'!$Y$3,"")</f>
        <v/>
      </c>
      <c r="S83" s="153" t="str">
        <f t="shared" si="33"/>
        <v/>
      </c>
      <c r="T83">
        <f t="shared" si="34"/>
        <v>6</v>
      </c>
      <c r="U83" s="208" t="str">
        <f t="shared" si="42"/>
        <v>KIỆN 9</v>
      </c>
      <c r="V83" s="208" t="str">
        <f t="shared" si="35"/>
        <v/>
      </c>
      <c r="W83" s="240"/>
      <c r="X83" s="240"/>
      <c r="Y83" s="240" t="str">
        <f t="shared" si="36"/>
        <v/>
      </c>
      <c r="Z83" s="240"/>
      <c r="AD83" s="232" t="str">
        <f t="shared" si="37"/>
        <v/>
      </c>
      <c r="AE83" s="204"/>
      <c r="AX83" s="3" t="str">
        <f t="shared" si="27"/>
        <v/>
      </c>
    </row>
    <row r="84" spans="1:50" s="155" customFormat="1" ht="30" hidden="1" customHeight="1">
      <c r="A84" s="141" t="str">
        <f t="shared" si="38"/>
        <v/>
      </c>
      <c r="B84" s="141" t="str">
        <f t="shared" si="39"/>
        <v/>
      </c>
      <c r="C84" s="205" t="str" cm="1">
        <f t="array" ref="C84">IF(D84="","",
    IF(AND(ISNUMBER(D84), D84=INT(D84)),
        $V$6 &amp; " " &amp; (IFERROR(MAX($Y$12:$Y83), 0) + 1),
        IF(ISNUMBER(SEARCH(".", D84)), "", INDEX($C$12:$C84, MATCH(2, 1/($C$12:$C84 &lt;&gt; ""))))
    )
)</f>
        <v/>
      </c>
      <c r="D84" s="206"/>
      <c r="E84" s="206" t="str">
        <f>IF(AA84 = "", "",
    IF(ISNUMBER(SEARCH("Kiện", C84)),
       " GÓI " &amp; COUNTIF($C$13:C84, "*Kiện*") &amp; "/" &amp; COUNTIF($C$13:$C$1000, "*Kiện*") &amp; " " &amp; AA84,
       AA84)
)</f>
        <v/>
      </c>
      <c r="F84" s="206"/>
      <c r="G84" s="206"/>
      <c r="H84" s="206"/>
      <c r="I84" s="206"/>
      <c r="J84" s="206" t="str">
        <f t="shared" si="40"/>
        <v/>
      </c>
      <c r="K84" s="206" t="str">
        <f t="shared" si="28"/>
        <v/>
      </c>
      <c r="L84" s="206" t="str">
        <f t="shared" si="29"/>
        <v/>
      </c>
      <c r="M84" s="206" t="str">
        <f t="shared" si="30"/>
        <v/>
      </c>
      <c r="N84" s="206" t="str">
        <f t="shared" si="41"/>
        <v/>
      </c>
      <c r="O84" s="206" t="str">
        <f t="shared" si="31"/>
        <v/>
      </c>
      <c r="P84" s="165" t="str">
        <f t="shared" si="32"/>
        <v/>
      </c>
      <c r="Q84" s="207"/>
      <c r="R84" s="141" t="str">
        <f>IF(S84="IN",'BOM_Phan II'!$Y$3,"")</f>
        <v/>
      </c>
      <c r="S84" s="153" t="str">
        <f t="shared" si="33"/>
        <v/>
      </c>
      <c r="T84">
        <f t="shared" si="34"/>
        <v>6</v>
      </c>
      <c r="U84" s="208" t="str">
        <f t="shared" si="42"/>
        <v>KIỆN 9</v>
      </c>
      <c r="V84" s="208" t="str">
        <f t="shared" si="35"/>
        <v/>
      </c>
      <c r="W84" s="240"/>
      <c r="X84" s="240"/>
      <c r="Y84" s="240" t="str">
        <f t="shared" si="36"/>
        <v/>
      </c>
      <c r="Z84" s="240"/>
      <c r="AD84" s="232" t="str">
        <f t="shared" si="37"/>
        <v/>
      </c>
      <c r="AE84" s="204"/>
      <c r="AX84" s="3" t="str">
        <f t="shared" si="27"/>
        <v/>
      </c>
    </row>
    <row r="85" spans="1:50" s="155" customFormat="1" ht="30" hidden="1" customHeight="1">
      <c r="A85" s="141" t="str">
        <f t="shared" si="38"/>
        <v/>
      </c>
      <c r="B85" s="141" t="str">
        <f t="shared" si="39"/>
        <v/>
      </c>
      <c r="C85" s="205" t="str" cm="1">
        <f t="array" ref="C85">IF(D85="","",
    IF(AND(ISNUMBER(D85), D85=INT(D85)),
        $V$6 &amp; " " &amp; (IFERROR(MAX($Y$12:$Y84), 0) + 1),
        IF(ISNUMBER(SEARCH(".", D85)), "", INDEX($C$12:$C85, MATCH(2, 1/($C$12:$C85 &lt;&gt; ""))))
    )
)</f>
        <v/>
      </c>
      <c r="D85" s="206"/>
      <c r="E85" s="206" t="str">
        <f>IF(AA85 = "", "",
    IF(ISNUMBER(SEARCH("Kiện", C85)),
       " GÓI " &amp; COUNTIF($C$13:C85, "*Kiện*") &amp; "/" &amp; COUNTIF($C$13:$C$1000, "*Kiện*") &amp; " " &amp; AA85,
       AA85)
)</f>
        <v/>
      </c>
      <c r="F85" s="206"/>
      <c r="G85" s="206"/>
      <c r="H85" s="206"/>
      <c r="I85" s="206"/>
      <c r="J85" s="206" t="str">
        <f t="shared" si="40"/>
        <v/>
      </c>
      <c r="K85" s="206" t="str">
        <f t="shared" si="28"/>
        <v/>
      </c>
      <c r="L85" s="206" t="str">
        <f t="shared" si="29"/>
        <v/>
      </c>
      <c r="M85" s="206" t="str">
        <f t="shared" si="30"/>
        <v/>
      </c>
      <c r="N85" s="206" t="str">
        <f t="shared" si="41"/>
        <v/>
      </c>
      <c r="O85" s="206" t="str">
        <f t="shared" si="31"/>
        <v/>
      </c>
      <c r="P85" s="165" t="str">
        <f t="shared" si="32"/>
        <v/>
      </c>
      <c r="Q85" s="207"/>
      <c r="R85" s="141" t="str">
        <f>IF(S85="IN",'BOM_Phan II'!$Y$3,"")</f>
        <v/>
      </c>
      <c r="S85" s="153" t="str">
        <f t="shared" si="33"/>
        <v/>
      </c>
      <c r="T85">
        <f t="shared" si="34"/>
        <v>6</v>
      </c>
      <c r="U85" s="208" t="str">
        <f t="shared" si="42"/>
        <v>KIỆN 9</v>
      </c>
      <c r="V85" s="208" t="str">
        <f t="shared" si="35"/>
        <v/>
      </c>
      <c r="W85" s="240"/>
      <c r="X85" s="240"/>
      <c r="Y85" s="240" t="str">
        <f t="shared" si="36"/>
        <v/>
      </c>
      <c r="Z85" s="240"/>
      <c r="AD85" s="232" t="str">
        <f t="shared" si="37"/>
        <v/>
      </c>
      <c r="AE85" s="204"/>
      <c r="AX85" s="3" t="str">
        <f t="shared" si="27"/>
        <v/>
      </c>
    </row>
    <row r="86" spans="1:50" s="155" customFormat="1" ht="30" hidden="1" customHeight="1">
      <c r="A86" s="141" t="str">
        <f t="shared" si="38"/>
        <v/>
      </c>
      <c r="B86" s="141" t="str">
        <f t="shared" si="39"/>
        <v/>
      </c>
      <c r="C86" s="205" t="str" cm="1">
        <f t="array" ref="C86">IF(D86="","",
    IF(AND(ISNUMBER(D86), D86=INT(D86)),
        $V$6 &amp; " " &amp; (IFERROR(MAX($Y$12:$Y85), 0) + 1),
        IF(ISNUMBER(SEARCH(".", D86)), "", INDEX($C$12:$C86, MATCH(2, 1/($C$12:$C86 &lt;&gt; ""))))
    )
)</f>
        <v/>
      </c>
      <c r="D86" s="206"/>
      <c r="E86" s="206" t="str">
        <f>IF(AA86 = "", "",
    IF(ISNUMBER(SEARCH("Kiện", C86)),
       " GÓI " &amp; COUNTIF($C$13:C86, "*Kiện*") &amp; "/" &amp; COUNTIF($C$13:$C$1000, "*Kiện*") &amp; " " &amp; AA86,
       AA86)
)</f>
        <v/>
      </c>
      <c r="F86" s="206"/>
      <c r="G86" s="206"/>
      <c r="H86" s="206"/>
      <c r="I86" s="206"/>
      <c r="J86" s="206" t="str">
        <f t="shared" si="40"/>
        <v/>
      </c>
      <c r="K86" s="206" t="str">
        <f t="shared" si="28"/>
        <v/>
      </c>
      <c r="L86" s="206" t="str">
        <f t="shared" si="29"/>
        <v/>
      </c>
      <c r="M86" s="206" t="str">
        <f t="shared" si="30"/>
        <v/>
      </c>
      <c r="N86" s="206" t="str">
        <f t="shared" si="41"/>
        <v/>
      </c>
      <c r="O86" s="206" t="str">
        <f t="shared" si="31"/>
        <v/>
      </c>
      <c r="P86" s="165" t="str">
        <f t="shared" si="32"/>
        <v/>
      </c>
      <c r="Q86" s="207"/>
      <c r="R86" s="141" t="str">
        <f>IF(S86="IN",'BOM_Phan II'!$Y$3,"")</f>
        <v/>
      </c>
      <c r="S86" s="153" t="str">
        <f t="shared" si="33"/>
        <v/>
      </c>
      <c r="T86">
        <f t="shared" si="34"/>
        <v>6</v>
      </c>
      <c r="U86" s="208" t="str">
        <f t="shared" si="42"/>
        <v>KIỆN 9</v>
      </c>
      <c r="V86" s="208" t="str">
        <f t="shared" si="35"/>
        <v/>
      </c>
      <c r="W86" s="240"/>
      <c r="X86" s="240"/>
      <c r="Y86" s="240" t="str">
        <f t="shared" si="36"/>
        <v/>
      </c>
      <c r="Z86" s="240"/>
      <c r="AD86" s="232" t="str">
        <f t="shared" si="37"/>
        <v/>
      </c>
      <c r="AE86" s="204"/>
      <c r="AX86" s="3" t="str">
        <f t="shared" si="27"/>
        <v/>
      </c>
    </row>
    <row r="87" spans="1:50" s="155" customFormat="1" ht="30" hidden="1" customHeight="1">
      <c r="A87" s="141" t="str">
        <f t="shared" si="38"/>
        <v/>
      </c>
      <c r="B87" s="141" t="str">
        <f t="shared" si="39"/>
        <v/>
      </c>
      <c r="C87" s="205" t="str" cm="1">
        <f t="array" ref="C87">IF(D87="","",
    IF(AND(ISNUMBER(D87), D87=INT(D87)),
        $V$6 &amp; " " &amp; (IFERROR(MAX($Y$12:$Y86), 0) + 1),
        IF(ISNUMBER(SEARCH(".", D87)), "", INDEX($C$12:$C87, MATCH(2, 1/($C$12:$C87 &lt;&gt; ""))))
    )
)</f>
        <v/>
      </c>
      <c r="D87" s="206"/>
      <c r="E87" s="206" t="str">
        <f>IF(AA87 = "", "",
    IF(ISNUMBER(SEARCH("Kiện", C87)),
       " GÓI " &amp; COUNTIF($C$13:C87, "*Kiện*") &amp; "/" &amp; COUNTIF($C$13:$C$1000, "*Kiện*") &amp; " " &amp; AA87,
       AA87)
)</f>
        <v/>
      </c>
      <c r="F87" s="206"/>
      <c r="G87" s="206"/>
      <c r="H87" s="206"/>
      <c r="I87" s="206"/>
      <c r="J87" s="206" t="str">
        <f t="shared" si="40"/>
        <v/>
      </c>
      <c r="K87" s="206" t="str">
        <f t="shared" si="28"/>
        <v/>
      </c>
      <c r="L87" s="206" t="str">
        <f t="shared" si="29"/>
        <v/>
      </c>
      <c r="M87" s="206" t="str">
        <f t="shared" si="30"/>
        <v/>
      </c>
      <c r="N87" s="206" t="str">
        <f t="shared" si="41"/>
        <v/>
      </c>
      <c r="O87" s="206" t="str">
        <f t="shared" si="31"/>
        <v/>
      </c>
      <c r="P87" s="165" t="str">
        <f t="shared" si="32"/>
        <v/>
      </c>
      <c r="Q87" s="207"/>
      <c r="R87" s="141" t="str">
        <f>IF(S87="IN",'BOM_Phan II'!$Y$3,"")</f>
        <v/>
      </c>
      <c r="S87" s="153" t="str">
        <f t="shared" si="33"/>
        <v/>
      </c>
      <c r="T87">
        <f t="shared" si="34"/>
        <v>6</v>
      </c>
      <c r="U87" s="208" t="str">
        <f t="shared" si="42"/>
        <v>KIỆN 9</v>
      </c>
      <c r="V87" s="208" t="str">
        <f t="shared" si="35"/>
        <v/>
      </c>
      <c r="W87" s="240"/>
      <c r="X87" s="240"/>
      <c r="Y87" s="240" t="str">
        <f t="shared" si="36"/>
        <v/>
      </c>
      <c r="Z87" s="240"/>
      <c r="AD87" s="232" t="str">
        <f t="shared" si="37"/>
        <v/>
      </c>
      <c r="AE87" s="204"/>
      <c r="AX87" s="3" t="str">
        <f t="shared" si="27"/>
        <v/>
      </c>
    </row>
    <row r="88" spans="1:50" s="155" customFormat="1" ht="30" hidden="1" customHeight="1">
      <c r="A88" s="141" t="str">
        <f t="shared" si="38"/>
        <v/>
      </c>
      <c r="B88" s="141" t="str">
        <f t="shared" si="39"/>
        <v/>
      </c>
      <c r="C88" s="205" t="str" cm="1">
        <f t="array" ref="C88">IF(D88="","",
    IF(AND(ISNUMBER(D88), D88=INT(D88)),
        $V$6 &amp; " " &amp; (IFERROR(MAX($Y$12:$Y87), 0) + 1),
        IF(ISNUMBER(SEARCH(".", D88)), "", INDEX($C$12:$C88, MATCH(2, 1/($C$12:$C88 &lt;&gt; ""))))
    )
)</f>
        <v/>
      </c>
      <c r="D88" s="206"/>
      <c r="E88" s="206" t="str">
        <f>IF(AA88 = "", "",
    IF(ISNUMBER(SEARCH("Kiện", C88)),
       " GÓI " &amp; COUNTIF($C$13:C88, "*Kiện*") &amp; "/" &amp; COUNTIF($C$13:$C$1000, "*Kiện*") &amp; " " &amp; AA88,
       AA88)
)</f>
        <v/>
      </c>
      <c r="F88" s="206"/>
      <c r="G88" s="206"/>
      <c r="H88" s="206"/>
      <c r="I88" s="206"/>
      <c r="J88" s="206" t="str">
        <f t="shared" si="40"/>
        <v/>
      </c>
      <c r="K88" s="206" t="str">
        <f t="shared" si="28"/>
        <v/>
      </c>
      <c r="L88" s="206" t="str">
        <f t="shared" si="29"/>
        <v/>
      </c>
      <c r="M88" s="206" t="str">
        <f t="shared" si="30"/>
        <v/>
      </c>
      <c r="N88" s="206" t="str">
        <f t="shared" si="41"/>
        <v/>
      </c>
      <c r="O88" s="206" t="str">
        <f t="shared" si="31"/>
        <v/>
      </c>
      <c r="P88" s="165" t="str">
        <f t="shared" si="32"/>
        <v/>
      </c>
      <c r="Q88" s="207"/>
      <c r="R88" s="141" t="str">
        <f>IF(S88="IN",'BOM_Phan II'!$Y$3,"")</f>
        <v/>
      </c>
      <c r="S88" s="153" t="str">
        <f t="shared" si="33"/>
        <v/>
      </c>
      <c r="T88">
        <f t="shared" si="34"/>
        <v>6</v>
      </c>
      <c r="U88" s="208" t="str">
        <f t="shared" si="42"/>
        <v>KIỆN 9</v>
      </c>
      <c r="V88" s="208" t="str">
        <f t="shared" si="35"/>
        <v/>
      </c>
      <c r="W88" s="240"/>
      <c r="X88" s="240"/>
      <c r="Y88" s="240" t="str">
        <f t="shared" si="36"/>
        <v/>
      </c>
      <c r="Z88" s="240"/>
      <c r="AD88" s="232" t="str">
        <f t="shared" si="37"/>
        <v/>
      </c>
      <c r="AE88" s="204"/>
      <c r="AX88" s="3" t="str">
        <f t="shared" si="27"/>
        <v/>
      </c>
    </row>
    <row r="89" spans="1:50" s="155" customFormat="1" ht="30" hidden="1" customHeight="1">
      <c r="A89" s="141" t="str">
        <f t="shared" si="38"/>
        <v/>
      </c>
      <c r="B89" s="141" t="str">
        <f t="shared" si="39"/>
        <v/>
      </c>
      <c r="C89" s="205" t="str" cm="1">
        <f t="array" ref="C89">IF(D89="","",
    IF(AND(ISNUMBER(D89), D89=INT(D89)),
        $V$6 &amp; " " &amp; (IFERROR(MAX($Y$12:$Y88), 0) + 1),
        IF(ISNUMBER(SEARCH(".", D89)), "", INDEX($C$12:$C89, MATCH(2, 1/($C$12:$C89 &lt;&gt; ""))))
    )
)</f>
        <v/>
      </c>
      <c r="D89" s="206"/>
      <c r="E89" s="206" t="str">
        <f>IF(AA89 = "", "",
    IF(ISNUMBER(SEARCH("Kiện", C89)),
       " GÓI " &amp; COUNTIF($C$13:C89, "*Kiện*") &amp; "/" &amp; COUNTIF($C$13:$C$1000, "*Kiện*") &amp; " " &amp; AA89,
       AA89)
)</f>
        <v/>
      </c>
      <c r="F89" s="206"/>
      <c r="G89" s="206"/>
      <c r="H89" s="206"/>
      <c r="I89" s="206"/>
      <c r="J89" s="206" t="str">
        <f t="shared" si="40"/>
        <v/>
      </c>
      <c r="K89" s="206" t="str">
        <f t="shared" si="28"/>
        <v/>
      </c>
      <c r="L89" s="206" t="str">
        <f t="shared" si="29"/>
        <v/>
      </c>
      <c r="M89" s="206" t="str">
        <f t="shared" si="30"/>
        <v/>
      </c>
      <c r="N89" s="206" t="str">
        <f t="shared" si="41"/>
        <v/>
      </c>
      <c r="O89" s="206" t="str">
        <f t="shared" si="31"/>
        <v/>
      </c>
      <c r="P89" s="165" t="str">
        <f t="shared" si="32"/>
        <v/>
      </c>
      <c r="Q89" s="207"/>
      <c r="R89" s="141" t="str">
        <f>IF(S89="IN",'BOM_Phan II'!$Y$3,"")</f>
        <v/>
      </c>
      <c r="S89" s="153" t="str">
        <f t="shared" si="33"/>
        <v/>
      </c>
      <c r="T89">
        <f t="shared" si="34"/>
        <v>6</v>
      </c>
      <c r="U89" s="208" t="str">
        <f t="shared" si="42"/>
        <v>KIỆN 9</v>
      </c>
      <c r="V89" s="208" t="str">
        <f t="shared" si="35"/>
        <v/>
      </c>
      <c r="W89" s="240"/>
      <c r="X89" s="240"/>
      <c r="Y89" s="240" t="str">
        <f t="shared" si="36"/>
        <v/>
      </c>
      <c r="Z89" s="240"/>
      <c r="AD89" s="232" t="str">
        <f t="shared" si="37"/>
        <v/>
      </c>
      <c r="AE89" s="204"/>
      <c r="AX89" s="3" t="str">
        <f t="shared" si="27"/>
        <v/>
      </c>
    </row>
    <row r="90" spans="1:50" s="155" customFormat="1" ht="30" hidden="1" customHeight="1">
      <c r="A90" s="141" t="str">
        <f t="shared" si="38"/>
        <v/>
      </c>
      <c r="B90" s="141" t="str">
        <f t="shared" si="39"/>
        <v/>
      </c>
      <c r="C90" s="205" t="str" cm="1">
        <f t="array" ref="C90">IF(D90="","",
    IF(AND(ISNUMBER(D90), D90=INT(D90)),
        $V$6 &amp; " " &amp; (IFERROR(MAX($Y$12:$Y89), 0) + 1),
        IF(ISNUMBER(SEARCH(".", D90)), "", INDEX($C$12:$C90, MATCH(2, 1/($C$12:$C90 &lt;&gt; ""))))
    )
)</f>
        <v/>
      </c>
      <c r="D90" s="206"/>
      <c r="E90" s="206" t="str">
        <f>IF(AA90 = "", "",
    IF(ISNUMBER(SEARCH("Kiện", C90)),
       " GÓI " &amp; COUNTIF($C$13:C90, "*Kiện*") &amp; "/" &amp; COUNTIF($C$13:$C$1000, "*Kiện*") &amp; " " &amp; AA90,
       AA90)
)</f>
        <v/>
      </c>
      <c r="F90" s="206"/>
      <c r="G90" s="206"/>
      <c r="H90" s="206"/>
      <c r="I90" s="206"/>
      <c r="J90" s="206" t="str">
        <f t="shared" si="40"/>
        <v/>
      </c>
      <c r="K90" s="206" t="str">
        <f t="shared" si="28"/>
        <v/>
      </c>
      <c r="L90" s="206" t="str">
        <f t="shared" si="29"/>
        <v/>
      </c>
      <c r="M90" s="206" t="str">
        <f t="shared" si="30"/>
        <v/>
      </c>
      <c r="N90" s="206" t="str">
        <f t="shared" si="41"/>
        <v/>
      </c>
      <c r="O90" s="206" t="str">
        <f t="shared" si="31"/>
        <v/>
      </c>
      <c r="P90" s="165" t="str">
        <f t="shared" si="32"/>
        <v/>
      </c>
      <c r="Q90" s="207"/>
      <c r="R90" s="141" t="str">
        <f>IF(S90="IN",'BOM_Phan II'!$Y$3,"")</f>
        <v/>
      </c>
      <c r="S90" s="153" t="str">
        <f t="shared" si="33"/>
        <v/>
      </c>
      <c r="T90">
        <f t="shared" si="34"/>
        <v>6</v>
      </c>
      <c r="U90" s="208" t="str">
        <f t="shared" si="42"/>
        <v>KIỆN 9</v>
      </c>
      <c r="V90" s="208" t="str">
        <f t="shared" si="35"/>
        <v/>
      </c>
      <c r="W90" s="240"/>
      <c r="X90" s="240"/>
      <c r="Y90" s="240" t="str">
        <f t="shared" si="36"/>
        <v/>
      </c>
      <c r="Z90" s="240"/>
      <c r="AD90" s="232" t="str">
        <f t="shared" si="37"/>
        <v/>
      </c>
      <c r="AE90" s="204"/>
      <c r="AX90" s="3" t="str">
        <f t="shared" si="27"/>
        <v/>
      </c>
    </row>
    <row r="91" spans="1:50" s="155" customFormat="1" ht="30" hidden="1" customHeight="1">
      <c r="A91" s="141" t="str">
        <f t="shared" si="38"/>
        <v/>
      </c>
      <c r="B91" s="141" t="str">
        <f t="shared" si="39"/>
        <v/>
      </c>
      <c r="C91" s="205" t="str" cm="1">
        <f t="array" ref="C91">IF(D91="","",
    IF(AND(ISNUMBER(D91), D91=INT(D91)),
        $V$6 &amp; " " &amp; (IFERROR(MAX($Y$12:$Y90), 0) + 1),
        IF(ISNUMBER(SEARCH(".", D91)), "", INDEX($C$12:$C91, MATCH(2, 1/($C$12:$C91 &lt;&gt; ""))))
    )
)</f>
        <v/>
      </c>
      <c r="D91" s="206"/>
      <c r="E91" s="206" t="str">
        <f>IF(AA91 = "", "",
    IF(ISNUMBER(SEARCH("Kiện", C91)),
       " GÓI " &amp; COUNTIF($C$13:C91, "*Kiện*") &amp; "/" &amp; COUNTIF($C$13:$C$1000, "*Kiện*") &amp; " " &amp; AA91,
       AA91)
)</f>
        <v/>
      </c>
      <c r="F91" s="206"/>
      <c r="G91" s="206"/>
      <c r="H91" s="206"/>
      <c r="I91" s="206"/>
      <c r="J91" s="206" t="str">
        <f t="shared" si="40"/>
        <v/>
      </c>
      <c r="K91" s="206" t="str">
        <f t="shared" si="28"/>
        <v/>
      </c>
      <c r="L91" s="206" t="str">
        <f t="shared" si="29"/>
        <v/>
      </c>
      <c r="M91" s="206" t="str">
        <f t="shared" si="30"/>
        <v/>
      </c>
      <c r="N91" s="206" t="str">
        <f t="shared" si="41"/>
        <v/>
      </c>
      <c r="O91" s="206" t="str">
        <f t="shared" si="31"/>
        <v/>
      </c>
      <c r="P91" s="165" t="str">
        <f t="shared" si="32"/>
        <v/>
      </c>
      <c r="Q91" s="207"/>
      <c r="R91" s="141" t="str">
        <f>IF(S91="IN",'BOM_Phan II'!$Y$3,"")</f>
        <v/>
      </c>
      <c r="S91" s="153" t="str">
        <f t="shared" si="33"/>
        <v/>
      </c>
      <c r="T91">
        <f t="shared" si="34"/>
        <v>6</v>
      </c>
      <c r="U91" s="208" t="str">
        <f t="shared" si="42"/>
        <v>KIỆN 9</v>
      </c>
      <c r="V91" s="208" t="str">
        <f t="shared" si="35"/>
        <v/>
      </c>
      <c r="W91" s="240"/>
      <c r="X91" s="240"/>
      <c r="Y91" s="240" t="str">
        <f t="shared" si="36"/>
        <v/>
      </c>
      <c r="Z91" s="240"/>
      <c r="AD91" s="232" t="str">
        <f t="shared" si="37"/>
        <v/>
      </c>
      <c r="AE91" s="204"/>
      <c r="AX91" s="3" t="str">
        <f t="shared" si="27"/>
        <v/>
      </c>
    </row>
    <row r="92" spans="1:50" s="155" customFormat="1" ht="30" hidden="1" customHeight="1">
      <c r="A92" s="141" t="str">
        <f t="shared" si="38"/>
        <v/>
      </c>
      <c r="B92" s="141" t="str">
        <f t="shared" si="39"/>
        <v/>
      </c>
      <c r="C92" s="205" t="str" cm="1">
        <f t="array" ref="C92">IF(D92="","",
    IF(AND(ISNUMBER(D92), D92=INT(D92)),
        $V$6 &amp; " " &amp; (IFERROR(MAX($Y$12:$Y91), 0) + 1),
        IF(ISNUMBER(SEARCH(".", D92)), "", INDEX($C$12:$C92, MATCH(2, 1/($C$12:$C92 &lt;&gt; ""))))
    )
)</f>
        <v/>
      </c>
      <c r="D92" s="206"/>
      <c r="E92" s="206" t="str">
        <f>IF(AA92 = "", "",
    IF(ISNUMBER(SEARCH("Kiện", C92)),
       " GÓI " &amp; COUNTIF($C$13:C92, "*Kiện*") &amp; "/" &amp; COUNTIF($C$13:$C$1000, "*Kiện*") &amp; " " &amp; AA92,
       AA92)
)</f>
        <v/>
      </c>
      <c r="F92" s="206"/>
      <c r="G92" s="206"/>
      <c r="H92" s="206"/>
      <c r="I92" s="206"/>
      <c r="J92" s="206" t="str">
        <f t="shared" si="40"/>
        <v/>
      </c>
      <c r="K92" s="206" t="str">
        <f t="shared" si="28"/>
        <v/>
      </c>
      <c r="L92" s="206" t="str">
        <f t="shared" si="29"/>
        <v/>
      </c>
      <c r="M92" s="206" t="str">
        <f t="shared" si="30"/>
        <v/>
      </c>
      <c r="N92" s="206" t="str">
        <f t="shared" si="41"/>
        <v/>
      </c>
      <c r="O92" s="206" t="str">
        <f t="shared" si="31"/>
        <v/>
      </c>
      <c r="P92" s="165" t="str">
        <f t="shared" si="32"/>
        <v/>
      </c>
      <c r="Q92" s="207"/>
      <c r="R92" s="141" t="str">
        <f>IF(S92="IN",'BOM_Phan II'!$Y$3,"")</f>
        <v/>
      </c>
      <c r="S92" s="153" t="str">
        <f t="shared" si="33"/>
        <v/>
      </c>
      <c r="T92">
        <f t="shared" si="34"/>
        <v>6</v>
      </c>
      <c r="U92" s="208" t="str">
        <f t="shared" si="42"/>
        <v>KIỆN 9</v>
      </c>
      <c r="V92" s="208" t="str">
        <f t="shared" si="35"/>
        <v/>
      </c>
      <c r="W92" s="240"/>
      <c r="X92" s="240"/>
      <c r="Y92" s="240" t="str">
        <f t="shared" si="36"/>
        <v/>
      </c>
      <c r="Z92" s="240"/>
      <c r="AD92" s="232" t="str">
        <f t="shared" si="37"/>
        <v/>
      </c>
      <c r="AE92" s="204"/>
      <c r="AX92" s="3" t="str">
        <f t="shared" si="27"/>
        <v/>
      </c>
    </row>
    <row r="93" spans="1:50" s="155" customFormat="1" ht="30" hidden="1" customHeight="1">
      <c r="A93" s="141" t="str">
        <f t="shared" si="38"/>
        <v/>
      </c>
      <c r="B93" s="141" t="str">
        <f t="shared" si="39"/>
        <v/>
      </c>
      <c r="C93" s="205" t="str" cm="1">
        <f t="array" ref="C93">IF(D93="","",
    IF(AND(ISNUMBER(D93), D93=INT(D93)),
        $V$6 &amp; " " &amp; (IFERROR(MAX($Y$12:$Y92), 0) + 1),
        IF(ISNUMBER(SEARCH(".", D93)), "", INDEX($C$12:$C93, MATCH(2, 1/($C$12:$C93 &lt;&gt; ""))))
    )
)</f>
        <v/>
      </c>
      <c r="D93" s="206"/>
      <c r="E93" s="206" t="str">
        <f>IF(AA93 = "", "",
    IF(ISNUMBER(SEARCH("Kiện", C93)),
       " GÓI " &amp; COUNTIF($C$13:C93, "*Kiện*") &amp; "/" &amp; COUNTIF($C$13:$C$1000, "*Kiện*") &amp; " " &amp; AA93,
       AA93)
)</f>
        <v/>
      </c>
      <c r="F93" s="206"/>
      <c r="G93" s="206"/>
      <c r="H93" s="206"/>
      <c r="I93" s="206"/>
      <c r="J93" s="206" t="str">
        <f t="shared" si="40"/>
        <v/>
      </c>
      <c r="K93" s="206" t="str">
        <f t="shared" si="28"/>
        <v/>
      </c>
      <c r="L93" s="206" t="str">
        <f t="shared" si="29"/>
        <v/>
      </c>
      <c r="M93" s="206" t="str">
        <f t="shared" si="30"/>
        <v/>
      </c>
      <c r="N93" s="206" t="str">
        <f t="shared" si="41"/>
        <v/>
      </c>
      <c r="O93" s="206" t="str">
        <f t="shared" si="31"/>
        <v/>
      </c>
      <c r="P93" s="165" t="str">
        <f t="shared" si="32"/>
        <v/>
      </c>
      <c r="Q93" s="207"/>
      <c r="R93" s="141" t="str">
        <f>IF(S93="IN",'BOM_Phan II'!$Y$3,"")</f>
        <v/>
      </c>
      <c r="S93" s="153" t="str">
        <f t="shared" si="33"/>
        <v/>
      </c>
      <c r="T93">
        <f t="shared" si="34"/>
        <v>6</v>
      </c>
      <c r="U93" s="208" t="str">
        <f t="shared" si="42"/>
        <v>KIỆN 9</v>
      </c>
      <c r="V93" s="208" t="str">
        <f t="shared" si="35"/>
        <v/>
      </c>
      <c r="W93" s="240"/>
      <c r="X93" s="240"/>
      <c r="Y93" s="240" t="str">
        <f t="shared" si="36"/>
        <v/>
      </c>
      <c r="Z93" s="240"/>
      <c r="AD93" s="232" t="str">
        <f t="shared" si="37"/>
        <v/>
      </c>
      <c r="AE93" s="204"/>
      <c r="AX93" s="3" t="str">
        <f t="shared" si="27"/>
        <v/>
      </c>
    </row>
    <row r="94" spans="1:50" s="155" customFormat="1" ht="30" hidden="1" customHeight="1">
      <c r="A94" s="141" t="str">
        <f t="shared" si="38"/>
        <v/>
      </c>
      <c r="B94" s="141" t="str">
        <f t="shared" si="39"/>
        <v/>
      </c>
      <c r="C94" s="205" t="str" cm="1">
        <f t="array" ref="C94">IF(D94="","",
    IF(AND(ISNUMBER(D94), D94=INT(D94)),
        $V$6 &amp; " " &amp; (IFERROR(MAX($Y$12:$Y93), 0) + 1),
        IF(ISNUMBER(SEARCH(".", D94)), "", INDEX($C$12:$C94, MATCH(2, 1/($C$12:$C94 &lt;&gt; ""))))
    )
)</f>
        <v/>
      </c>
      <c r="D94" s="206"/>
      <c r="E94" s="206" t="str">
        <f>IF(AA94 = "", "",
    IF(ISNUMBER(SEARCH("Kiện", C94)),
       " GÓI " &amp; COUNTIF($C$13:C94, "*Kiện*") &amp; "/" &amp; COUNTIF($C$13:$C$1000, "*Kiện*") &amp; " " &amp; AA94,
       AA94)
)</f>
        <v/>
      </c>
      <c r="F94" s="206"/>
      <c r="G94" s="206"/>
      <c r="H94" s="206"/>
      <c r="I94" s="206"/>
      <c r="J94" s="206" t="str">
        <f t="shared" si="40"/>
        <v/>
      </c>
      <c r="K94" s="206" t="str">
        <f t="shared" si="28"/>
        <v/>
      </c>
      <c r="L94" s="206" t="str">
        <f t="shared" si="29"/>
        <v/>
      </c>
      <c r="M94" s="206" t="str">
        <f t="shared" si="30"/>
        <v/>
      </c>
      <c r="N94" s="206" t="str">
        <f t="shared" si="41"/>
        <v/>
      </c>
      <c r="O94" s="206" t="str">
        <f t="shared" si="31"/>
        <v/>
      </c>
      <c r="P94" s="165" t="str">
        <f t="shared" si="32"/>
        <v/>
      </c>
      <c r="Q94" s="207"/>
      <c r="R94" s="141" t="str">
        <f>IF(S94="IN",'BOM_Phan II'!$Y$3,"")</f>
        <v/>
      </c>
      <c r="S94" s="153" t="str">
        <f t="shared" si="33"/>
        <v/>
      </c>
      <c r="T94">
        <f t="shared" si="34"/>
        <v>6</v>
      </c>
      <c r="U94" s="208" t="str">
        <f t="shared" si="42"/>
        <v>KIỆN 9</v>
      </c>
      <c r="V94" s="208" t="str">
        <f t="shared" si="35"/>
        <v/>
      </c>
      <c r="W94" s="240"/>
      <c r="X94" s="240"/>
      <c r="Y94" s="240" t="str">
        <f t="shared" si="36"/>
        <v/>
      </c>
      <c r="Z94" s="240"/>
      <c r="AD94" s="232" t="str">
        <f t="shared" si="37"/>
        <v/>
      </c>
      <c r="AE94" s="204"/>
      <c r="AX94" s="3" t="str">
        <f t="shared" si="27"/>
        <v/>
      </c>
    </row>
    <row r="95" spans="1:50" s="155" customFormat="1" ht="30" hidden="1" customHeight="1">
      <c r="A95" s="141" t="str">
        <f t="shared" si="38"/>
        <v/>
      </c>
      <c r="B95" s="141" t="str">
        <f t="shared" si="39"/>
        <v/>
      </c>
      <c r="C95" s="205" t="str" cm="1">
        <f t="array" ref="C95">IF(D95="","",
    IF(AND(ISNUMBER(D95), D95=INT(D95)),
        $V$6 &amp; " " &amp; (IFERROR(MAX($Y$12:$Y94), 0) + 1),
        IF(ISNUMBER(SEARCH(".", D95)), "", INDEX($C$12:$C95, MATCH(2, 1/($C$12:$C95 &lt;&gt; ""))))
    )
)</f>
        <v/>
      </c>
      <c r="D95" s="206"/>
      <c r="E95" s="206" t="str">
        <f>IF(AA95 = "", "",
    IF(ISNUMBER(SEARCH("Kiện", C95)),
       " GÓI " &amp; COUNTIF($C$13:C95, "*Kiện*") &amp; "/" &amp; COUNTIF($C$13:$C$1000, "*Kiện*") &amp; " " &amp; AA95,
       AA95)
)</f>
        <v/>
      </c>
      <c r="F95" s="206"/>
      <c r="G95" s="206"/>
      <c r="H95" s="206"/>
      <c r="I95" s="206"/>
      <c r="J95" s="206" t="str">
        <f t="shared" si="40"/>
        <v/>
      </c>
      <c r="K95" s="206" t="str">
        <f t="shared" si="28"/>
        <v/>
      </c>
      <c r="L95" s="206" t="str">
        <f t="shared" si="29"/>
        <v/>
      </c>
      <c r="M95" s="206" t="str">
        <f t="shared" si="30"/>
        <v/>
      </c>
      <c r="N95" s="206" t="str">
        <f t="shared" si="41"/>
        <v/>
      </c>
      <c r="O95" s="206" t="str">
        <f t="shared" si="31"/>
        <v/>
      </c>
      <c r="P95" s="165" t="str">
        <f t="shared" si="32"/>
        <v/>
      </c>
      <c r="Q95" s="207"/>
      <c r="R95" s="141" t="str">
        <f>IF(S95="IN",'BOM_Phan II'!$Y$3,"")</f>
        <v/>
      </c>
      <c r="S95" s="153" t="str">
        <f t="shared" si="33"/>
        <v/>
      </c>
      <c r="T95">
        <f t="shared" si="34"/>
        <v>6</v>
      </c>
      <c r="U95" s="208" t="str">
        <f t="shared" si="42"/>
        <v>KIỆN 9</v>
      </c>
      <c r="V95" s="208" t="str">
        <f t="shared" si="35"/>
        <v/>
      </c>
      <c r="W95" s="240"/>
      <c r="X95" s="240"/>
      <c r="Y95" s="240" t="str">
        <f t="shared" si="36"/>
        <v/>
      </c>
      <c r="Z95" s="240"/>
      <c r="AD95" s="232" t="str">
        <f t="shared" si="37"/>
        <v/>
      </c>
      <c r="AE95" s="204"/>
      <c r="AX95" s="3" t="str">
        <f t="shared" si="27"/>
        <v/>
      </c>
    </row>
    <row r="96" spans="1:50" s="155" customFormat="1" ht="30" hidden="1" customHeight="1">
      <c r="A96" s="141" t="str">
        <f t="shared" si="38"/>
        <v/>
      </c>
      <c r="B96" s="141" t="str">
        <f t="shared" si="39"/>
        <v/>
      </c>
      <c r="C96" s="205" t="str" cm="1">
        <f t="array" ref="C96">IF(D96="","",
    IF(AND(ISNUMBER(D96), D96=INT(D96)),
        $V$6 &amp; " " &amp; (IFERROR(MAX($Y$12:$Y95), 0) + 1),
        IF(ISNUMBER(SEARCH(".", D96)), "", INDEX($C$12:$C96, MATCH(2, 1/($C$12:$C96 &lt;&gt; ""))))
    )
)</f>
        <v/>
      </c>
      <c r="D96" s="206"/>
      <c r="E96" s="206" t="str">
        <f>IF(AA96 = "", "",
    IF(ISNUMBER(SEARCH("Kiện", C96)),
       " GÓI " &amp; COUNTIF($C$13:C96, "*Kiện*") &amp; "/" &amp; COUNTIF($C$13:$C$1000, "*Kiện*") &amp; " " &amp; AA96,
       AA96)
)</f>
        <v/>
      </c>
      <c r="F96" s="206"/>
      <c r="G96" s="206"/>
      <c r="H96" s="206"/>
      <c r="I96" s="206"/>
      <c r="J96" s="206" t="str">
        <f t="shared" si="40"/>
        <v/>
      </c>
      <c r="K96" s="206" t="str">
        <f t="shared" si="28"/>
        <v/>
      </c>
      <c r="L96" s="206" t="str">
        <f t="shared" si="29"/>
        <v/>
      </c>
      <c r="M96" s="206" t="str">
        <f t="shared" si="30"/>
        <v/>
      </c>
      <c r="N96" s="206" t="str">
        <f t="shared" si="41"/>
        <v/>
      </c>
      <c r="O96" s="206" t="str">
        <f t="shared" si="31"/>
        <v/>
      </c>
      <c r="P96" s="165" t="str">
        <f t="shared" si="32"/>
        <v/>
      </c>
      <c r="Q96" s="207"/>
      <c r="R96" s="141" t="str">
        <f>IF(S96="IN",'BOM_Phan II'!$Y$3,"")</f>
        <v/>
      </c>
      <c r="S96" s="153" t="str">
        <f t="shared" si="33"/>
        <v/>
      </c>
      <c r="T96">
        <f t="shared" si="34"/>
        <v>6</v>
      </c>
      <c r="U96" s="208" t="str">
        <f t="shared" si="42"/>
        <v>KIỆN 9</v>
      </c>
      <c r="V96" s="208" t="str">
        <f t="shared" si="35"/>
        <v/>
      </c>
      <c r="W96" s="240"/>
      <c r="X96" s="240"/>
      <c r="Y96" s="240" t="str">
        <f t="shared" si="36"/>
        <v/>
      </c>
      <c r="Z96" s="240"/>
      <c r="AD96" s="232" t="str">
        <f t="shared" si="37"/>
        <v/>
      </c>
      <c r="AE96" s="204"/>
      <c r="AX96" s="3" t="str">
        <f t="shared" si="27"/>
        <v/>
      </c>
    </row>
    <row r="97" spans="1:50" s="155" customFormat="1" ht="30" hidden="1" customHeight="1">
      <c r="A97" s="141" t="str">
        <f t="shared" si="38"/>
        <v/>
      </c>
      <c r="B97" s="141" t="str">
        <f t="shared" si="39"/>
        <v/>
      </c>
      <c r="C97" s="205" t="str" cm="1">
        <f t="array" ref="C97">IF(D97="","",
    IF(AND(ISNUMBER(D97), D97=INT(D97)),
        $V$6 &amp; " " &amp; (IFERROR(MAX($Y$12:$Y96), 0) + 1),
        IF(ISNUMBER(SEARCH(".", D97)), "", INDEX($C$12:$C97, MATCH(2, 1/($C$12:$C97 &lt;&gt; ""))))
    )
)</f>
        <v/>
      </c>
      <c r="D97" s="206"/>
      <c r="E97" s="206" t="str">
        <f>IF(AA97 = "", "",
    IF(ISNUMBER(SEARCH("Kiện", C97)),
       " GÓI " &amp; COUNTIF($C$13:C97, "*Kiện*") &amp; "/" &amp; COUNTIF($C$13:$C$1000, "*Kiện*") &amp; " " &amp; AA97,
       AA97)
)</f>
        <v/>
      </c>
      <c r="F97" s="206"/>
      <c r="G97" s="206"/>
      <c r="H97" s="206"/>
      <c r="I97" s="206"/>
      <c r="J97" s="206" t="str">
        <f t="shared" si="40"/>
        <v/>
      </c>
      <c r="K97" s="206" t="str">
        <f t="shared" si="28"/>
        <v/>
      </c>
      <c r="L97" s="206" t="str">
        <f t="shared" si="29"/>
        <v/>
      </c>
      <c r="M97" s="206" t="str">
        <f t="shared" si="30"/>
        <v/>
      </c>
      <c r="N97" s="206" t="str">
        <f t="shared" si="41"/>
        <v/>
      </c>
      <c r="O97" s="206" t="str">
        <f t="shared" si="31"/>
        <v/>
      </c>
      <c r="P97" s="165" t="str">
        <f t="shared" si="32"/>
        <v/>
      </c>
      <c r="Q97" s="207"/>
      <c r="R97" s="141" t="str">
        <f>IF(S97="IN",'BOM_Phan II'!$Y$3,"")</f>
        <v/>
      </c>
      <c r="S97" s="153" t="str">
        <f t="shared" si="33"/>
        <v/>
      </c>
      <c r="T97">
        <f t="shared" si="34"/>
        <v>6</v>
      </c>
      <c r="U97" s="208" t="str">
        <f t="shared" si="42"/>
        <v>KIỆN 9</v>
      </c>
      <c r="V97" s="208" t="str">
        <f t="shared" si="35"/>
        <v/>
      </c>
      <c r="W97" s="240"/>
      <c r="X97" s="240"/>
      <c r="Y97" s="240" t="str">
        <f t="shared" si="36"/>
        <v/>
      </c>
      <c r="Z97" s="240"/>
      <c r="AD97" s="232" t="str">
        <f t="shared" si="37"/>
        <v/>
      </c>
      <c r="AE97" s="204"/>
      <c r="AX97" s="3" t="str">
        <f t="shared" si="27"/>
        <v/>
      </c>
    </row>
    <row r="98" spans="1:50" s="155" customFormat="1" ht="30" hidden="1" customHeight="1">
      <c r="A98" s="141" t="str">
        <f t="shared" si="38"/>
        <v/>
      </c>
      <c r="B98" s="141" t="str">
        <f t="shared" si="39"/>
        <v/>
      </c>
      <c r="C98" s="205" t="str" cm="1">
        <f t="array" ref="C98">IF(D98="","",
    IF(AND(ISNUMBER(D98), D98=INT(D98)),
        $V$6 &amp; " " &amp; (IFERROR(MAX($Y$12:$Y97), 0) + 1),
        IF(ISNUMBER(SEARCH(".", D98)), "", INDEX($C$12:$C98, MATCH(2, 1/($C$12:$C98 &lt;&gt; ""))))
    )
)</f>
        <v/>
      </c>
      <c r="D98" s="206"/>
      <c r="E98" s="206" t="str">
        <f>IF(AA98 = "", "",
    IF(ISNUMBER(SEARCH("Kiện", C98)),
       " GÓI " &amp; COUNTIF($C$13:C98, "*Kiện*") &amp; "/" &amp; COUNTIF($C$13:$C$1000, "*Kiện*") &amp; " " &amp; AA98,
       AA98)
)</f>
        <v/>
      </c>
      <c r="F98" s="206"/>
      <c r="G98" s="206"/>
      <c r="H98" s="206"/>
      <c r="I98" s="206"/>
      <c r="J98" s="206" t="str">
        <f t="shared" si="40"/>
        <v/>
      </c>
      <c r="K98" s="206" t="str">
        <f t="shared" si="28"/>
        <v/>
      </c>
      <c r="L98" s="206" t="str">
        <f t="shared" si="29"/>
        <v/>
      </c>
      <c r="M98" s="206" t="str">
        <f t="shared" si="30"/>
        <v/>
      </c>
      <c r="N98" s="206" t="str">
        <f t="shared" si="41"/>
        <v/>
      </c>
      <c r="O98" s="206" t="str">
        <f t="shared" si="31"/>
        <v/>
      </c>
      <c r="P98" s="165" t="str">
        <f t="shared" si="32"/>
        <v/>
      </c>
      <c r="Q98" s="207"/>
      <c r="R98" s="141" t="str">
        <f>IF(S98="IN",'BOM_Phan II'!$Y$3,"")</f>
        <v/>
      </c>
      <c r="S98" s="153" t="str">
        <f t="shared" si="33"/>
        <v/>
      </c>
      <c r="T98">
        <f t="shared" si="34"/>
        <v>6</v>
      </c>
      <c r="U98" s="208" t="str">
        <f t="shared" si="42"/>
        <v>KIỆN 9</v>
      </c>
      <c r="V98" s="208" t="str">
        <f t="shared" si="35"/>
        <v/>
      </c>
      <c r="W98" s="240"/>
      <c r="X98" s="240"/>
      <c r="Y98" s="240" t="str">
        <f t="shared" si="36"/>
        <v/>
      </c>
      <c r="Z98" s="240"/>
      <c r="AD98" s="232" t="str">
        <f t="shared" si="37"/>
        <v/>
      </c>
      <c r="AE98" s="204"/>
      <c r="AX98" s="3" t="str">
        <f t="shared" si="27"/>
        <v/>
      </c>
    </row>
    <row r="99" spans="1:50" s="155" customFormat="1" ht="30" hidden="1" customHeight="1">
      <c r="A99" s="141" t="str">
        <f t="shared" si="38"/>
        <v/>
      </c>
      <c r="B99" s="141" t="str">
        <f t="shared" si="39"/>
        <v/>
      </c>
      <c r="C99" s="205" t="str" cm="1">
        <f t="array" ref="C99">IF(D99="","",
    IF(AND(ISNUMBER(D99), D99=INT(D99)),
        $V$6 &amp; " " &amp; (IFERROR(MAX($Y$12:$Y98), 0) + 1),
        IF(ISNUMBER(SEARCH(".", D99)), "", INDEX($C$12:$C99, MATCH(2, 1/($C$12:$C99 &lt;&gt; ""))))
    )
)</f>
        <v/>
      </c>
      <c r="D99" s="206"/>
      <c r="E99" s="206" t="str">
        <f>IF(AA99 = "", "",
    IF(ISNUMBER(SEARCH("Kiện", C99)),
       " GÓI " &amp; COUNTIF($C$13:C99, "*Kiện*") &amp; "/" &amp; COUNTIF($C$13:$C$1000, "*Kiện*") &amp; " " &amp; AA99,
       AA99)
)</f>
        <v/>
      </c>
      <c r="F99" s="206"/>
      <c r="G99" s="206"/>
      <c r="H99" s="206"/>
      <c r="I99" s="206"/>
      <c r="J99" s="206" t="str">
        <f t="shared" si="40"/>
        <v/>
      </c>
      <c r="K99" s="206" t="str">
        <f t="shared" si="28"/>
        <v/>
      </c>
      <c r="L99" s="206" t="str">
        <f t="shared" si="29"/>
        <v/>
      </c>
      <c r="M99" s="206" t="str">
        <f t="shared" si="30"/>
        <v/>
      </c>
      <c r="N99" s="206" t="str">
        <f t="shared" si="41"/>
        <v/>
      </c>
      <c r="O99" s="206" t="str">
        <f t="shared" si="31"/>
        <v/>
      </c>
      <c r="P99" s="165" t="str">
        <f t="shared" si="32"/>
        <v/>
      </c>
      <c r="Q99" s="207"/>
      <c r="R99" s="141" t="str">
        <f>IF(S99="IN",'BOM_Phan II'!$Y$3,"")</f>
        <v/>
      </c>
      <c r="S99" s="153" t="str">
        <f t="shared" si="33"/>
        <v/>
      </c>
      <c r="T99">
        <f t="shared" si="34"/>
        <v>6</v>
      </c>
      <c r="U99" s="208" t="str">
        <f t="shared" si="42"/>
        <v>KIỆN 9</v>
      </c>
      <c r="V99" s="208" t="str">
        <f t="shared" si="35"/>
        <v/>
      </c>
      <c r="W99" s="240"/>
      <c r="X99" s="240"/>
      <c r="Y99" s="240" t="str">
        <f t="shared" si="36"/>
        <v/>
      </c>
      <c r="Z99" s="240"/>
      <c r="AD99" s="232" t="str">
        <f t="shared" si="37"/>
        <v/>
      </c>
      <c r="AE99" s="204"/>
      <c r="AX99" s="3" t="str">
        <f t="shared" si="27"/>
        <v/>
      </c>
    </row>
    <row r="100" spans="1:50" s="155" customFormat="1" ht="30" hidden="1" customHeight="1">
      <c r="A100" s="141" t="str">
        <f t="shared" si="38"/>
        <v/>
      </c>
      <c r="B100" s="141" t="str">
        <f t="shared" si="39"/>
        <v/>
      </c>
      <c r="C100" s="205" t="str" cm="1">
        <f t="array" ref="C100">IF(D100="","",
    IF(AND(ISNUMBER(D100), D100=INT(D100)),
        $V$6 &amp; " " &amp; (IFERROR(MAX($Y$12:$Y99), 0) + 1),
        IF(ISNUMBER(SEARCH(".", D100)), "", INDEX($C$12:$C100, MATCH(2, 1/($C$12:$C100 &lt;&gt; ""))))
    )
)</f>
        <v/>
      </c>
      <c r="D100" s="206"/>
      <c r="E100" s="206" t="str">
        <f>IF(AA100 = "", "",
    IF(ISNUMBER(SEARCH("Kiện", C100)),
       " GÓI " &amp; COUNTIF($C$13:C100, "*Kiện*") &amp; "/" &amp; COUNTIF($C$13:$C$1000, "*Kiện*") &amp; " " &amp; AA100,
       AA100)
)</f>
        <v/>
      </c>
      <c r="F100" s="206"/>
      <c r="G100" s="206"/>
      <c r="H100" s="206"/>
      <c r="I100" s="206"/>
      <c r="J100" s="206" t="str">
        <f t="shared" si="40"/>
        <v/>
      </c>
      <c r="K100" s="206" t="str">
        <f t="shared" si="28"/>
        <v/>
      </c>
      <c r="L100" s="206" t="str">
        <f t="shared" si="29"/>
        <v/>
      </c>
      <c r="M100" s="206" t="str">
        <f t="shared" si="30"/>
        <v/>
      </c>
      <c r="N100" s="206" t="str">
        <f t="shared" si="41"/>
        <v/>
      </c>
      <c r="O100" s="206" t="str">
        <f t="shared" si="31"/>
        <v/>
      </c>
      <c r="P100" s="165" t="str">
        <f t="shared" si="32"/>
        <v/>
      </c>
      <c r="Q100" s="207"/>
      <c r="R100" s="141" t="str">
        <f>IF(S100="IN",'BOM_Phan II'!$Y$3,"")</f>
        <v/>
      </c>
      <c r="S100" s="153" t="str">
        <f t="shared" si="33"/>
        <v/>
      </c>
      <c r="T100">
        <f t="shared" si="34"/>
        <v>6</v>
      </c>
      <c r="U100" s="208" t="str">
        <f t="shared" si="42"/>
        <v>KIỆN 9</v>
      </c>
      <c r="V100" s="208" t="str">
        <f t="shared" si="35"/>
        <v/>
      </c>
      <c r="W100" s="240"/>
      <c r="X100" s="240"/>
      <c r="Y100" s="240" t="str">
        <f t="shared" si="36"/>
        <v/>
      </c>
      <c r="Z100" s="240"/>
      <c r="AD100" s="232" t="str">
        <f t="shared" si="37"/>
        <v/>
      </c>
      <c r="AE100" s="204"/>
      <c r="AX100" s="3" t="str">
        <f t="shared" si="27"/>
        <v/>
      </c>
    </row>
    <row r="101" spans="1:50" s="155" customFormat="1" ht="30" hidden="1" customHeight="1">
      <c r="A101" s="141" t="str">
        <f t="shared" si="38"/>
        <v/>
      </c>
      <c r="B101" s="141" t="str">
        <f t="shared" si="39"/>
        <v/>
      </c>
      <c r="C101" s="205" t="str" cm="1">
        <f t="array" ref="C101">IF(D101="","",
    IF(AND(ISNUMBER(D101), D101=INT(D101)),
        $V$6 &amp; " " &amp; (IFERROR(MAX($Y$12:$Y100), 0) + 1),
        IF(ISNUMBER(SEARCH(".", D101)), "", INDEX($C$12:$C101, MATCH(2, 1/($C$12:$C101 &lt;&gt; ""))))
    )
)</f>
        <v/>
      </c>
      <c r="D101" s="206"/>
      <c r="E101" s="206" t="str">
        <f>IF(AA101 = "", "",
    IF(ISNUMBER(SEARCH("Kiện", C101)),
       " GÓI " &amp; COUNTIF($C$13:C101, "*Kiện*") &amp; "/" &amp; COUNTIF($C$13:$C$1000, "*Kiện*") &amp; " " &amp; AA101,
       AA101)
)</f>
        <v/>
      </c>
      <c r="F101" s="206"/>
      <c r="G101" s="206"/>
      <c r="H101" s="206"/>
      <c r="I101" s="206"/>
      <c r="J101" s="206" t="str">
        <f t="shared" si="40"/>
        <v/>
      </c>
      <c r="K101" s="206" t="str">
        <f t="shared" si="28"/>
        <v/>
      </c>
      <c r="L101" s="206" t="str">
        <f t="shared" si="29"/>
        <v/>
      </c>
      <c r="M101" s="206" t="str">
        <f t="shared" si="30"/>
        <v/>
      </c>
      <c r="N101" s="206" t="str">
        <f t="shared" si="41"/>
        <v/>
      </c>
      <c r="O101" s="206" t="str">
        <f t="shared" si="31"/>
        <v/>
      </c>
      <c r="P101" s="165" t="str">
        <f t="shared" si="32"/>
        <v/>
      </c>
      <c r="Q101" s="207"/>
      <c r="R101" s="141" t="str">
        <f>IF(S101="IN",'BOM_Phan II'!$Y$3,"")</f>
        <v/>
      </c>
      <c r="S101" s="153" t="str">
        <f t="shared" si="33"/>
        <v/>
      </c>
      <c r="T101">
        <f t="shared" si="34"/>
        <v>6</v>
      </c>
      <c r="U101" s="208" t="str">
        <f t="shared" si="42"/>
        <v>KIỆN 9</v>
      </c>
      <c r="V101" s="208" t="str">
        <f t="shared" si="35"/>
        <v/>
      </c>
      <c r="W101" s="240"/>
      <c r="X101" s="240"/>
      <c r="Y101" s="240" t="str">
        <f t="shared" si="36"/>
        <v/>
      </c>
      <c r="Z101" s="240"/>
      <c r="AD101" s="232" t="str">
        <f t="shared" si="37"/>
        <v/>
      </c>
      <c r="AE101" s="204"/>
      <c r="AX101" s="3" t="str">
        <f t="shared" si="27"/>
        <v/>
      </c>
    </row>
    <row r="102" spans="1:50" s="155" customFormat="1" ht="30" hidden="1" customHeight="1">
      <c r="A102" s="141" t="str">
        <f t="shared" si="38"/>
        <v/>
      </c>
      <c r="B102" s="141" t="str">
        <f t="shared" si="39"/>
        <v/>
      </c>
      <c r="C102" s="205" t="str" cm="1">
        <f t="array" ref="C102">IF(D102="","",
    IF(AND(ISNUMBER(D102), D102=INT(D102)),
        $V$6 &amp; " " &amp; (IFERROR(MAX($Y$12:$Y101), 0) + 1),
        IF(ISNUMBER(SEARCH(".", D102)), "", INDEX($C$12:$C102, MATCH(2, 1/($C$12:$C102 &lt;&gt; ""))))
    )
)</f>
        <v/>
      </c>
      <c r="D102" s="206"/>
      <c r="E102" s="206" t="str">
        <f>IF(AA102 = "", "",
    IF(ISNUMBER(SEARCH("Kiện", C102)),
       " GÓI " &amp; COUNTIF($C$13:C102, "*Kiện*") &amp; "/" &amp; COUNTIF($C$13:$C$1000, "*Kiện*") &amp; " " &amp; AA102,
       AA102)
)</f>
        <v/>
      </c>
      <c r="F102" s="206"/>
      <c r="G102" s="206"/>
      <c r="H102" s="206"/>
      <c r="I102" s="206"/>
      <c r="J102" s="206" t="str">
        <f t="shared" si="40"/>
        <v/>
      </c>
      <c r="K102" s="206" t="str">
        <f t="shared" si="28"/>
        <v/>
      </c>
      <c r="L102" s="206" t="str">
        <f t="shared" si="29"/>
        <v/>
      </c>
      <c r="M102" s="206" t="str">
        <f t="shared" si="30"/>
        <v/>
      </c>
      <c r="N102" s="206" t="str">
        <f t="shared" si="41"/>
        <v/>
      </c>
      <c r="O102" s="206" t="str">
        <f t="shared" si="31"/>
        <v/>
      </c>
      <c r="P102" s="165" t="str">
        <f t="shared" si="32"/>
        <v/>
      </c>
      <c r="Q102" s="207"/>
      <c r="R102" s="141" t="str">
        <f>IF(S102="IN",'BOM_Phan II'!$Y$3,"")</f>
        <v/>
      </c>
      <c r="S102" s="153" t="str">
        <f t="shared" si="33"/>
        <v/>
      </c>
      <c r="T102">
        <f t="shared" si="34"/>
        <v>6</v>
      </c>
      <c r="U102" s="208" t="str">
        <f t="shared" si="42"/>
        <v>KIỆN 9</v>
      </c>
      <c r="V102" s="208" t="str">
        <f t="shared" si="35"/>
        <v/>
      </c>
      <c r="W102" s="240"/>
      <c r="X102" s="240"/>
      <c r="Y102" s="240" t="str">
        <f t="shared" si="36"/>
        <v/>
      </c>
      <c r="Z102" s="240"/>
      <c r="AD102" s="232" t="str">
        <f t="shared" si="37"/>
        <v/>
      </c>
      <c r="AE102" s="204"/>
      <c r="AX102" s="3" t="str">
        <f t="shared" si="27"/>
        <v/>
      </c>
    </row>
    <row r="103" spans="1:50" s="155" customFormat="1" ht="30" hidden="1" customHeight="1">
      <c r="A103" s="141" t="str">
        <f t="shared" si="38"/>
        <v/>
      </c>
      <c r="B103" s="141" t="str">
        <f t="shared" si="39"/>
        <v/>
      </c>
      <c r="C103" s="205" t="str" cm="1">
        <f t="array" ref="C103">IF(D103="","",
    IF(AND(ISNUMBER(D103), D103=INT(D103)),
        $V$6 &amp; " " &amp; (IFERROR(MAX($Y$12:$Y102), 0) + 1),
        IF(ISNUMBER(SEARCH(".", D103)), "", INDEX($C$12:$C103, MATCH(2, 1/($C$12:$C103 &lt;&gt; ""))))
    )
)</f>
        <v/>
      </c>
      <c r="D103" s="206"/>
      <c r="E103" s="206" t="str">
        <f>IF(AA103 = "", "",
    IF(ISNUMBER(SEARCH("Kiện", C103)),
       " GÓI " &amp; COUNTIF($C$13:C103, "*Kiện*") &amp; "/" &amp; COUNTIF($C$13:$C$1000, "*Kiện*") &amp; " " &amp; AA103,
       AA103)
)</f>
        <v/>
      </c>
      <c r="F103" s="206"/>
      <c r="G103" s="206"/>
      <c r="H103" s="206"/>
      <c r="I103" s="206"/>
      <c r="J103" s="206" t="str">
        <f t="shared" si="40"/>
        <v/>
      </c>
      <c r="K103" s="206" t="str">
        <f t="shared" si="28"/>
        <v/>
      </c>
      <c r="L103" s="206" t="str">
        <f t="shared" si="29"/>
        <v/>
      </c>
      <c r="M103" s="206" t="str">
        <f t="shared" si="30"/>
        <v/>
      </c>
      <c r="N103" s="206" t="str">
        <f t="shared" si="41"/>
        <v/>
      </c>
      <c r="O103" s="206" t="str">
        <f t="shared" si="31"/>
        <v/>
      </c>
      <c r="P103" s="165" t="str">
        <f t="shared" si="32"/>
        <v/>
      </c>
      <c r="Q103" s="207"/>
      <c r="R103" s="141" t="str">
        <f>IF(S103="IN",'BOM_Phan II'!$Y$3,"")</f>
        <v/>
      </c>
      <c r="S103" s="153" t="str">
        <f t="shared" si="33"/>
        <v/>
      </c>
      <c r="T103">
        <f t="shared" si="34"/>
        <v>6</v>
      </c>
      <c r="U103" s="208" t="str">
        <f t="shared" si="42"/>
        <v>KIỆN 9</v>
      </c>
      <c r="V103" s="208" t="str">
        <f t="shared" si="35"/>
        <v/>
      </c>
      <c r="W103" s="240"/>
      <c r="X103" s="240"/>
      <c r="Y103" s="240" t="str">
        <f t="shared" si="36"/>
        <v/>
      </c>
      <c r="Z103" s="240"/>
      <c r="AD103" s="232" t="str">
        <f t="shared" si="37"/>
        <v/>
      </c>
      <c r="AE103" s="204"/>
      <c r="AX103" s="3" t="str">
        <f t="shared" si="27"/>
        <v/>
      </c>
    </row>
    <row r="104" spans="1:50" s="155" customFormat="1" ht="30" hidden="1" customHeight="1">
      <c r="A104" s="141" t="str">
        <f t="shared" si="38"/>
        <v/>
      </c>
      <c r="B104" s="141" t="str">
        <f t="shared" si="39"/>
        <v/>
      </c>
      <c r="C104" s="205" t="str" cm="1">
        <f t="array" ref="C104">IF(D104="","",
    IF(AND(ISNUMBER(D104), D104=INT(D104)),
        $V$6 &amp; " " &amp; (IFERROR(MAX($Y$12:$Y103), 0) + 1),
        IF(ISNUMBER(SEARCH(".", D104)), "", INDEX($C$12:$C104, MATCH(2, 1/($C$12:$C104 &lt;&gt; ""))))
    )
)</f>
        <v/>
      </c>
      <c r="D104" s="206"/>
      <c r="E104" s="206" t="str">
        <f>IF(AA104 = "", "",
    IF(ISNUMBER(SEARCH("Kiện", C104)),
       " GÓI " &amp; COUNTIF($C$13:C104, "*Kiện*") &amp; "/" &amp; COUNTIF($C$13:$C$1000, "*Kiện*") &amp; " " &amp; AA104,
       AA104)
)</f>
        <v/>
      </c>
      <c r="F104" s="206"/>
      <c r="G104" s="206"/>
      <c r="H104" s="206"/>
      <c r="I104" s="206"/>
      <c r="J104" s="206" t="str">
        <f t="shared" si="40"/>
        <v/>
      </c>
      <c r="K104" s="206" t="str">
        <f t="shared" si="28"/>
        <v/>
      </c>
      <c r="L104" s="206" t="str">
        <f t="shared" si="29"/>
        <v/>
      </c>
      <c r="M104" s="206" t="str">
        <f t="shared" si="30"/>
        <v/>
      </c>
      <c r="N104" s="206" t="str">
        <f t="shared" si="41"/>
        <v/>
      </c>
      <c r="O104" s="206" t="str">
        <f t="shared" si="31"/>
        <v/>
      </c>
      <c r="P104" s="165" t="str">
        <f t="shared" si="32"/>
        <v/>
      </c>
      <c r="Q104" s="207"/>
      <c r="R104" s="141" t="str">
        <f>IF(S104="IN",'BOM_Phan II'!$Y$3,"")</f>
        <v/>
      </c>
      <c r="S104" s="153" t="str">
        <f t="shared" si="33"/>
        <v/>
      </c>
      <c r="T104">
        <f t="shared" si="34"/>
        <v>6</v>
      </c>
      <c r="U104" s="208" t="str">
        <f t="shared" si="42"/>
        <v>KIỆN 9</v>
      </c>
      <c r="V104" s="208" t="str">
        <f t="shared" si="35"/>
        <v/>
      </c>
      <c r="W104" s="240"/>
      <c r="X104" s="240"/>
      <c r="Y104" s="240" t="str">
        <f t="shared" si="36"/>
        <v/>
      </c>
      <c r="Z104" s="240"/>
      <c r="AD104" s="232" t="str">
        <f t="shared" si="37"/>
        <v/>
      </c>
      <c r="AE104" s="204"/>
      <c r="AX104" s="3" t="str">
        <f t="shared" si="27"/>
        <v/>
      </c>
    </row>
    <row r="105" spans="1:50" s="155" customFormat="1" ht="30" hidden="1" customHeight="1">
      <c r="A105" s="141" t="str">
        <f t="shared" si="38"/>
        <v/>
      </c>
      <c r="B105" s="141" t="str">
        <f t="shared" si="39"/>
        <v/>
      </c>
      <c r="C105" s="205" t="str" cm="1">
        <f t="array" ref="C105">IF(D105="","",
    IF(AND(ISNUMBER(D105), D105=INT(D105)),
        $V$6 &amp; " " &amp; (IFERROR(MAX($Y$12:$Y104), 0) + 1),
        IF(ISNUMBER(SEARCH(".", D105)), "", INDEX($C$12:$C105, MATCH(2, 1/($C$12:$C105 &lt;&gt; ""))))
    )
)</f>
        <v/>
      </c>
      <c r="D105" s="206"/>
      <c r="E105" s="206" t="str">
        <f>IF(AA105 = "", "",
    IF(ISNUMBER(SEARCH("Kiện", C105)),
       " GÓI " &amp; COUNTIF($C$13:C105, "*Kiện*") &amp; "/" &amp; COUNTIF($C$13:$C$1000, "*Kiện*") &amp; " " &amp; AA105,
       AA105)
)</f>
        <v/>
      </c>
      <c r="F105" s="206"/>
      <c r="G105" s="206"/>
      <c r="H105" s="206"/>
      <c r="I105" s="206"/>
      <c r="J105" s="206" t="str">
        <f t="shared" si="40"/>
        <v/>
      </c>
      <c r="K105" s="206" t="str">
        <f t="shared" si="28"/>
        <v/>
      </c>
      <c r="L105" s="206" t="str">
        <f t="shared" si="29"/>
        <v/>
      </c>
      <c r="M105" s="206" t="str">
        <f t="shared" si="30"/>
        <v/>
      </c>
      <c r="N105" s="206" t="str">
        <f t="shared" si="41"/>
        <v/>
      </c>
      <c r="O105" s="206" t="str">
        <f t="shared" si="31"/>
        <v/>
      </c>
      <c r="P105" s="165" t="str">
        <f t="shared" si="32"/>
        <v/>
      </c>
      <c r="Q105" s="207"/>
      <c r="R105" s="141" t="str">
        <f>IF(S105="IN",'BOM_Phan II'!$Y$3,"")</f>
        <v/>
      </c>
      <c r="S105" s="153" t="str">
        <f t="shared" si="33"/>
        <v/>
      </c>
      <c r="T105">
        <f t="shared" si="34"/>
        <v>6</v>
      </c>
      <c r="U105" s="208" t="str">
        <f t="shared" si="42"/>
        <v>KIỆN 9</v>
      </c>
      <c r="V105" s="208" t="str">
        <f t="shared" si="35"/>
        <v/>
      </c>
      <c r="W105" s="240"/>
      <c r="X105" s="240"/>
      <c r="Y105" s="240" t="str">
        <f t="shared" si="36"/>
        <v/>
      </c>
      <c r="Z105" s="240"/>
      <c r="AD105" s="232" t="str">
        <f t="shared" si="37"/>
        <v/>
      </c>
      <c r="AE105" s="204"/>
      <c r="AX105" s="3" t="str">
        <f t="shared" si="27"/>
        <v/>
      </c>
    </row>
    <row r="106" spans="1:50" s="155" customFormat="1" ht="30" hidden="1" customHeight="1">
      <c r="A106" s="141" t="str">
        <f t="shared" si="38"/>
        <v/>
      </c>
      <c r="B106" s="141" t="str">
        <f t="shared" si="39"/>
        <v/>
      </c>
      <c r="C106" s="205" t="str" cm="1">
        <f t="array" ref="C106">IF(D106="","",
    IF(AND(ISNUMBER(D106), D106=INT(D106)),
        $V$6 &amp; " " &amp; (IFERROR(MAX($Y$12:$Y105), 0) + 1),
        IF(ISNUMBER(SEARCH(".", D106)), "", INDEX($C$12:$C106, MATCH(2, 1/($C$12:$C106 &lt;&gt; ""))))
    )
)</f>
        <v/>
      </c>
      <c r="D106" s="206"/>
      <c r="E106" s="206" t="str">
        <f>IF(AA106 = "", "",
    IF(ISNUMBER(SEARCH("Kiện", C106)),
       " GÓI " &amp; COUNTIF($C$13:C106, "*Kiện*") &amp; "/" &amp; COUNTIF($C$13:$C$1000, "*Kiện*") &amp; " " &amp; AA106,
       AA106)
)</f>
        <v/>
      </c>
      <c r="F106" s="206"/>
      <c r="G106" s="206"/>
      <c r="H106" s="206"/>
      <c r="I106" s="206"/>
      <c r="J106" s="206" t="str">
        <f t="shared" si="40"/>
        <v/>
      </c>
      <c r="K106" s="206" t="str">
        <f t="shared" si="28"/>
        <v/>
      </c>
      <c r="L106" s="206" t="str">
        <f t="shared" si="29"/>
        <v/>
      </c>
      <c r="M106" s="206" t="str">
        <f t="shared" si="30"/>
        <v/>
      </c>
      <c r="N106" s="206" t="str">
        <f t="shared" si="41"/>
        <v/>
      </c>
      <c r="O106" s="206" t="str">
        <f t="shared" si="31"/>
        <v/>
      </c>
      <c r="P106" s="165" t="str">
        <f t="shared" si="32"/>
        <v/>
      </c>
      <c r="Q106" s="207"/>
      <c r="R106" s="141" t="str">
        <f>IF(S106="IN",'BOM_Phan II'!$Y$3,"")</f>
        <v/>
      </c>
      <c r="S106" s="153" t="str">
        <f t="shared" si="33"/>
        <v/>
      </c>
      <c r="T106">
        <f t="shared" si="34"/>
        <v>6</v>
      </c>
      <c r="U106" s="208" t="str">
        <f t="shared" si="42"/>
        <v>KIỆN 9</v>
      </c>
      <c r="V106" s="208" t="str">
        <f t="shared" si="35"/>
        <v/>
      </c>
      <c r="W106" s="240"/>
      <c r="X106" s="240"/>
      <c r="Y106" s="240" t="str">
        <f t="shared" si="36"/>
        <v/>
      </c>
      <c r="Z106" s="240"/>
      <c r="AD106" s="232" t="str">
        <f t="shared" si="37"/>
        <v/>
      </c>
      <c r="AE106" s="204"/>
      <c r="AX106" s="3" t="str">
        <f t="shared" si="27"/>
        <v/>
      </c>
    </row>
    <row r="107" spans="1:50" s="155" customFormat="1" ht="30" hidden="1" customHeight="1">
      <c r="A107" s="141" t="str">
        <f t="shared" si="38"/>
        <v/>
      </c>
      <c r="B107" s="141" t="str">
        <f t="shared" si="39"/>
        <v/>
      </c>
      <c r="C107" s="205" t="str" cm="1">
        <f t="array" ref="C107">IF(D107="","",
    IF(AND(ISNUMBER(D107), D107=INT(D107)),
        $V$6 &amp; " " &amp; (IFERROR(MAX($Y$12:$Y106), 0) + 1),
        IF(ISNUMBER(SEARCH(".", D107)), "", INDEX($C$12:$C107, MATCH(2, 1/($C$12:$C107 &lt;&gt; ""))))
    )
)</f>
        <v/>
      </c>
      <c r="D107" s="206"/>
      <c r="E107" s="206" t="str">
        <f>IF(AA107 = "", "",
    IF(ISNUMBER(SEARCH("Kiện", C107)),
       " GÓI " &amp; COUNTIF($C$13:C107, "*Kiện*") &amp; "/" &amp; COUNTIF($C$13:$C$1000, "*Kiện*") &amp; " " &amp; AA107,
       AA107)
)</f>
        <v/>
      </c>
      <c r="F107" s="206"/>
      <c r="G107" s="206"/>
      <c r="H107" s="206"/>
      <c r="I107" s="206"/>
      <c r="J107" s="206" t="str">
        <f t="shared" si="40"/>
        <v/>
      </c>
      <c r="K107" s="206" t="str">
        <f t="shared" si="28"/>
        <v/>
      </c>
      <c r="L107" s="206" t="str">
        <f t="shared" si="29"/>
        <v/>
      </c>
      <c r="M107" s="206" t="str">
        <f t="shared" si="30"/>
        <v/>
      </c>
      <c r="N107" s="206" t="str">
        <f t="shared" si="41"/>
        <v/>
      </c>
      <c r="O107" s="206" t="str">
        <f t="shared" si="31"/>
        <v/>
      </c>
      <c r="P107" s="165" t="str">
        <f t="shared" si="32"/>
        <v/>
      </c>
      <c r="Q107" s="207"/>
      <c r="R107" s="141" t="str">
        <f>IF(S107="IN",'BOM_Phan II'!$Y$3,"")</f>
        <v/>
      </c>
      <c r="S107" s="153" t="str">
        <f t="shared" si="33"/>
        <v/>
      </c>
      <c r="T107">
        <f t="shared" si="34"/>
        <v>6</v>
      </c>
      <c r="U107" s="208" t="str">
        <f t="shared" si="42"/>
        <v>KIỆN 9</v>
      </c>
      <c r="V107" s="208" t="str">
        <f t="shared" si="35"/>
        <v/>
      </c>
      <c r="W107" s="240"/>
      <c r="X107" s="240"/>
      <c r="Y107" s="240" t="str">
        <f t="shared" si="36"/>
        <v/>
      </c>
      <c r="Z107" s="240"/>
      <c r="AD107" s="232" t="str">
        <f t="shared" si="37"/>
        <v/>
      </c>
      <c r="AE107" s="204"/>
      <c r="AX107" s="3" t="str">
        <f t="shared" si="27"/>
        <v/>
      </c>
    </row>
    <row r="108" spans="1:50" s="155" customFormat="1" ht="30" hidden="1" customHeight="1">
      <c r="A108" s="141" t="str">
        <f t="shared" si="38"/>
        <v/>
      </c>
      <c r="B108" s="141" t="str">
        <f t="shared" si="39"/>
        <v/>
      </c>
      <c r="C108" s="205" t="str" cm="1">
        <f t="array" ref="C108">IF(D108="","",
    IF(AND(ISNUMBER(D108), D108=INT(D108)),
        $V$6 &amp; " " &amp; (IFERROR(MAX($Y$12:$Y107), 0) + 1),
        IF(ISNUMBER(SEARCH(".", D108)), "", INDEX($C$12:$C108, MATCH(2, 1/($C$12:$C108 &lt;&gt; ""))))
    )
)</f>
        <v/>
      </c>
      <c r="D108" s="206"/>
      <c r="E108" s="206" t="str">
        <f>IF(AA108 = "", "",
    IF(ISNUMBER(SEARCH("Kiện", C108)),
       " GÓI " &amp; COUNTIF($C$13:C108, "*Kiện*") &amp; "/" &amp; COUNTIF($C$13:$C$1000, "*Kiện*") &amp; " " &amp; AA108,
       AA108)
)</f>
        <v/>
      </c>
      <c r="F108" s="206"/>
      <c r="G108" s="206"/>
      <c r="H108" s="206"/>
      <c r="I108" s="206"/>
      <c r="J108" s="206" t="str">
        <f t="shared" si="40"/>
        <v/>
      </c>
      <c r="K108" s="206" t="str">
        <f t="shared" si="28"/>
        <v/>
      </c>
      <c r="L108" s="206" t="str">
        <f t="shared" si="29"/>
        <v/>
      </c>
      <c r="M108" s="206" t="str">
        <f t="shared" si="30"/>
        <v/>
      </c>
      <c r="N108" s="206" t="str">
        <f t="shared" si="41"/>
        <v/>
      </c>
      <c r="O108" s="206" t="str">
        <f t="shared" si="31"/>
        <v/>
      </c>
      <c r="P108" s="165" t="str">
        <f t="shared" si="32"/>
        <v/>
      </c>
      <c r="Q108" s="207"/>
      <c r="R108" s="141" t="str">
        <f>IF(S108="IN",'BOM_Phan II'!$Y$3,"")</f>
        <v/>
      </c>
      <c r="S108" s="153" t="str">
        <f t="shared" si="33"/>
        <v/>
      </c>
      <c r="T108">
        <f t="shared" si="34"/>
        <v>6</v>
      </c>
      <c r="U108" s="208" t="str">
        <f t="shared" si="42"/>
        <v>KIỆN 9</v>
      </c>
      <c r="V108" s="208" t="str">
        <f t="shared" si="35"/>
        <v/>
      </c>
      <c r="W108" s="240"/>
      <c r="X108" s="240"/>
      <c r="Y108" s="240" t="str">
        <f t="shared" si="36"/>
        <v/>
      </c>
      <c r="Z108" s="240"/>
      <c r="AD108" s="232" t="str">
        <f t="shared" si="37"/>
        <v/>
      </c>
      <c r="AE108" s="204"/>
      <c r="AX108" s="3" t="str">
        <f t="shared" si="27"/>
        <v/>
      </c>
    </row>
    <row r="109" spans="1:50" s="155" customFormat="1" ht="30" hidden="1" customHeight="1">
      <c r="A109" s="141" t="str">
        <f t="shared" si="38"/>
        <v/>
      </c>
      <c r="B109" s="141" t="str">
        <f t="shared" si="39"/>
        <v/>
      </c>
      <c r="C109" s="205" t="str" cm="1">
        <f t="array" ref="C109">IF(D109="","",
    IF(AND(ISNUMBER(D109), D109=INT(D109)),
        $V$6 &amp; " " &amp; (IFERROR(MAX($Y$12:$Y108), 0) + 1),
        IF(ISNUMBER(SEARCH(".", D109)), "", INDEX($C$12:$C109, MATCH(2, 1/($C$12:$C109 &lt;&gt; ""))))
    )
)</f>
        <v/>
      </c>
      <c r="D109" s="206"/>
      <c r="E109" s="206" t="str">
        <f>IF(AA109 = "", "",
    IF(ISNUMBER(SEARCH("Kiện", C109)),
       " GÓI " &amp; COUNTIF($C$13:C109, "*Kiện*") &amp; "/" &amp; COUNTIF($C$13:$C$1000, "*Kiện*") &amp; " " &amp; AA109,
       AA109)
)</f>
        <v/>
      </c>
      <c r="F109" s="206"/>
      <c r="G109" s="206"/>
      <c r="H109" s="206"/>
      <c r="I109" s="206"/>
      <c r="J109" s="206" t="str">
        <f t="shared" si="40"/>
        <v/>
      </c>
      <c r="K109" s="206" t="str">
        <f t="shared" si="28"/>
        <v/>
      </c>
      <c r="L109" s="206" t="str">
        <f t="shared" si="29"/>
        <v/>
      </c>
      <c r="M109" s="206" t="str">
        <f t="shared" si="30"/>
        <v/>
      </c>
      <c r="N109" s="206" t="str">
        <f t="shared" si="41"/>
        <v/>
      </c>
      <c r="O109" s="206" t="str">
        <f t="shared" si="31"/>
        <v/>
      </c>
      <c r="P109" s="165" t="str">
        <f t="shared" si="32"/>
        <v/>
      </c>
      <c r="Q109" s="207"/>
      <c r="R109" s="141" t="str">
        <f>IF(S109="IN",'BOM_Phan II'!$Y$3,"")</f>
        <v/>
      </c>
      <c r="S109" s="153" t="str">
        <f t="shared" si="33"/>
        <v/>
      </c>
      <c r="T109">
        <f t="shared" si="34"/>
        <v>6</v>
      </c>
      <c r="U109" s="208" t="str">
        <f t="shared" si="42"/>
        <v>KIỆN 9</v>
      </c>
      <c r="V109" s="208" t="str">
        <f t="shared" si="35"/>
        <v/>
      </c>
      <c r="W109" s="240"/>
      <c r="X109" s="240"/>
      <c r="Y109" s="240" t="str">
        <f t="shared" si="36"/>
        <v/>
      </c>
      <c r="Z109" s="240"/>
      <c r="AD109" s="232" t="str">
        <f t="shared" si="37"/>
        <v/>
      </c>
      <c r="AE109" s="204"/>
      <c r="AX109" s="3" t="str">
        <f t="shared" si="27"/>
        <v/>
      </c>
    </row>
    <row r="110" spans="1:50" s="155" customFormat="1" ht="30" hidden="1" customHeight="1">
      <c r="A110" s="141" t="str">
        <f t="shared" si="38"/>
        <v/>
      </c>
      <c r="B110" s="141" t="str">
        <f t="shared" si="39"/>
        <v/>
      </c>
      <c r="C110" s="205" t="str" cm="1">
        <f t="array" ref="C110">IF(D110="","",
    IF(AND(ISNUMBER(D110), D110=INT(D110)),
        $V$6 &amp; " " &amp; (IFERROR(MAX($Y$12:$Y109), 0) + 1),
        IF(ISNUMBER(SEARCH(".", D110)), "", INDEX($C$12:$C110, MATCH(2, 1/($C$12:$C110 &lt;&gt; ""))))
    )
)</f>
        <v/>
      </c>
      <c r="D110" s="206"/>
      <c r="E110" s="206" t="str">
        <f>IF(AA110 = "", "",
    IF(ISNUMBER(SEARCH("Kiện", C110)),
       " GÓI " &amp; COUNTIF($C$13:C110, "*Kiện*") &amp; "/" &amp; COUNTIF($C$13:$C$1000, "*Kiện*") &amp; " " &amp; AA110,
       AA110)
)</f>
        <v/>
      </c>
      <c r="F110" s="206"/>
      <c r="G110" s="206"/>
      <c r="H110" s="206"/>
      <c r="I110" s="206"/>
      <c r="J110" s="206" t="str">
        <f t="shared" si="40"/>
        <v/>
      </c>
      <c r="K110" s="206" t="str">
        <f t="shared" si="28"/>
        <v/>
      </c>
      <c r="L110" s="206" t="str">
        <f t="shared" si="29"/>
        <v/>
      </c>
      <c r="M110" s="206" t="str">
        <f t="shared" si="30"/>
        <v/>
      </c>
      <c r="N110" s="206" t="str">
        <f t="shared" si="41"/>
        <v/>
      </c>
      <c r="O110" s="206" t="str">
        <f t="shared" si="31"/>
        <v/>
      </c>
      <c r="P110" s="165" t="str">
        <f t="shared" si="32"/>
        <v/>
      </c>
      <c r="Q110" s="207"/>
      <c r="R110" s="141" t="str">
        <f>IF(S110="IN",'BOM_Phan II'!$Y$3,"")</f>
        <v/>
      </c>
      <c r="S110" s="153" t="str">
        <f t="shared" si="33"/>
        <v/>
      </c>
      <c r="T110">
        <f t="shared" si="34"/>
        <v>6</v>
      </c>
      <c r="U110" s="208" t="str">
        <f t="shared" si="42"/>
        <v>KIỆN 9</v>
      </c>
      <c r="V110" s="208" t="str">
        <f t="shared" si="35"/>
        <v/>
      </c>
      <c r="W110" s="240"/>
      <c r="X110" s="240"/>
      <c r="Y110" s="240" t="str">
        <f t="shared" si="36"/>
        <v/>
      </c>
      <c r="Z110" s="240"/>
      <c r="AD110" s="232" t="str">
        <f t="shared" si="37"/>
        <v/>
      </c>
      <c r="AE110" s="204"/>
      <c r="AX110" s="3" t="str">
        <f t="shared" si="27"/>
        <v/>
      </c>
    </row>
    <row r="111" spans="1:50" s="155" customFormat="1" ht="30" hidden="1" customHeight="1">
      <c r="A111" s="141" t="str">
        <f t="shared" si="38"/>
        <v/>
      </c>
      <c r="B111" s="141" t="str">
        <f t="shared" si="39"/>
        <v/>
      </c>
      <c r="C111" s="205" t="str" cm="1">
        <f t="array" ref="C111">IF(D111="","",
    IF(AND(ISNUMBER(D111), D111=INT(D111)),
        $V$6 &amp; " " &amp; (IFERROR(MAX($Y$12:$Y110), 0) + 1),
        IF(ISNUMBER(SEARCH(".", D111)), "", INDEX($C$12:$C111, MATCH(2, 1/($C$12:$C111 &lt;&gt; ""))))
    )
)</f>
        <v/>
      </c>
      <c r="D111" s="206"/>
      <c r="E111" s="206" t="str">
        <f>IF(AA111 = "", "",
    IF(ISNUMBER(SEARCH("Kiện", C111)),
       " GÓI " &amp; COUNTIF($C$13:C111, "*Kiện*") &amp; "/" &amp; COUNTIF($C$13:$C$1000, "*Kiện*") &amp; " " &amp; AA111,
       AA111)
)</f>
        <v/>
      </c>
      <c r="F111" s="206"/>
      <c r="G111" s="206"/>
      <c r="H111" s="206"/>
      <c r="I111" s="206"/>
      <c r="J111" s="206" t="str">
        <f t="shared" si="40"/>
        <v/>
      </c>
      <c r="K111" s="206" t="str">
        <f t="shared" si="28"/>
        <v/>
      </c>
      <c r="L111" s="206" t="str">
        <f t="shared" si="29"/>
        <v/>
      </c>
      <c r="M111" s="206" t="str">
        <f t="shared" si="30"/>
        <v/>
      </c>
      <c r="N111" s="206" t="str">
        <f t="shared" si="41"/>
        <v/>
      </c>
      <c r="O111" s="206" t="str">
        <f t="shared" si="31"/>
        <v/>
      </c>
      <c r="P111" s="165" t="str">
        <f t="shared" si="32"/>
        <v/>
      </c>
      <c r="Q111" s="207"/>
      <c r="R111" s="141" t="str">
        <f>IF(S111="IN",'BOM_Phan II'!$Y$3,"")</f>
        <v/>
      </c>
      <c r="S111" s="153" t="str">
        <f t="shared" si="33"/>
        <v/>
      </c>
      <c r="T111">
        <f t="shared" si="34"/>
        <v>6</v>
      </c>
      <c r="U111" s="208" t="str">
        <f t="shared" si="42"/>
        <v>KIỆN 9</v>
      </c>
      <c r="V111" s="208" t="str">
        <f t="shared" si="35"/>
        <v/>
      </c>
      <c r="W111" s="240"/>
      <c r="X111" s="240"/>
      <c r="Y111" s="240" t="str">
        <f t="shared" si="36"/>
        <v/>
      </c>
      <c r="Z111" s="240"/>
      <c r="AD111" s="232" t="str">
        <f t="shared" si="37"/>
        <v/>
      </c>
      <c r="AE111" s="204"/>
      <c r="AX111" s="3" t="str">
        <f t="shared" si="27"/>
        <v/>
      </c>
    </row>
    <row r="112" spans="1:50" s="155" customFormat="1" ht="30" hidden="1" customHeight="1">
      <c r="A112" s="141" t="str">
        <f t="shared" si="38"/>
        <v/>
      </c>
      <c r="B112" s="141" t="str">
        <f t="shared" si="39"/>
        <v/>
      </c>
      <c r="C112" s="205" t="str" cm="1">
        <f t="array" ref="C112">IF(D112="","",
    IF(AND(ISNUMBER(D112), D112=INT(D112)),
        $V$6 &amp; " " &amp; (IFERROR(MAX($Y$12:$Y111), 0) + 1),
        IF(ISNUMBER(SEARCH(".", D112)), "", INDEX($C$12:$C112, MATCH(2, 1/($C$12:$C112 &lt;&gt; ""))))
    )
)</f>
        <v/>
      </c>
      <c r="D112" s="206"/>
      <c r="E112" s="206" t="str">
        <f>IF(AA112 = "", "",
    IF(ISNUMBER(SEARCH("Kiện", C112)),
       " GÓI " &amp; COUNTIF($C$13:C112, "*Kiện*") &amp; "/" &amp; COUNTIF($C$13:$C$1000, "*Kiện*") &amp; " " &amp; AA112,
       AA112)
)</f>
        <v/>
      </c>
      <c r="F112" s="206"/>
      <c r="G112" s="206"/>
      <c r="H112" s="206"/>
      <c r="I112" s="206"/>
      <c r="J112" s="206" t="str">
        <f t="shared" si="40"/>
        <v/>
      </c>
      <c r="K112" s="206" t="str">
        <f t="shared" si="28"/>
        <v/>
      </c>
      <c r="L112" s="206" t="str">
        <f t="shared" si="29"/>
        <v/>
      </c>
      <c r="M112" s="206" t="str">
        <f t="shared" si="30"/>
        <v/>
      </c>
      <c r="N112" s="206" t="str">
        <f t="shared" si="41"/>
        <v/>
      </c>
      <c r="O112" s="206" t="str">
        <f t="shared" si="31"/>
        <v/>
      </c>
      <c r="P112" s="165" t="str">
        <f t="shared" si="32"/>
        <v/>
      </c>
      <c r="Q112" s="207"/>
      <c r="R112" s="141" t="str">
        <f>IF(S112="IN",'BOM_Phan II'!$Y$3,"")</f>
        <v/>
      </c>
      <c r="S112" s="153" t="str">
        <f t="shared" si="33"/>
        <v/>
      </c>
      <c r="T112">
        <f t="shared" si="34"/>
        <v>6</v>
      </c>
      <c r="U112" s="208" t="str">
        <f t="shared" si="42"/>
        <v>KIỆN 9</v>
      </c>
      <c r="V112" s="208" t="str">
        <f t="shared" si="35"/>
        <v/>
      </c>
      <c r="W112" s="240"/>
      <c r="X112" s="240"/>
      <c r="Y112" s="240" t="str">
        <f t="shared" si="36"/>
        <v/>
      </c>
      <c r="Z112" s="240"/>
      <c r="AD112" s="232" t="str">
        <f t="shared" si="37"/>
        <v/>
      </c>
      <c r="AE112" s="204"/>
      <c r="AX112" s="3" t="str">
        <f t="shared" si="27"/>
        <v/>
      </c>
    </row>
    <row r="113" spans="1:50" s="155" customFormat="1" ht="30" hidden="1" customHeight="1">
      <c r="A113" s="141" t="str">
        <f t="shared" si="38"/>
        <v/>
      </c>
      <c r="B113" s="141" t="str">
        <f t="shared" si="39"/>
        <v/>
      </c>
      <c r="C113" s="205" t="str" cm="1">
        <f t="array" ref="C113">IF(D113="","",
    IF(AND(ISNUMBER(D113), D113=INT(D113)),
        $V$6 &amp; " " &amp; (IFERROR(MAX($Y$12:$Y112), 0) + 1),
        IF(ISNUMBER(SEARCH(".", D113)), "", INDEX($C$12:$C113, MATCH(2, 1/($C$12:$C113 &lt;&gt; ""))))
    )
)</f>
        <v/>
      </c>
      <c r="D113" s="206"/>
      <c r="E113" s="206" t="str">
        <f>IF(AA113 = "", "",
    IF(ISNUMBER(SEARCH("Kiện", C113)),
       " GÓI " &amp; COUNTIF($C$13:C113, "*Kiện*") &amp; "/" &amp; COUNTIF($C$13:$C$1000, "*Kiện*") &amp; " " &amp; AA113,
       AA113)
)</f>
        <v/>
      </c>
      <c r="F113" s="206"/>
      <c r="G113" s="206"/>
      <c r="H113" s="206"/>
      <c r="I113" s="206"/>
      <c r="J113" s="206" t="str">
        <f t="shared" si="40"/>
        <v/>
      </c>
      <c r="K113" s="206" t="str">
        <f t="shared" si="28"/>
        <v/>
      </c>
      <c r="L113" s="206" t="str">
        <f t="shared" si="29"/>
        <v/>
      </c>
      <c r="M113" s="206" t="str">
        <f t="shared" si="30"/>
        <v/>
      </c>
      <c r="N113" s="206" t="str">
        <f t="shared" si="41"/>
        <v/>
      </c>
      <c r="O113" s="206" t="str">
        <f t="shared" si="31"/>
        <v/>
      </c>
      <c r="P113" s="165" t="str">
        <f t="shared" si="32"/>
        <v/>
      </c>
      <c r="Q113" s="207"/>
      <c r="R113" s="141" t="str">
        <f>IF(S113="IN",'BOM_Phan II'!$Y$3,"")</f>
        <v/>
      </c>
      <c r="S113" s="153" t="str">
        <f t="shared" si="33"/>
        <v/>
      </c>
      <c r="T113">
        <f t="shared" si="34"/>
        <v>6</v>
      </c>
      <c r="U113" s="208" t="str">
        <f t="shared" si="42"/>
        <v>KIỆN 9</v>
      </c>
      <c r="V113" s="208" t="str">
        <f t="shared" si="35"/>
        <v/>
      </c>
      <c r="W113" s="240"/>
      <c r="X113" s="240"/>
      <c r="Y113" s="240" t="str">
        <f t="shared" si="36"/>
        <v/>
      </c>
      <c r="Z113" s="240"/>
      <c r="AD113" s="232" t="str">
        <f t="shared" si="37"/>
        <v/>
      </c>
      <c r="AE113" s="204"/>
      <c r="AX113" s="3" t="str">
        <f t="shared" si="27"/>
        <v/>
      </c>
    </row>
    <row r="114" spans="1:50" s="155" customFormat="1" ht="30" hidden="1" customHeight="1">
      <c r="A114" s="141" t="str">
        <f t="shared" si="38"/>
        <v/>
      </c>
      <c r="B114" s="141" t="str">
        <f t="shared" si="39"/>
        <v/>
      </c>
      <c r="C114" s="205" t="str" cm="1">
        <f t="array" ref="C114">IF(D114="","",
    IF(AND(ISNUMBER(D114), D114=INT(D114)),
        $V$6 &amp; " " &amp; (IFERROR(MAX($Y$12:$Y113), 0) + 1),
        IF(ISNUMBER(SEARCH(".", D114)), "", INDEX($C$12:$C114, MATCH(2, 1/($C$12:$C114 &lt;&gt; ""))))
    )
)</f>
        <v/>
      </c>
      <c r="D114" s="206"/>
      <c r="E114" s="206" t="str">
        <f>IF(AA114 = "", "",
    IF(ISNUMBER(SEARCH("Kiện", C114)),
       " GÓI " &amp; COUNTIF($C$13:C114, "*Kiện*") &amp; "/" &amp; COUNTIF($C$13:$C$1000, "*Kiện*") &amp; " " &amp; AA114,
       AA114)
)</f>
        <v/>
      </c>
      <c r="F114" s="206"/>
      <c r="G114" s="206"/>
      <c r="H114" s="206"/>
      <c r="I114" s="206"/>
      <c r="J114" s="206" t="str">
        <f t="shared" si="40"/>
        <v/>
      </c>
      <c r="K114" s="206" t="str">
        <f t="shared" si="28"/>
        <v/>
      </c>
      <c r="L114" s="206" t="str">
        <f t="shared" si="29"/>
        <v/>
      </c>
      <c r="M114" s="206" t="str">
        <f t="shared" si="30"/>
        <v/>
      </c>
      <c r="N114" s="206" t="str">
        <f t="shared" si="41"/>
        <v/>
      </c>
      <c r="O114" s="206" t="str">
        <f t="shared" si="31"/>
        <v/>
      </c>
      <c r="P114" s="165" t="str">
        <f t="shared" si="32"/>
        <v/>
      </c>
      <c r="Q114" s="207"/>
      <c r="R114" s="141" t="str">
        <f>IF(S114="IN",'BOM_Phan II'!$Y$3,"")</f>
        <v/>
      </c>
      <c r="S114" s="153" t="str">
        <f t="shared" si="33"/>
        <v/>
      </c>
      <c r="T114">
        <f t="shared" si="34"/>
        <v>6</v>
      </c>
      <c r="U114" s="208" t="str">
        <f t="shared" si="42"/>
        <v>KIỆN 9</v>
      </c>
      <c r="V114" s="208" t="str">
        <f t="shared" si="35"/>
        <v/>
      </c>
      <c r="W114" s="240"/>
      <c r="X114" s="240"/>
      <c r="Y114" s="240" t="str">
        <f t="shared" si="36"/>
        <v/>
      </c>
      <c r="Z114" s="240"/>
      <c r="AD114" s="232" t="str">
        <f t="shared" si="37"/>
        <v/>
      </c>
      <c r="AE114" s="204"/>
      <c r="AX114" s="3" t="str">
        <f t="shared" si="27"/>
        <v/>
      </c>
    </row>
    <row r="115" spans="1:50" s="155" customFormat="1" ht="30" hidden="1" customHeight="1">
      <c r="A115" s="141" t="str">
        <f t="shared" si="38"/>
        <v/>
      </c>
      <c r="B115" s="141" t="str">
        <f t="shared" si="39"/>
        <v/>
      </c>
      <c r="C115" s="205" t="str" cm="1">
        <f t="array" ref="C115">IF(D115="","",
    IF(AND(ISNUMBER(D115), D115=INT(D115)),
        $V$6 &amp; " " &amp; (IFERROR(MAX($Y$12:$Y114), 0) + 1),
        IF(ISNUMBER(SEARCH(".", D115)), "", INDEX($C$12:$C115, MATCH(2, 1/($C$12:$C115 &lt;&gt; ""))))
    )
)</f>
        <v/>
      </c>
      <c r="D115" s="206"/>
      <c r="E115" s="206" t="str">
        <f>IF(AA115 = "", "",
    IF(ISNUMBER(SEARCH("Kiện", C115)),
       " GÓI " &amp; COUNTIF($C$13:C115, "*Kiện*") &amp; "/" &amp; COUNTIF($C$13:$C$1000, "*Kiện*") &amp; " " &amp; AA115,
       AA115)
)</f>
        <v/>
      </c>
      <c r="F115" s="206"/>
      <c r="G115" s="206"/>
      <c r="H115" s="206"/>
      <c r="I115" s="206"/>
      <c r="J115" s="206" t="str">
        <f t="shared" si="40"/>
        <v/>
      </c>
      <c r="K115" s="206" t="str">
        <f t="shared" si="28"/>
        <v/>
      </c>
      <c r="L115" s="206" t="str">
        <f t="shared" si="29"/>
        <v/>
      </c>
      <c r="M115" s="206" t="str">
        <f t="shared" si="30"/>
        <v/>
      </c>
      <c r="N115" s="206" t="str">
        <f t="shared" si="41"/>
        <v/>
      </c>
      <c r="O115" s="206" t="str">
        <f t="shared" si="31"/>
        <v/>
      </c>
      <c r="P115" s="165" t="str">
        <f t="shared" si="32"/>
        <v/>
      </c>
      <c r="Q115" s="207"/>
      <c r="R115" s="141" t="str">
        <f>IF(S115="IN",'BOM_Phan II'!$Y$3,"")</f>
        <v/>
      </c>
      <c r="S115" s="153" t="str">
        <f t="shared" si="33"/>
        <v/>
      </c>
      <c r="T115">
        <f t="shared" si="34"/>
        <v>6</v>
      </c>
      <c r="U115" s="208" t="str">
        <f t="shared" si="42"/>
        <v>KIỆN 9</v>
      </c>
      <c r="V115" s="208" t="str">
        <f t="shared" si="35"/>
        <v/>
      </c>
      <c r="W115" s="240"/>
      <c r="X115" s="240"/>
      <c r="Y115" s="240" t="str">
        <f t="shared" si="36"/>
        <v/>
      </c>
      <c r="Z115" s="240"/>
      <c r="AD115" s="232" t="str">
        <f t="shared" si="37"/>
        <v/>
      </c>
      <c r="AE115" s="204"/>
      <c r="AX115" s="3" t="str">
        <f t="shared" si="27"/>
        <v/>
      </c>
    </row>
    <row r="116" spans="1:50" s="155" customFormat="1" ht="30" hidden="1" customHeight="1">
      <c r="A116" s="141" t="str">
        <f t="shared" si="38"/>
        <v/>
      </c>
      <c r="B116" s="141" t="str">
        <f t="shared" si="39"/>
        <v/>
      </c>
      <c r="C116" s="205" t="str" cm="1">
        <f t="array" ref="C116">IF(D116="","",
    IF(AND(ISNUMBER(D116), D116=INT(D116)),
        $V$6 &amp; " " &amp; (IFERROR(MAX($Y$12:$Y115), 0) + 1),
        IF(ISNUMBER(SEARCH(".", D116)), "", INDEX($C$12:$C116, MATCH(2, 1/($C$12:$C116 &lt;&gt; ""))))
    )
)</f>
        <v/>
      </c>
      <c r="D116" s="206"/>
      <c r="E116" s="206" t="str">
        <f>IF(AA116 = "", "",
    IF(ISNUMBER(SEARCH("Kiện", C116)),
       " GÓI " &amp; COUNTIF($C$13:C116, "*Kiện*") &amp; "/" &amp; COUNTIF($C$13:$C$1000, "*Kiện*") &amp; " " &amp; AA116,
       AA116)
)</f>
        <v/>
      </c>
      <c r="F116" s="206"/>
      <c r="G116" s="206"/>
      <c r="H116" s="206"/>
      <c r="I116" s="206"/>
      <c r="J116" s="206" t="str">
        <f t="shared" si="40"/>
        <v/>
      </c>
      <c r="K116" s="206" t="str">
        <f t="shared" si="28"/>
        <v/>
      </c>
      <c r="L116" s="206" t="str">
        <f t="shared" si="29"/>
        <v/>
      </c>
      <c r="M116" s="206" t="str">
        <f t="shared" si="30"/>
        <v/>
      </c>
      <c r="N116" s="206" t="str">
        <f t="shared" si="41"/>
        <v/>
      </c>
      <c r="O116" s="206" t="str">
        <f t="shared" si="31"/>
        <v/>
      </c>
      <c r="P116" s="165" t="str">
        <f t="shared" si="32"/>
        <v/>
      </c>
      <c r="Q116" s="207"/>
      <c r="R116" s="141" t="str">
        <f>IF(S116="IN",'BOM_Phan II'!$Y$3,"")</f>
        <v/>
      </c>
      <c r="S116" s="153" t="str">
        <f t="shared" si="33"/>
        <v/>
      </c>
      <c r="T116">
        <f t="shared" si="34"/>
        <v>6</v>
      </c>
      <c r="U116" s="208" t="str">
        <f t="shared" si="42"/>
        <v>KIỆN 9</v>
      </c>
      <c r="V116" s="208" t="str">
        <f t="shared" si="35"/>
        <v/>
      </c>
      <c r="W116" s="240"/>
      <c r="X116" s="240"/>
      <c r="Y116" s="240" t="str">
        <f t="shared" si="36"/>
        <v/>
      </c>
      <c r="Z116" s="240"/>
      <c r="AD116" s="232" t="str">
        <f t="shared" si="37"/>
        <v/>
      </c>
      <c r="AE116" s="204"/>
      <c r="AX116" s="3" t="str">
        <f t="shared" si="27"/>
        <v/>
      </c>
    </row>
    <row r="117" spans="1:50" s="155" customFormat="1" ht="30" hidden="1" customHeight="1">
      <c r="A117" s="141" t="str">
        <f t="shared" si="38"/>
        <v/>
      </c>
      <c r="B117" s="141" t="str">
        <f t="shared" si="39"/>
        <v/>
      </c>
      <c r="C117" s="205" t="str" cm="1">
        <f t="array" ref="C117">IF(D117="","",
    IF(AND(ISNUMBER(D117), D117=INT(D117)),
        $V$6 &amp; " " &amp; (IFERROR(MAX($Y$12:$Y116), 0) + 1),
        IF(ISNUMBER(SEARCH(".", D117)), "", INDEX($C$12:$C117, MATCH(2, 1/($C$12:$C117 &lt;&gt; ""))))
    )
)</f>
        <v/>
      </c>
      <c r="D117" s="206"/>
      <c r="E117" s="206" t="str">
        <f>IF(AA117 = "", "",
    IF(ISNUMBER(SEARCH("Kiện", C117)),
       " GÓI " &amp; COUNTIF($C$13:C117, "*Kiện*") &amp; "/" &amp; COUNTIF($C$13:$C$1000, "*Kiện*") &amp; " " &amp; AA117,
       AA117)
)</f>
        <v/>
      </c>
      <c r="F117" s="206"/>
      <c r="G117" s="206"/>
      <c r="H117" s="206"/>
      <c r="I117" s="206"/>
      <c r="J117" s="206" t="str">
        <f t="shared" si="40"/>
        <v/>
      </c>
      <c r="K117" s="206" t="str">
        <f t="shared" si="28"/>
        <v/>
      </c>
      <c r="L117" s="206" t="str">
        <f t="shared" si="29"/>
        <v/>
      </c>
      <c r="M117" s="206" t="str">
        <f t="shared" si="30"/>
        <v/>
      </c>
      <c r="N117" s="206" t="str">
        <f t="shared" si="41"/>
        <v/>
      </c>
      <c r="O117" s="206" t="str">
        <f t="shared" si="31"/>
        <v/>
      </c>
      <c r="P117" s="165" t="str">
        <f t="shared" si="32"/>
        <v/>
      </c>
      <c r="Q117" s="207"/>
      <c r="R117" s="141" t="str">
        <f>IF(S117="IN",'BOM_Phan II'!$Y$3,"")</f>
        <v/>
      </c>
      <c r="S117" s="153" t="str">
        <f t="shared" si="33"/>
        <v/>
      </c>
      <c r="T117">
        <f t="shared" si="34"/>
        <v>6</v>
      </c>
      <c r="U117" s="208" t="str">
        <f t="shared" si="42"/>
        <v>KIỆN 9</v>
      </c>
      <c r="V117" s="208" t="str">
        <f t="shared" si="35"/>
        <v/>
      </c>
      <c r="W117" s="240"/>
      <c r="X117" s="240"/>
      <c r="Y117" s="240" t="str">
        <f t="shared" si="36"/>
        <v/>
      </c>
      <c r="Z117" s="240"/>
      <c r="AD117" s="232" t="str">
        <f t="shared" si="37"/>
        <v/>
      </c>
      <c r="AE117" s="204"/>
      <c r="AX117" s="3" t="str">
        <f t="shared" si="27"/>
        <v/>
      </c>
    </row>
    <row r="118" spans="1:50" s="155" customFormat="1" ht="30" hidden="1" customHeight="1">
      <c r="A118" s="141" t="str">
        <f t="shared" si="38"/>
        <v/>
      </c>
      <c r="B118" s="141" t="str">
        <f t="shared" si="39"/>
        <v/>
      </c>
      <c r="C118" s="205" t="str" cm="1">
        <f t="array" ref="C118">IF(D118="","",
    IF(AND(ISNUMBER(D118), D118=INT(D118)),
        $V$6 &amp; " " &amp; (IFERROR(MAX($Y$12:$Y117), 0) + 1),
        IF(ISNUMBER(SEARCH(".", D118)), "", INDEX($C$12:$C118, MATCH(2, 1/($C$12:$C118 &lt;&gt; ""))))
    )
)</f>
        <v/>
      </c>
      <c r="D118" s="206"/>
      <c r="E118" s="206" t="str">
        <f>IF(AA118 = "", "",
    IF(ISNUMBER(SEARCH("Kiện", C118)),
       " GÓI " &amp; COUNTIF($C$13:C118, "*Kiện*") &amp; "/" &amp; COUNTIF($C$13:$C$1000, "*Kiện*") &amp; " " &amp; AA118,
       AA118)
)</f>
        <v/>
      </c>
      <c r="F118" s="206"/>
      <c r="G118" s="206"/>
      <c r="H118" s="206"/>
      <c r="I118" s="206"/>
      <c r="J118" s="206" t="str">
        <f t="shared" si="40"/>
        <v/>
      </c>
      <c r="K118" s="206" t="str">
        <f t="shared" si="28"/>
        <v/>
      </c>
      <c r="L118" s="206" t="str">
        <f t="shared" si="29"/>
        <v/>
      </c>
      <c r="M118" s="206" t="str">
        <f t="shared" si="30"/>
        <v/>
      </c>
      <c r="N118" s="206" t="str">
        <f t="shared" si="41"/>
        <v/>
      </c>
      <c r="O118" s="206" t="str">
        <f t="shared" si="31"/>
        <v/>
      </c>
      <c r="P118" s="165" t="str">
        <f t="shared" si="32"/>
        <v/>
      </c>
      <c r="Q118" s="207"/>
      <c r="R118" s="141" t="str">
        <f>IF(S118="IN",'BOM_Phan II'!$Y$3,"")</f>
        <v/>
      </c>
      <c r="S118" s="153" t="str">
        <f t="shared" si="33"/>
        <v/>
      </c>
      <c r="T118">
        <f t="shared" si="34"/>
        <v>6</v>
      </c>
      <c r="U118" s="208" t="str">
        <f t="shared" si="42"/>
        <v>KIỆN 9</v>
      </c>
      <c r="V118" s="208" t="str">
        <f t="shared" si="35"/>
        <v/>
      </c>
      <c r="W118" s="240"/>
      <c r="X118" s="240"/>
      <c r="Y118" s="240" t="str">
        <f t="shared" si="36"/>
        <v/>
      </c>
      <c r="Z118" s="240"/>
      <c r="AD118" s="232" t="str">
        <f t="shared" si="37"/>
        <v/>
      </c>
      <c r="AE118" s="204"/>
      <c r="AX118" s="3" t="str">
        <f t="shared" si="27"/>
        <v/>
      </c>
    </row>
    <row r="119" spans="1:50" s="155" customFormat="1" ht="30" hidden="1" customHeight="1">
      <c r="A119" s="141" t="str">
        <f t="shared" si="38"/>
        <v/>
      </c>
      <c r="B119" s="141" t="str">
        <f t="shared" si="39"/>
        <v/>
      </c>
      <c r="C119" s="205" t="str" cm="1">
        <f t="array" ref="C119">IF(D119="","",
    IF(AND(ISNUMBER(D119), D119=INT(D119)),
        $V$6 &amp; " " &amp; (IFERROR(MAX($Y$12:$Y118), 0) + 1),
        IF(ISNUMBER(SEARCH(".", D119)), "", INDEX($C$12:$C119, MATCH(2, 1/($C$12:$C119 &lt;&gt; ""))))
    )
)</f>
        <v/>
      </c>
      <c r="D119" s="206"/>
      <c r="E119" s="206" t="str">
        <f>IF(AA119 = "", "",
    IF(ISNUMBER(SEARCH("Kiện", C119)),
       " GÓI " &amp; COUNTIF($C$13:C119, "*Kiện*") &amp; "/" &amp; COUNTIF($C$13:$C$1000, "*Kiện*") &amp; " " &amp; AA119,
       AA119)
)</f>
        <v/>
      </c>
      <c r="F119" s="206"/>
      <c r="G119" s="206"/>
      <c r="H119" s="206"/>
      <c r="I119" s="206"/>
      <c r="J119" s="206" t="str">
        <f t="shared" si="40"/>
        <v/>
      </c>
      <c r="K119" s="206" t="str">
        <f t="shared" si="28"/>
        <v/>
      </c>
      <c r="L119" s="206" t="str">
        <f t="shared" si="29"/>
        <v/>
      </c>
      <c r="M119" s="206" t="str">
        <f t="shared" si="30"/>
        <v/>
      </c>
      <c r="N119" s="206" t="str">
        <f t="shared" si="41"/>
        <v/>
      </c>
      <c r="O119" s="206" t="str">
        <f t="shared" si="31"/>
        <v/>
      </c>
      <c r="P119" s="165" t="str">
        <f t="shared" si="32"/>
        <v/>
      </c>
      <c r="Q119" s="207"/>
      <c r="R119" s="141" t="str">
        <f>IF(S119="IN",'BOM_Phan II'!$Y$3,"")</f>
        <v/>
      </c>
      <c r="S119" s="153" t="str">
        <f t="shared" si="33"/>
        <v/>
      </c>
      <c r="T119">
        <f t="shared" si="34"/>
        <v>6</v>
      </c>
      <c r="U119" s="208" t="str">
        <f t="shared" si="42"/>
        <v>KIỆN 9</v>
      </c>
      <c r="V119" s="208" t="str">
        <f t="shared" si="35"/>
        <v/>
      </c>
      <c r="W119" s="240"/>
      <c r="X119" s="240"/>
      <c r="Y119" s="240" t="str">
        <f t="shared" si="36"/>
        <v/>
      </c>
      <c r="Z119" s="240"/>
      <c r="AD119" s="232" t="str">
        <f t="shared" si="37"/>
        <v/>
      </c>
      <c r="AE119" s="204"/>
      <c r="AX119" s="3" t="str">
        <f t="shared" si="27"/>
        <v/>
      </c>
    </row>
    <row r="120" spans="1:50" s="155" customFormat="1" ht="30" hidden="1" customHeight="1">
      <c r="A120" s="141" t="str">
        <f t="shared" si="38"/>
        <v/>
      </c>
      <c r="B120" s="141" t="str">
        <f t="shared" si="39"/>
        <v/>
      </c>
      <c r="C120" s="205" t="str" cm="1">
        <f t="array" ref="C120">IF(D120="","",
    IF(AND(ISNUMBER(D120), D120=INT(D120)),
        $V$6 &amp; " " &amp; (IFERROR(MAX($Y$12:$Y119), 0) + 1),
        IF(ISNUMBER(SEARCH(".", D120)), "", INDEX($C$12:$C120, MATCH(2, 1/($C$12:$C120 &lt;&gt; ""))))
    )
)</f>
        <v/>
      </c>
      <c r="D120" s="206"/>
      <c r="E120" s="206" t="str">
        <f>IF(AA120 = "", "",
    IF(ISNUMBER(SEARCH("Kiện", C120)),
       " GÓI " &amp; COUNTIF($C$13:C120, "*Kiện*") &amp; "/" &amp; COUNTIF($C$13:$C$1000, "*Kiện*") &amp; " " &amp; AA120,
       AA120)
)</f>
        <v/>
      </c>
      <c r="F120" s="206"/>
      <c r="G120" s="206"/>
      <c r="H120" s="206"/>
      <c r="I120" s="206"/>
      <c r="J120" s="206" t="str">
        <f t="shared" si="40"/>
        <v/>
      </c>
      <c r="K120" s="206" t="str">
        <f t="shared" si="28"/>
        <v/>
      </c>
      <c r="L120" s="206" t="str">
        <f t="shared" si="29"/>
        <v/>
      </c>
      <c r="M120" s="206" t="str">
        <f t="shared" si="30"/>
        <v/>
      </c>
      <c r="N120" s="206" t="str">
        <f t="shared" si="41"/>
        <v/>
      </c>
      <c r="O120" s="206" t="str">
        <f t="shared" si="31"/>
        <v/>
      </c>
      <c r="P120" s="165" t="str">
        <f t="shared" si="32"/>
        <v/>
      </c>
      <c r="Q120" s="207"/>
      <c r="R120" s="141" t="str">
        <f>IF(S120="IN",'BOM_Phan II'!$Y$3,"")</f>
        <v/>
      </c>
      <c r="S120" s="153" t="str">
        <f t="shared" si="33"/>
        <v/>
      </c>
      <c r="T120">
        <f t="shared" si="34"/>
        <v>6</v>
      </c>
      <c r="U120" s="208" t="str">
        <f t="shared" si="42"/>
        <v>KIỆN 9</v>
      </c>
      <c r="V120" s="208" t="str">
        <f t="shared" si="35"/>
        <v/>
      </c>
      <c r="W120" s="240"/>
      <c r="X120" s="240"/>
      <c r="Y120" s="240" t="str">
        <f t="shared" si="36"/>
        <v/>
      </c>
      <c r="Z120" s="240"/>
      <c r="AD120" s="232" t="str">
        <f t="shared" si="37"/>
        <v/>
      </c>
      <c r="AE120" s="204"/>
      <c r="AX120" s="3" t="str">
        <f t="shared" si="27"/>
        <v/>
      </c>
    </row>
    <row r="121" spans="1:50" s="155" customFormat="1" ht="30" hidden="1" customHeight="1">
      <c r="A121" s="141" t="str">
        <f t="shared" si="38"/>
        <v/>
      </c>
      <c r="B121" s="141" t="str">
        <f t="shared" si="39"/>
        <v/>
      </c>
      <c r="C121" s="205" t="str" cm="1">
        <f t="array" ref="C121">IF(D121="","",
    IF(AND(ISNUMBER(D121), D121=INT(D121)),
        $V$6 &amp; " " &amp; (IFERROR(MAX($Y$12:$Y120), 0) + 1),
        IF(ISNUMBER(SEARCH(".", D121)), "", INDEX($C$12:$C121, MATCH(2, 1/($C$12:$C121 &lt;&gt; ""))))
    )
)</f>
        <v/>
      </c>
      <c r="D121" s="206"/>
      <c r="E121" s="206" t="str">
        <f>IF(AA121 = "", "",
    IF(ISNUMBER(SEARCH("Kiện", C121)),
       " GÓI " &amp; COUNTIF($C$13:C121, "*Kiện*") &amp; "/" &amp; COUNTIF($C$13:$C$1000, "*Kiện*") &amp; " " &amp; AA121,
       AA121)
)</f>
        <v/>
      </c>
      <c r="F121" s="206"/>
      <c r="G121" s="206"/>
      <c r="H121" s="206"/>
      <c r="I121" s="206"/>
      <c r="J121" s="206" t="str">
        <f t="shared" si="40"/>
        <v/>
      </c>
      <c r="K121" s="206" t="str">
        <f t="shared" si="28"/>
        <v/>
      </c>
      <c r="L121" s="206" t="str">
        <f t="shared" si="29"/>
        <v/>
      </c>
      <c r="M121" s="206" t="str">
        <f t="shared" si="30"/>
        <v/>
      </c>
      <c r="N121" s="206" t="str">
        <f t="shared" si="41"/>
        <v/>
      </c>
      <c r="O121" s="206" t="str">
        <f t="shared" si="31"/>
        <v/>
      </c>
      <c r="P121" s="165" t="str">
        <f t="shared" si="32"/>
        <v/>
      </c>
      <c r="Q121" s="207"/>
      <c r="R121" s="141" t="str">
        <f>IF(S121="IN",'BOM_Phan II'!$Y$3,"")</f>
        <v/>
      </c>
      <c r="S121" s="153" t="str">
        <f t="shared" si="33"/>
        <v/>
      </c>
      <c r="T121">
        <f t="shared" si="34"/>
        <v>6</v>
      </c>
      <c r="U121" s="208" t="str">
        <f t="shared" si="42"/>
        <v>KIỆN 9</v>
      </c>
      <c r="V121" s="208" t="str">
        <f t="shared" si="35"/>
        <v/>
      </c>
      <c r="W121" s="240"/>
      <c r="X121" s="240"/>
      <c r="Y121" s="240" t="str">
        <f t="shared" si="36"/>
        <v/>
      </c>
      <c r="Z121" s="240"/>
      <c r="AD121" s="232" t="str">
        <f t="shared" si="37"/>
        <v/>
      </c>
      <c r="AE121" s="204"/>
      <c r="AX121" s="3" t="str">
        <f t="shared" si="27"/>
        <v/>
      </c>
    </row>
    <row r="122" spans="1:50" s="155" customFormat="1" ht="30" hidden="1" customHeight="1">
      <c r="A122" s="141" t="str">
        <f t="shared" si="38"/>
        <v/>
      </c>
      <c r="B122" s="141" t="str">
        <f t="shared" si="39"/>
        <v/>
      </c>
      <c r="C122" s="205" t="str" cm="1">
        <f t="array" ref="C122">IF(D122="","",
    IF(AND(ISNUMBER(D122), D122=INT(D122)),
        $V$6 &amp; " " &amp; (IFERROR(MAX($Y$12:$Y121), 0) + 1),
        IF(ISNUMBER(SEARCH(".", D122)), "", INDEX($C$12:$C122, MATCH(2, 1/($C$12:$C122 &lt;&gt; ""))))
    )
)</f>
        <v/>
      </c>
      <c r="D122" s="206"/>
      <c r="E122" s="206" t="str">
        <f>IF(AA122 = "", "",
    IF(ISNUMBER(SEARCH("Kiện", C122)),
       " GÓI " &amp; COUNTIF($C$13:C122, "*Kiện*") &amp; "/" &amp; COUNTIF($C$13:$C$1000, "*Kiện*") &amp; " " &amp; AA122,
       AA122)
)</f>
        <v/>
      </c>
      <c r="F122" s="206"/>
      <c r="G122" s="206"/>
      <c r="H122" s="206"/>
      <c r="I122" s="206"/>
      <c r="J122" s="206" t="str">
        <f t="shared" si="40"/>
        <v/>
      </c>
      <c r="K122" s="206" t="str">
        <f t="shared" si="28"/>
        <v/>
      </c>
      <c r="L122" s="206" t="str">
        <f t="shared" si="29"/>
        <v/>
      </c>
      <c r="M122" s="206" t="str">
        <f t="shared" si="30"/>
        <v/>
      </c>
      <c r="N122" s="206" t="str">
        <f t="shared" si="41"/>
        <v/>
      </c>
      <c r="O122" s="206" t="str">
        <f t="shared" si="31"/>
        <v/>
      </c>
      <c r="P122" s="165" t="str">
        <f t="shared" si="32"/>
        <v/>
      </c>
      <c r="Q122" s="207"/>
      <c r="R122" s="141" t="str">
        <f>IF(S122="IN",'BOM_Phan II'!$Y$3,"")</f>
        <v/>
      </c>
      <c r="S122" s="153" t="str">
        <f t="shared" si="33"/>
        <v/>
      </c>
      <c r="T122">
        <f t="shared" si="34"/>
        <v>6</v>
      </c>
      <c r="U122" s="208" t="str">
        <f t="shared" si="42"/>
        <v>KIỆN 9</v>
      </c>
      <c r="V122" s="208" t="str">
        <f t="shared" si="35"/>
        <v/>
      </c>
      <c r="W122" s="240"/>
      <c r="X122" s="240"/>
      <c r="Y122" s="240" t="str">
        <f t="shared" si="36"/>
        <v/>
      </c>
      <c r="Z122" s="240"/>
      <c r="AD122" s="232" t="str">
        <f t="shared" si="37"/>
        <v/>
      </c>
      <c r="AE122" s="204"/>
      <c r="AX122" s="3" t="str">
        <f t="shared" si="27"/>
        <v/>
      </c>
    </row>
    <row r="123" spans="1:50" s="155" customFormat="1" ht="30" hidden="1" customHeight="1">
      <c r="A123" s="141" t="str">
        <f t="shared" si="38"/>
        <v/>
      </c>
      <c r="B123" s="141" t="str">
        <f t="shared" si="39"/>
        <v/>
      </c>
      <c r="C123" s="205" t="str" cm="1">
        <f t="array" ref="C123">IF(D123="","",
    IF(AND(ISNUMBER(D123), D123=INT(D123)),
        $V$6 &amp; " " &amp; (IFERROR(MAX($Y$12:$Y122), 0) + 1),
        IF(ISNUMBER(SEARCH(".", D123)), "", INDEX($C$12:$C123, MATCH(2, 1/($C$12:$C123 &lt;&gt; ""))))
    )
)</f>
        <v/>
      </c>
      <c r="D123" s="206"/>
      <c r="E123" s="206" t="str">
        <f>IF(AA123 = "", "",
    IF(ISNUMBER(SEARCH("Kiện", C123)),
       " GÓI " &amp; COUNTIF($C$13:C123, "*Kiện*") &amp; "/" &amp; COUNTIF($C$13:$C$1000, "*Kiện*") &amp; " " &amp; AA123,
       AA123)
)</f>
        <v/>
      </c>
      <c r="F123" s="206"/>
      <c r="G123" s="206"/>
      <c r="H123" s="206"/>
      <c r="I123" s="206"/>
      <c r="J123" s="206" t="str">
        <f t="shared" si="40"/>
        <v/>
      </c>
      <c r="K123" s="206" t="str">
        <f t="shared" si="28"/>
        <v/>
      </c>
      <c r="L123" s="206" t="str">
        <f t="shared" si="29"/>
        <v/>
      </c>
      <c r="M123" s="206" t="str">
        <f t="shared" si="30"/>
        <v/>
      </c>
      <c r="N123" s="206" t="str">
        <f t="shared" si="41"/>
        <v/>
      </c>
      <c r="O123" s="206" t="str">
        <f t="shared" si="31"/>
        <v/>
      </c>
      <c r="P123" s="165" t="str">
        <f t="shared" si="32"/>
        <v/>
      </c>
      <c r="Q123" s="207"/>
      <c r="R123" s="141" t="str">
        <f>IF(S123="IN",'BOM_Phan II'!$Y$3,"")</f>
        <v/>
      </c>
      <c r="S123" s="153" t="str">
        <f t="shared" si="33"/>
        <v/>
      </c>
      <c r="T123">
        <f t="shared" si="34"/>
        <v>6</v>
      </c>
      <c r="U123" s="208" t="str">
        <f t="shared" si="42"/>
        <v>KIỆN 9</v>
      </c>
      <c r="V123" s="208" t="str">
        <f t="shared" si="35"/>
        <v/>
      </c>
      <c r="W123" s="240"/>
      <c r="X123" s="240"/>
      <c r="Y123" s="240" t="str">
        <f t="shared" si="36"/>
        <v/>
      </c>
      <c r="Z123" s="240"/>
      <c r="AD123" s="232" t="str">
        <f t="shared" si="37"/>
        <v/>
      </c>
      <c r="AE123" s="204"/>
      <c r="AX123" s="3" t="str">
        <f t="shared" si="27"/>
        <v/>
      </c>
    </row>
    <row r="124" spans="1:50" s="155" customFormat="1" ht="30" hidden="1" customHeight="1">
      <c r="A124" s="141" t="str">
        <f t="shared" si="38"/>
        <v/>
      </c>
      <c r="B124" s="141" t="str">
        <f t="shared" si="39"/>
        <v/>
      </c>
      <c r="C124" s="205" t="str" cm="1">
        <f t="array" ref="C124">IF(D124="","",
    IF(AND(ISNUMBER(D124), D124=INT(D124)),
        $V$6 &amp; " " &amp; (IFERROR(MAX($Y$12:$Y123), 0) + 1),
        IF(ISNUMBER(SEARCH(".", D124)), "", INDEX($C$12:$C124, MATCH(2, 1/($C$12:$C124 &lt;&gt; ""))))
    )
)</f>
        <v/>
      </c>
      <c r="D124" s="206"/>
      <c r="E124" s="206" t="str">
        <f>IF(AA124 = "", "",
    IF(ISNUMBER(SEARCH("Kiện", C124)),
       " GÓI " &amp; COUNTIF($C$13:C124, "*Kiện*") &amp; "/" &amp; COUNTIF($C$13:$C$1000, "*Kiện*") &amp; " " &amp; AA124,
       AA124)
)</f>
        <v/>
      </c>
      <c r="F124" s="206"/>
      <c r="G124" s="206"/>
      <c r="H124" s="206"/>
      <c r="I124" s="206"/>
      <c r="J124" s="206" t="str">
        <f t="shared" si="40"/>
        <v/>
      </c>
      <c r="K124" s="206" t="str">
        <f t="shared" si="28"/>
        <v/>
      </c>
      <c r="L124" s="206" t="str">
        <f t="shared" si="29"/>
        <v/>
      </c>
      <c r="M124" s="206" t="str">
        <f t="shared" si="30"/>
        <v/>
      </c>
      <c r="N124" s="206" t="str">
        <f t="shared" si="41"/>
        <v/>
      </c>
      <c r="O124" s="206" t="str">
        <f t="shared" si="31"/>
        <v/>
      </c>
      <c r="P124" s="165" t="str">
        <f t="shared" si="32"/>
        <v/>
      </c>
      <c r="Q124" s="207"/>
      <c r="R124" s="141" t="str">
        <f>IF(S124="IN",'BOM_Phan II'!$Y$3,"")</f>
        <v/>
      </c>
      <c r="S124" s="153" t="str">
        <f t="shared" si="33"/>
        <v/>
      </c>
      <c r="T124">
        <f t="shared" si="34"/>
        <v>6</v>
      </c>
      <c r="U124" s="208" t="str">
        <f t="shared" si="42"/>
        <v>KIỆN 9</v>
      </c>
      <c r="V124" s="208" t="str">
        <f t="shared" si="35"/>
        <v/>
      </c>
      <c r="W124" s="240"/>
      <c r="X124" s="240"/>
      <c r="Y124" s="240" t="str">
        <f t="shared" si="36"/>
        <v/>
      </c>
      <c r="Z124" s="240"/>
      <c r="AD124" s="232" t="str">
        <f t="shared" si="37"/>
        <v/>
      </c>
      <c r="AE124" s="204"/>
      <c r="AX124" s="3" t="str">
        <f t="shared" si="27"/>
        <v/>
      </c>
    </row>
    <row r="125" spans="1:50" s="155" customFormat="1" ht="30" hidden="1" customHeight="1">
      <c r="A125" s="141" t="str">
        <f t="shared" si="38"/>
        <v/>
      </c>
      <c r="B125" s="141" t="str">
        <f t="shared" si="39"/>
        <v/>
      </c>
      <c r="C125" s="205" t="str" cm="1">
        <f t="array" ref="C125">IF(D125="","",
    IF(AND(ISNUMBER(D125), D125=INT(D125)),
        $V$6 &amp; " " &amp; (IFERROR(MAX($Y$12:$Y124), 0) + 1),
        IF(ISNUMBER(SEARCH(".", D125)), "", INDEX($C$12:$C125, MATCH(2, 1/($C$12:$C125 &lt;&gt; ""))))
    )
)</f>
        <v/>
      </c>
      <c r="D125" s="206"/>
      <c r="E125" s="206" t="str">
        <f>IF(AA125 = "", "",
    IF(ISNUMBER(SEARCH("Kiện", C125)),
       " GÓI " &amp; COUNTIF($C$13:C125, "*Kiện*") &amp; "/" &amp; COUNTIF($C$13:$C$1000, "*Kiện*") &amp; " " &amp; AA125,
       AA125)
)</f>
        <v/>
      </c>
      <c r="F125" s="206"/>
      <c r="G125" s="206"/>
      <c r="H125" s="206"/>
      <c r="I125" s="206"/>
      <c r="J125" s="206" t="str">
        <f t="shared" si="40"/>
        <v/>
      </c>
      <c r="K125" s="206" t="str">
        <f t="shared" si="28"/>
        <v/>
      </c>
      <c r="L125" s="206" t="str">
        <f t="shared" si="29"/>
        <v/>
      </c>
      <c r="M125" s="206" t="str">
        <f t="shared" si="30"/>
        <v/>
      </c>
      <c r="N125" s="206" t="str">
        <f t="shared" si="41"/>
        <v/>
      </c>
      <c r="O125" s="206" t="str">
        <f t="shared" si="31"/>
        <v/>
      </c>
      <c r="P125" s="165" t="str">
        <f t="shared" si="32"/>
        <v/>
      </c>
      <c r="Q125" s="207"/>
      <c r="R125" s="141" t="str">
        <f>IF(S125="IN",'BOM_Phan II'!$Y$3,"")</f>
        <v/>
      </c>
      <c r="S125" s="153" t="str">
        <f t="shared" si="33"/>
        <v/>
      </c>
      <c r="T125">
        <f t="shared" si="34"/>
        <v>6</v>
      </c>
      <c r="U125" s="208" t="str">
        <f t="shared" si="42"/>
        <v>KIỆN 9</v>
      </c>
      <c r="V125" s="208" t="str">
        <f t="shared" si="35"/>
        <v/>
      </c>
      <c r="W125" s="240"/>
      <c r="X125" s="240"/>
      <c r="Y125" s="240" t="str">
        <f t="shared" si="36"/>
        <v/>
      </c>
      <c r="Z125" s="240"/>
      <c r="AD125" s="232" t="str">
        <f t="shared" si="37"/>
        <v/>
      </c>
      <c r="AE125" s="204"/>
      <c r="AX125" s="3" t="str">
        <f t="shared" si="27"/>
        <v/>
      </c>
    </row>
    <row r="126" spans="1:50" s="155" customFormat="1" ht="30" hidden="1" customHeight="1">
      <c r="A126" s="141" t="str">
        <f t="shared" si="38"/>
        <v/>
      </c>
      <c r="B126" s="141" t="str">
        <f t="shared" si="39"/>
        <v/>
      </c>
      <c r="C126" s="205" t="str" cm="1">
        <f t="array" ref="C126">IF(D126="","",
    IF(AND(ISNUMBER(D126), D126=INT(D126)),
        $V$6 &amp; " " &amp; (IFERROR(MAX($Y$12:$Y125), 0) + 1),
        IF(ISNUMBER(SEARCH(".", D126)), "", INDEX($C$12:$C126, MATCH(2, 1/($C$12:$C126 &lt;&gt; ""))))
    )
)</f>
        <v/>
      </c>
      <c r="D126" s="206"/>
      <c r="E126" s="206" t="str">
        <f>IF(AA126 = "", "",
    IF(ISNUMBER(SEARCH("Kiện", C126)),
       " GÓI " &amp; COUNTIF($C$13:C126, "*Kiện*") &amp; "/" &amp; COUNTIF($C$13:$C$1000, "*Kiện*") &amp; " " &amp; AA126,
       AA126)
)</f>
        <v/>
      </c>
      <c r="F126" s="206"/>
      <c r="G126" s="206"/>
      <c r="H126" s="206"/>
      <c r="I126" s="206"/>
      <c r="J126" s="206" t="str">
        <f t="shared" si="40"/>
        <v/>
      </c>
      <c r="K126" s="206" t="str">
        <f t="shared" si="28"/>
        <v/>
      </c>
      <c r="L126" s="206" t="str">
        <f t="shared" si="29"/>
        <v/>
      </c>
      <c r="M126" s="206" t="str">
        <f t="shared" si="30"/>
        <v/>
      </c>
      <c r="N126" s="206" t="str">
        <f t="shared" si="41"/>
        <v/>
      </c>
      <c r="O126" s="206" t="str">
        <f t="shared" si="31"/>
        <v/>
      </c>
      <c r="P126" s="165" t="str">
        <f t="shared" si="32"/>
        <v/>
      </c>
      <c r="Q126" s="207"/>
      <c r="R126" s="141" t="str">
        <f>IF(S126="IN",'BOM_Phan II'!$Y$3,"")</f>
        <v/>
      </c>
      <c r="S126" s="153" t="str">
        <f t="shared" si="33"/>
        <v/>
      </c>
      <c r="T126">
        <f t="shared" si="34"/>
        <v>6</v>
      </c>
      <c r="U126" s="208" t="str">
        <f t="shared" si="42"/>
        <v>KIỆN 9</v>
      </c>
      <c r="V126" s="208" t="str">
        <f t="shared" si="35"/>
        <v/>
      </c>
      <c r="W126" s="240"/>
      <c r="X126" s="240"/>
      <c r="Y126" s="240" t="str">
        <f t="shared" si="36"/>
        <v/>
      </c>
      <c r="Z126" s="240"/>
      <c r="AD126" s="232" t="str">
        <f t="shared" si="37"/>
        <v/>
      </c>
      <c r="AE126" s="204"/>
      <c r="AX126" s="3" t="str">
        <f t="shared" si="27"/>
        <v/>
      </c>
    </row>
    <row r="127" spans="1:50" s="155" customFormat="1" ht="30" hidden="1" customHeight="1">
      <c r="A127" s="141" t="str">
        <f t="shared" si="38"/>
        <v/>
      </c>
      <c r="B127" s="141" t="str">
        <f t="shared" si="39"/>
        <v/>
      </c>
      <c r="C127" s="205" t="str" cm="1">
        <f t="array" ref="C127">IF(D127="","",
    IF(AND(ISNUMBER(D127), D127=INT(D127)),
        $V$6 &amp; " " &amp; (IFERROR(MAX($Y$12:$Y126), 0) + 1),
        IF(ISNUMBER(SEARCH(".", D127)), "", INDEX($C$12:$C127, MATCH(2, 1/($C$12:$C127 &lt;&gt; ""))))
    )
)</f>
        <v/>
      </c>
      <c r="D127" s="206"/>
      <c r="E127" s="206" t="str">
        <f>IF(AA127 = "", "",
    IF(ISNUMBER(SEARCH("Kiện", C127)),
       " GÓI " &amp; COUNTIF($C$13:C127, "*Kiện*") &amp; "/" &amp; COUNTIF($C$13:$C$1000, "*Kiện*") &amp; " " &amp; AA127,
       AA127)
)</f>
        <v/>
      </c>
      <c r="F127" s="206"/>
      <c r="G127" s="206"/>
      <c r="H127" s="206"/>
      <c r="I127" s="206"/>
      <c r="J127" s="206" t="str">
        <f t="shared" si="40"/>
        <v/>
      </c>
      <c r="K127" s="206" t="str">
        <f t="shared" si="28"/>
        <v/>
      </c>
      <c r="L127" s="206" t="str">
        <f t="shared" si="29"/>
        <v/>
      </c>
      <c r="M127" s="206" t="str">
        <f t="shared" si="30"/>
        <v/>
      </c>
      <c r="N127" s="206" t="str">
        <f t="shared" si="41"/>
        <v/>
      </c>
      <c r="O127" s="206" t="str">
        <f t="shared" si="31"/>
        <v/>
      </c>
      <c r="P127" s="165" t="str">
        <f t="shared" si="32"/>
        <v/>
      </c>
      <c r="Q127" s="207"/>
      <c r="R127" s="141" t="str">
        <f>IF(S127="IN",'BOM_Phan II'!$Y$3,"")</f>
        <v/>
      </c>
      <c r="S127" s="153" t="str">
        <f t="shared" si="33"/>
        <v/>
      </c>
      <c r="T127">
        <f t="shared" si="34"/>
        <v>6</v>
      </c>
      <c r="U127" s="208" t="str">
        <f t="shared" si="42"/>
        <v>KIỆN 9</v>
      </c>
      <c r="V127" s="208" t="str">
        <f t="shared" si="35"/>
        <v/>
      </c>
      <c r="W127" s="240"/>
      <c r="X127" s="240"/>
      <c r="Y127" s="240" t="str">
        <f t="shared" si="36"/>
        <v/>
      </c>
      <c r="Z127" s="240"/>
      <c r="AD127" s="232" t="str">
        <f t="shared" si="37"/>
        <v/>
      </c>
      <c r="AE127" s="204"/>
      <c r="AX127" s="3" t="str">
        <f t="shared" si="27"/>
        <v/>
      </c>
    </row>
    <row r="128" spans="1:50" s="155" customFormat="1" ht="30" hidden="1" customHeight="1">
      <c r="A128" s="141" t="str">
        <f t="shared" si="38"/>
        <v/>
      </c>
      <c r="B128" s="141" t="str">
        <f t="shared" si="39"/>
        <v/>
      </c>
      <c r="C128" s="205" t="str" cm="1">
        <f t="array" ref="C128">IF(D128="","",
    IF(AND(ISNUMBER(D128), D128=INT(D128)),
        $V$6 &amp; " " &amp; (IFERROR(MAX($Y$12:$Y127), 0) + 1),
        IF(ISNUMBER(SEARCH(".", D128)), "", INDEX($C$12:$C128, MATCH(2, 1/($C$12:$C128 &lt;&gt; ""))))
    )
)</f>
        <v/>
      </c>
      <c r="D128" s="206"/>
      <c r="E128" s="206" t="str">
        <f>IF(AA128 = "", "",
    IF(ISNUMBER(SEARCH("Kiện", C128)),
       " GÓI " &amp; COUNTIF($C$13:C128, "*Kiện*") &amp; "/" &amp; COUNTIF($C$13:$C$1000, "*Kiện*") &amp; " " &amp; AA128,
       AA128)
)</f>
        <v/>
      </c>
      <c r="F128" s="206"/>
      <c r="G128" s="206"/>
      <c r="H128" s="206"/>
      <c r="I128" s="206"/>
      <c r="J128" s="206" t="str">
        <f t="shared" si="40"/>
        <v/>
      </c>
      <c r="K128" s="206" t="str">
        <f t="shared" si="28"/>
        <v/>
      </c>
      <c r="L128" s="206" t="str">
        <f t="shared" si="29"/>
        <v/>
      </c>
      <c r="M128" s="206" t="str">
        <f t="shared" si="30"/>
        <v/>
      </c>
      <c r="N128" s="206" t="str">
        <f t="shared" si="41"/>
        <v/>
      </c>
      <c r="O128" s="206" t="str">
        <f t="shared" si="31"/>
        <v/>
      </c>
      <c r="P128" s="165" t="str">
        <f t="shared" si="32"/>
        <v/>
      </c>
      <c r="Q128" s="207"/>
      <c r="R128" s="141" t="str">
        <f>IF(S128="IN",'BOM_Phan II'!$Y$3,"")</f>
        <v/>
      </c>
      <c r="S128" s="153" t="str">
        <f t="shared" si="33"/>
        <v/>
      </c>
      <c r="T128">
        <f t="shared" si="34"/>
        <v>6</v>
      </c>
      <c r="U128" s="208" t="str">
        <f t="shared" si="42"/>
        <v>KIỆN 9</v>
      </c>
      <c r="V128" s="208" t="str">
        <f t="shared" si="35"/>
        <v/>
      </c>
      <c r="W128" s="240"/>
      <c r="X128" s="240"/>
      <c r="Y128" s="240" t="str">
        <f t="shared" si="36"/>
        <v/>
      </c>
      <c r="Z128" s="240"/>
      <c r="AD128" s="232" t="str">
        <f t="shared" si="37"/>
        <v/>
      </c>
      <c r="AE128" s="204"/>
      <c r="AX128" s="3" t="str">
        <f t="shared" si="27"/>
        <v/>
      </c>
    </row>
    <row r="129" spans="1:50" s="155" customFormat="1" ht="30" hidden="1" customHeight="1">
      <c r="A129" s="141" t="str">
        <f t="shared" si="38"/>
        <v/>
      </c>
      <c r="B129" s="141" t="str">
        <f t="shared" si="39"/>
        <v/>
      </c>
      <c r="C129" s="205" t="str" cm="1">
        <f t="array" ref="C129">IF(D129="","",
    IF(AND(ISNUMBER(D129), D129=INT(D129)),
        $V$6 &amp; " " &amp; (IFERROR(MAX($Y$12:$Y128), 0) + 1),
        IF(ISNUMBER(SEARCH(".", D129)), "", INDEX($C$12:$C129, MATCH(2, 1/($C$12:$C129 &lt;&gt; ""))))
    )
)</f>
        <v/>
      </c>
      <c r="D129" s="206"/>
      <c r="E129" s="206" t="str">
        <f>IF(AA129 = "", "",
    IF(ISNUMBER(SEARCH("Kiện", C129)),
       " GÓI " &amp; COUNTIF($C$13:C129, "*Kiện*") &amp; "/" &amp; COUNTIF($C$13:$C$1000, "*Kiện*") &amp; " " &amp; AA129,
       AA129)
)</f>
        <v/>
      </c>
      <c r="F129" s="206"/>
      <c r="G129" s="206"/>
      <c r="H129" s="206"/>
      <c r="I129" s="206"/>
      <c r="J129" s="206" t="str">
        <f t="shared" si="40"/>
        <v/>
      </c>
      <c r="K129" s="206" t="str">
        <f t="shared" si="28"/>
        <v/>
      </c>
      <c r="L129" s="206" t="str">
        <f t="shared" si="29"/>
        <v/>
      </c>
      <c r="M129" s="206" t="str">
        <f t="shared" si="30"/>
        <v/>
      </c>
      <c r="N129" s="206" t="str">
        <f t="shared" si="41"/>
        <v/>
      </c>
      <c r="O129" s="206" t="str">
        <f t="shared" si="31"/>
        <v/>
      </c>
      <c r="P129" s="165" t="str">
        <f t="shared" si="32"/>
        <v/>
      </c>
      <c r="Q129" s="207"/>
      <c r="R129" s="141" t="str">
        <f>IF(S129="IN",'BOM_Phan II'!$Y$3,"")</f>
        <v/>
      </c>
      <c r="S129" s="153" t="str">
        <f t="shared" si="33"/>
        <v/>
      </c>
      <c r="T129">
        <f t="shared" si="34"/>
        <v>6</v>
      </c>
      <c r="U129" s="208" t="str">
        <f t="shared" si="42"/>
        <v>KIỆN 9</v>
      </c>
      <c r="V129" s="208" t="str">
        <f t="shared" si="35"/>
        <v/>
      </c>
      <c r="W129" s="240"/>
      <c r="X129" s="240"/>
      <c r="Y129" s="240" t="str">
        <f t="shared" si="36"/>
        <v/>
      </c>
      <c r="Z129" s="240"/>
      <c r="AD129" s="232" t="str">
        <f t="shared" si="37"/>
        <v/>
      </c>
      <c r="AE129" s="204"/>
      <c r="AX129" s="3" t="str">
        <f t="shared" si="27"/>
        <v/>
      </c>
    </row>
    <row r="130" spans="1:50" s="155" customFormat="1" ht="30" hidden="1" customHeight="1">
      <c r="A130" s="141" t="str">
        <f t="shared" si="38"/>
        <v/>
      </c>
      <c r="B130" s="141" t="str">
        <f t="shared" si="39"/>
        <v/>
      </c>
      <c r="C130" s="205" t="str" cm="1">
        <f t="array" ref="C130">IF(D130="","",
    IF(AND(ISNUMBER(D130), D130=INT(D130)),
        $V$6 &amp; " " &amp; (IFERROR(MAX($Y$12:$Y129), 0) + 1),
        IF(ISNUMBER(SEARCH(".", D130)), "", INDEX($C$12:$C130, MATCH(2, 1/($C$12:$C130 &lt;&gt; ""))))
    )
)</f>
        <v/>
      </c>
      <c r="D130" s="206"/>
      <c r="E130" s="206" t="str">
        <f>IF(AA130 = "", "",
    IF(ISNUMBER(SEARCH("Kiện", C130)),
       " GÓI " &amp; COUNTIF($C$13:C130, "*Kiện*") &amp; "/" &amp; COUNTIF($C$13:$C$1000, "*Kiện*") &amp; " " &amp; AA130,
       AA130)
)</f>
        <v/>
      </c>
      <c r="F130" s="206"/>
      <c r="G130" s="206"/>
      <c r="H130" s="206"/>
      <c r="I130" s="206"/>
      <c r="J130" s="206" t="str">
        <f t="shared" si="40"/>
        <v/>
      </c>
      <c r="K130" s="206" t="str">
        <f t="shared" si="28"/>
        <v/>
      </c>
      <c r="L130" s="206" t="str">
        <f t="shared" si="29"/>
        <v/>
      </c>
      <c r="M130" s="206" t="str">
        <f t="shared" si="30"/>
        <v/>
      </c>
      <c r="N130" s="206" t="str">
        <f t="shared" si="41"/>
        <v/>
      </c>
      <c r="O130" s="206" t="str">
        <f t="shared" si="31"/>
        <v/>
      </c>
      <c r="P130" s="165" t="str">
        <f t="shared" si="32"/>
        <v/>
      </c>
      <c r="Q130" s="207"/>
      <c r="R130" s="141" t="str">
        <f>IF(S130="IN",'BOM_Phan II'!$Y$3,"")</f>
        <v/>
      </c>
      <c r="S130" s="153" t="str">
        <f t="shared" si="33"/>
        <v/>
      </c>
      <c r="T130">
        <f t="shared" si="34"/>
        <v>6</v>
      </c>
      <c r="U130" s="208" t="str">
        <f t="shared" si="42"/>
        <v>KIỆN 9</v>
      </c>
      <c r="V130" s="208" t="str">
        <f t="shared" si="35"/>
        <v/>
      </c>
      <c r="W130" s="240"/>
      <c r="X130" s="240"/>
      <c r="Y130" s="240" t="str">
        <f t="shared" si="36"/>
        <v/>
      </c>
      <c r="Z130" s="240"/>
      <c r="AD130" s="232" t="str">
        <f t="shared" si="37"/>
        <v/>
      </c>
      <c r="AE130" s="204"/>
      <c r="AX130" s="3" t="str">
        <f t="shared" si="27"/>
        <v/>
      </c>
    </row>
    <row r="131" spans="1:50" s="155" customFormat="1" ht="30" hidden="1" customHeight="1">
      <c r="A131" s="141" t="str">
        <f t="shared" si="38"/>
        <v/>
      </c>
      <c r="B131" s="141" t="str">
        <f t="shared" si="39"/>
        <v/>
      </c>
      <c r="C131" s="205" t="str" cm="1">
        <f t="array" ref="C131">IF(D131="","",
    IF(AND(ISNUMBER(D131), D131=INT(D131)),
        $V$6 &amp; " " &amp; (IFERROR(MAX($Y$12:$Y130), 0) + 1),
        IF(ISNUMBER(SEARCH(".", D131)), "", INDEX($C$12:$C131, MATCH(2, 1/($C$12:$C131 &lt;&gt; ""))))
    )
)</f>
        <v/>
      </c>
      <c r="D131" s="206"/>
      <c r="E131" s="206" t="str">
        <f>IF(AA131 = "", "",
    IF(ISNUMBER(SEARCH("Kiện", C131)),
       " GÓI " &amp; COUNTIF($C$13:C131, "*Kiện*") &amp; "/" &amp; COUNTIF($C$13:$C$1000, "*Kiện*") &amp; " " &amp; AA131,
       AA131)
)</f>
        <v/>
      </c>
      <c r="F131" s="206"/>
      <c r="G131" s="206"/>
      <c r="H131" s="206"/>
      <c r="I131" s="206"/>
      <c r="J131" s="206" t="str">
        <f t="shared" si="40"/>
        <v/>
      </c>
      <c r="K131" s="206" t="str">
        <f t="shared" si="28"/>
        <v/>
      </c>
      <c r="L131" s="206" t="str">
        <f t="shared" si="29"/>
        <v/>
      </c>
      <c r="M131" s="206" t="str">
        <f t="shared" si="30"/>
        <v/>
      </c>
      <c r="N131" s="206" t="str">
        <f t="shared" si="41"/>
        <v/>
      </c>
      <c r="O131" s="206" t="str">
        <f t="shared" si="31"/>
        <v/>
      </c>
      <c r="P131" s="165" t="str">
        <f t="shared" si="32"/>
        <v/>
      </c>
      <c r="Q131" s="207"/>
      <c r="R131" s="141" t="str">
        <f>IF(S131="IN",'BOM_Phan II'!$Y$3,"")</f>
        <v/>
      </c>
      <c r="S131" s="153" t="str">
        <f t="shared" si="33"/>
        <v/>
      </c>
      <c r="T131">
        <f t="shared" si="34"/>
        <v>6</v>
      </c>
      <c r="U131" s="208" t="str">
        <f t="shared" si="42"/>
        <v>KIỆN 9</v>
      </c>
      <c r="V131" s="208" t="str">
        <f t="shared" si="35"/>
        <v/>
      </c>
      <c r="W131" s="240"/>
      <c r="X131" s="240"/>
      <c r="Y131" s="240" t="str">
        <f t="shared" si="36"/>
        <v/>
      </c>
      <c r="Z131" s="240"/>
      <c r="AD131" s="232" t="str">
        <f t="shared" si="37"/>
        <v/>
      </c>
      <c r="AE131" s="204"/>
      <c r="AX131" s="3" t="str">
        <f t="shared" si="27"/>
        <v/>
      </c>
    </row>
    <row r="132" spans="1:50" s="155" customFormat="1" ht="30" hidden="1" customHeight="1">
      <c r="A132" s="141" t="str">
        <f t="shared" si="38"/>
        <v/>
      </c>
      <c r="B132" s="141" t="str">
        <f t="shared" si="39"/>
        <v/>
      </c>
      <c r="C132" s="205" t="str" cm="1">
        <f t="array" ref="C132">IF(D132="","",
    IF(AND(ISNUMBER(D132), D132=INT(D132)),
        $V$6 &amp; " " &amp; (IFERROR(MAX($Y$12:$Y131), 0) + 1),
        IF(ISNUMBER(SEARCH(".", D132)), "", INDEX($C$12:$C132, MATCH(2, 1/($C$12:$C132 &lt;&gt; ""))))
    )
)</f>
        <v/>
      </c>
      <c r="D132" s="206"/>
      <c r="E132" s="206" t="str">
        <f>IF(AA132 = "", "",
    IF(ISNUMBER(SEARCH("Kiện", C132)),
       " GÓI " &amp; COUNTIF($C$13:C132, "*Kiện*") &amp; "/" &amp; COUNTIF($C$13:$C$1000, "*Kiện*") &amp; " " &amp; AA132,
       AA132)
)</f>
        <v/>
      </c>
      <c r="F132" s="206"/>
      <c r="G132" s="206"/>
      <c r="H132" s="206"/>
      <c r="I132" s="206"/>
      <c r="J132" s="206" t="str">
        <f t="shared" si="40"/>
        <v/>
      </c>
      <c r="K132" s="206" t="str">
        <f t="shared" si="28"/>
        <v/>
      </c>
      <c r="L132" s="206" t="str">
        <f t="shared" si="29"/>
        <v/>
      </c>
      <c r="M132" s="206" t="str">
        <f t="shared" si="30"/>
        <v/>
      </c>
      <c r="N132" s="206" t="str">
        <f t="shared" si="41"/>
        <v/>
      </c>
      <c r="O132" s="206" t="str">
        <f t="shared" si="31"/>
        <v/>
      </c>
      <c r="P132" s="165" t="str">
        <f t="shared" si="32"/>
        <v/>
      </c>
      <c r="Q132" s="207"/>
      <c r="R132" s="141" t="str">
        <f>IF(S132="IN",'BOM_Phan II'!$Y$3,"")</f>
        <v/>
      </c>
      <c r="S132" s="153" t="str">
        <f t="shared" si="33"/>
        <v/>
      </c>
      <c r="T132">
        <f t="shared" si="34"/>
        <v>6</v>
      </c>
      <c r="U132" s="208" t="str">
        <f t="shared" si="42"/>
        <v>KIỆN 9</v>
      </c>
      <c r="V132" s="208" t="str">
        <f t="shared" si="35"/>
        <v/>
      </c>
      <c r="W132" s="240"/>
      <c r="X132" s="240"/>
      <c r="Y132" s="240" t="str">
        <f t="shared" si="36"/>
        <v/>
      </c>
      <c r="Z132" s="240"/>
      <c r="AD132" s="232" t="str">
        <f t="shared" si="37"/>
        <v/>
      </c>
      <c r="AE132" s="204"/>
      <c r="AX132" s="3" t="str">
        <f t="shared" si="27"/>
        <v/>
      </c>
    </row>
    <row r="133" spans="1:50" s="155" customFormat="1" ht="30" hidden="1" customHeight="1">
      <c r="A133" s="141" t="str">
        <f t="shared" si="38"/>
        <v/>
      </c>
      <c r="B133" s="141" t="str">
        <f t="shared" si="39"/>
        <v/>
      </c>
      <c r="C133" s="205" t="str" cm="1">
        <f t="array" ref="C133">IF(D133="","",
    IF(AND(ISNUMBER(D133), D133=INT(D133)),
        $V$6 &amp; " " &amp; (IFERROR(MAX($Y$12:$Y132), 0) + 1),
        IF(ISNUMBER(SEARCH(".", D133)), "", INDEX($C$12:$C133, MATCH(2, 1/($C$12:$C133 &lt;&gt; ""))))
    )
)</f>
        <v/>
      </c>
      <c r="D133" s="206"/>
      <c r="E133" s="206" t="str">
        <f>IF(AA133 = "", "",
    IF(ISNUMBER(SEARCH("Kiện", C133)),
       " GÓI " &amp; COUNTIF($C$13:C133, "*Kiện*") &amp; "/" &amp; COUNTIF($C$13:$C$1000, "*Kiện*") &amp; " " &amp; AA133,
       AA133)
)</f>
        <v/>
      </c>
      <c r="F133" s="206"/>
      <c r="G133" s="206"/>
      <c r="H133" s="206"/>
      <c r="I133" s="206"/>
      <c r="J133" s="206" t="str">
        <f t="shared" si="40"/>
        <v/>
      </c>
      <c r="K133" s="206" t="str">
        <f t="shared" si="28"/>
        <v/>
      </c>
      <c r="L133" s="206" t="str">
        <f t="shared" si="29"/>
        <v/>
      </c>
      <c r="M133" s="206" t="str">
        <f t="shared" si="30"/>
        <v/>
      </c>
      <c r="N133" s="206" t="str">
        <f t="shared" si="41"/>
        <v/>
      </c>
      <c r="O133" s="206" t="str">
        <f t="shared" si="31"/>
        <v/>
      </c>
      <c r="P133" s="165" t="str">
        <f t="shared" si="32"/>
        <v/>
      </c>
      <c r="Q133" s="207"/>
      <c r="R133" s="141" t="str">
        <f>IF(S133="IN",'BOM_Phan II'!$Y$3,"")</f>
        <v/>
      </c>
      <c r="S133" s="153" t="str">
        <f t="shared" si="33"/>
        <v/>
      </c>
      <c r="T133">
        <f t="shared" si="34"/>
        <v>6</v>
      </c>
      <c r="U133" s="208" t="str">
        <f t="shared" si="42"/>
        <v>KIỆN 9</v>
      </c>
      <c r="V133" s="208" t="str">
        <f t="shared" si="35"/>
        <v/>
      </c>
      <c r="W133" s="240"/>
      <c r="X133" s="240"/>
      <c r="Y133" s="240" t="str">
        <f t="shared" si="36"/>
        <v/>
      </c>
      <c r="Z133" s="240"/>
      <c r="AD133" s="232" t="str">
        <f t="shared" si="37"/>
        <v/>
      </c>
      <c r="AE133" s="204"/>
      <c r="AX133" s="3" t="str">
        <f t="shared" si="27"/>
        <v/>
      </c>
    </row>
    <row r="134" spans="1:50" s="155" customFormat="1" ht="30" hidden="1" customHeight="1">
      <c r="A134" s="141" t="str">
        <f t="shared" si="38"/>
        <v/>
      </c>
      <c r="B134" s="141" t="str">
        <f t="shared" si="39"/>
        <v/>
      </c>
      <c r="C134" s="205" t="str" cm="1">
        <f t="array" ref="C134">IF(D134="","",
    IF(AND(ISNUMBER(D134), D134=INT(D134)),
        $V$6 &amp; " " &amp; (IFERROR(MAX($Y$12:$Y133), 0) + 1),
        IF(ISNUMBER(SEARCH(".", D134)), "", INDEX($C$12:$C134, MATCH(2, 1/($C$12:$C134 &lt;&gt; ""))))
    )
)</f>
        <v/>
      </c>
      <c r="D134" s="206"/>
      <c r="E134" s="206" t="str">
        <f>IF(AA134 = "", "",
    IF(ISNUMBER(SEARCH("Kiện", C134)),
       " GÓI " &amp; COUNTIF($C$13:C134, "*Kiện*") &amp; "/" &amp; COUNTIF($C$13:$C$1000, "*Kiện*") &amp; " " &amp; AA134,
       AA134)
)</f>
        <v/>
      </c>
      <c r="F134" s="206"/>
      <c r="G134" s="206"/>
      <c r="H134" s="206"/>
      <c r="I134" s="206"/>
      <c r="J134" s="206" t="str">
        <f t="shared" si="40"/>
        <v/>
      </c>
      <c r="K134" s="206" t="str">
        <f t="shared" si="28"/>
        <v/>
      </c>
      <c r="L134" s="206" t="str">
        <f t="shared" si="29"/>
        <v/>
      </c>
      <c r="M134" s="206" t="str">
        <f t="shared" si="30"/>
        <v/>
      </c>
      <c r="N134" s="206" t="str">
        <f t="shared" si="41"/>
        <v/>
      </c>
      <c r="O134" s="206" t="str">
        <f t="shared" si="31"/>
        <v/>
      </c>
      <c r="P134" s="165" t="str">
        <f t="shared" si="32"/>
        <v/>
      </c>
      <c r="Q134" s="207"/>
      <c r="R134" s="141" t="str">
        <f>IF(S134="IN",'BOM_Phan II'!$Y$3,"")</f>
        <v/>
      </c>
      <c r="S134" s="153" t="str">
        <f t="shared" si="33"/>
        <v/>
      </c>
      <c r="T134">
        <f t="shared" si="34"/>
        <v>6</v>
      </c>
      <c r="U134" s="208" t="str">
        <f t="shared" si="42"/>
        <v>KIỆN 9</v>
      </c>
      <c r="V134" s="208" t="str">
        <f t="shared" si="35"/>
        <v/>
      </c>
      <c r="W134" s="240"/>
      <c r="X134" s="240"/>
      <c r="Y134" s="240" t="str">
        <f t="shared" si="36"/>
        <v/>
      </c>
      <c r="Z134" s="240"/>
      <c r="AD134" s="232" t="str">
        <f t="shared" si="37"/>
        <v/>
      </c>
      <c r="AE134" s="204"/>
      <c r="AX134" s="3" t="str">
        <f t="shared" si="27"/>
        <v/>
      </c>
    </row>
    <row r="135" spans="1:50" s="155" customFormat="1" ht="30" hidden="1" customHeight="1">
      <c r="A135" s="141" t="str">
        <f t="shared" si="38"/>
        <v/>
      </c>
      <c r="B135" s="141" t="str">
        <f t="shared" si="39"/>
        <v/>
      </c>
      <c r="C135" s="205" t="str" cm="1">
        <f t="array" ref="C135">IF(D135="","",
    IF(AND(ISNUMBER(D135), D135=INT(D135)),
        $V$6 &amp; " " &amp; (IFERROR(MAX($Y$12:$Y134), 0) + 1),
        IF(ISNUMBER(SEARCH(".", D135)), "", INDEX($C$12:$C135, MATCH(2, 1/($C$12:$C135 &lt;&gt; ""))))
    )
)</f>
        <v/>
      </c>
      <c r="D135" s="206"/>
      <c r="E135" s="206" t="str">
        <f>IF(AA135 = "", "",
    IF(ISNUMBER(SEARCH("Kiện", C135)),
       " GÓI " &amp; COUNTIF($C$13:C135, "*Kiện*") &amp; "/" &amp; COUNTIF($C$13:$C$1000, "*Kiện*") &amp; " " &amp; AA135,
       AA135)
)</f>
        <v/>
      </c>
      <c r="F135" s="206"/>
      <c r="G135" s="206"/>
      <c r="H135" s="206"/>
      <c r="I135" s="206"/>
      <c r="J135" s="206" t="str">
        <f t="shared" si="40"/>
        <v/>
      </c>
      <c r="K135" s="206" t="str">
        <f t="shared" si="28"/>
        <v/>
      </c>
      <c r="L135" s="206" t="str">
        <f t="shared" si="29"/>
        <v/>
      </c>
      <c r="M135" s="206" t="str">
        <f t="shared" si="30"/>
        <v/>
      </c>
      <c r="N135" s="206" t="str">
        <f t="shared" si="41"/>
        <v/>
      </c>
      <c r="O135" s="206" t="str">
        <f t="shared" si="31"/>
        <v/>
      </c>
      <c r="P135" s="165" t="str">
        <f t="shared" si="32"/>
        <v/>
      </c>
      <c r="Q135" s="207"/>
      <c r="R135" s="141" t="str">
        <f>IF(S135="IN",'BOM_Phan II'!$Y$3,"")</f>
        <v/>
      </c>
      <c r="S135" s="153" t="str">
        <f t="shared" si="33"/>
        <v/>
      </c>
      <c r="T135">
        <f t="shared" si="34"/>
        <v>6</v>
      </c>
      <c r="U135" s="208" t="str">
        <f t="shared" si="42"/>
        <v>KIỆN 9</v>
      </c>
      <c r="V135" s="208" t="str">
        <f t="shared" si="35"/>
        <v/>
      </c>
      <c r="W135" s="240"/>
      <c r="X135" s="240"/>
      <c r="Y135" s="240" t="str">
        <f t="shared" si="36"/>
        <v/>
      </c>
      <c r="Z135" s="240"/>
      <c r="AD135" s="232" t="str">
        <f t="shared" si="37"/>
        <v/>
      </c>
      <c r="AE135" s="204"/>
      <c r="AX135" s="3" t="str">
        <f t="shared" si="27"/>
        <v/>
      </c>
    </row>
    <row r="136" spans="1:50" s="155" customFormat="1" ht="30" hidden="1" customHeight="1">
      <c r="A136" s="141" t="str">
        <f t="shared" si="38"/>
        <v/>
      </c>
      <c r="B136" s="141" t="str">
        <f t="shared" si="39"/>
        <v/>
      </c>
      <c r="C136" s="205" t="str" cm="1">
        <f t="array" ref="C136">IF(D136="","",
    IF(AND(ISNUMBER(D136), D136=INT(D136)),
        $V$6 &amp; " " &amp; (IFERROR(MAX($Y$12:$Y135), 0) + 1),
        IF(ISNUMBER(SEARCH(".", D136)), "", INDEX($C$12:$C136, MATCH(2, 1/($C$12:$C136 &lt;&gt; ""))))
    )
)</f>
        <v/>
      </c>
      <c r="D136" s="206"/>
      <c r="E136" s="206" t="str">
        <f>IF(AA136 = "", "",
    IF(ISNUMBER(SEARCH("Kiện", C136)),
       " GÓI " &amp; COUNTIF($C$13:C136, "*Kiện*") &amp; "/" &amp; COUNTIF($C$13:$C$1000, "*Kiện*") &amp; " " &amp; AA136,
       AA136)
)</f>
        <v/>
      </c>
      <c r="F136" s="206"/>
      <c r="G136" s="206"/>
      <c r="H136" s="206"/>
      <c r="I136" s="206"/>
      <c r="J136" s="206" t="str">
        <f t="shared" si="40"/>
        <v/>
      </c>
      <c r="K136" s="206" t="str">
        <f t="shared" si="28"/>
        <v/>
      </c>
      <c r="L136" s="206" t="str">
        <f t="shared" si="29"/>
        <v/>
      </c>
      <c r="M136" s="206" t="str">
        <f t="shared" si="30"/>
        <v/>
      </c>
      <c r="N136" s="206" t="str">
        <f t="shared" si="41"/>
        <v/>
      </c>
      <c r="O136" s="206" t="str">
        <f t="shared" si="31"/>
        <v/>
      </c>
      <c r="P136" s="165" t="str">
        <f t="shared" si="32"/>
        <v/>
      </c>
      <c r="Q136" s="207"/>
      <c r="R136" s="141" t="str">
        <f>IF(S136="IN",'BOM_Phan II'!$Y$3,"")</f>
        <v/>
      </c>
      <c r="S136" s="153" t="str">
        <f t="shared" si="33"/>
        <v/>
      </c>
      <c r="T136">
        <f t="shared" si="34"/>
        <v>6</v>
      </c>
      <c r="U136" s="208" t="str">
        <f t="shared" si="42"/>
        <v>KIỆN 9</v>
      </c>
      <c r="V136" s="208" t="str">
        <f t="shared" si="35"/>
        <v/>
      </c>
      <c r="W136" s="240"/>
      <c r="X136" s="240"/>
      <c r="Y136" s="240" t="str">
        <f t="shared" si="36"/>
        <v/>
      </c>
      <c r="Z136" s="240"/>
      <c r="AD136" s="232" t="str">
        <f t="shared" si="37"/>
        <v/>
      </c>
      <c r="AE136" s="204"/>
      <c r="AX136" s="3" t="str">
        <f t="shared" si="27"/>
        <v/>
      </c>
    </row>
    <row r="137" spans="1:50" s="155" customFormat="1" ht="30" hidden="1" customHeight="1">
      <c r="A137" s="141" t="str">
        <f t="shared" si="38"/>
        <v/>
      </c>
      <c r="B137" s="141" t="str">
        <f t="shared" si="39"/>
        <v/>
      </c>
      <c r="C137" s="205" t="str" cm="1">
        <f t="array" ref="C137">IF(D137="","",
    IF(AND(ISNUMBER(D137), D137=INT(D137)),
        $V$6 &amp; " " &amp; (IFERROR(MAX($Y$12:$Y136), 0) + 1),
        IF(ISNUMBER(SEARCH(".", D137)), "", INDEX($C$12:$C137, MATCH(2, 1/($C$12:$C137 &lt;&gt; ""))))
    )
)</f>
        <v/>
      </c>
      <c r="D137" s="206"/>
      <c r="E137" s="206" t="str">
        <f>IF(AA137 = "", "",
    IF(ISNUMBER(SEARCH("Kiện", C137)),
       " GÓI " &amp; COUNTIF($C$13:C137, "*Kiện*") &amp; "/" &amp; COUNTIF($C$13:$C$1000, "*Kiện*") &amp; " " &amp; AA137,
       AA137)
)</f>
        <v/>
      </c>
      <c r="F137" s="206"/>
      <c r="G137" s="206"/>
      <c r="H137" s="206"/>
      <c r="I137" s="206"/>
      <c r="J137" s="206" t="str">
        <f t="shared" si="40"/>
        <v/>
      </c>
      <c r="K137" s="206" t="str">
        <f t="shared" si="28"/>
        <v/>
      </c>
      <c r="L137" s="206" t="str">
        <f t="shared" si="29"/>
        <v/>
      </c>
      <c r="M137" s="206" t="str">
        <f t="shared" si="30"/>
        <v/>
      </c>
      <c r="N137" s="206" t="str">
        <f t="shared" si="41"/>
        <v/>
      </c>
      <c r="O137" s="206" t="str">
        <f t="shared" si="31"/>
        <v/>
      </c>
      <c r="P137" s="165" t="str">
        <f t="shared" si="32"/>
        <v/>
      </c>
      <c r="Q137" s="207"/>
      <c r="R137" s="141" t="str">
        <f>IF(S137="IN",'BOM_Phan II'!$Y$3,"")</f>
        <v/>
      </c>
      <c r="S137" s="153" t="str">
        <f t="shared" si="33"/>
        <v/>
      </c>
      <c r="T137">
        <f t="shared" si="34"/>
        <v>6</v>
      </c>
      <c r="U137" s="208" t="str">
        <f t="shared" si="42"/>
        <v>KIỆN 9</v>
      </c>
      <c r="V137" s="208" t="str">
        <f t="shared" si="35"/>
        <v/>
      </c>
      <c r="W137" s="240"/>
      <c r="X137" s="240"/>
      <c r="Y137" s="240" t="str">
        <f t="shared" si="36"/>
        <v/>
      </c>
      <c r="Z137" s="240"/>
      <c r="AD137" s="232" t="str">
        <f t="shared" si="37"/>
        <v/>
      </c>
      <c r="AE137" s="204"/>
      <c r="AX137" s="3" t="str">
        <f t="shared" si="27"/>
        <v/>
      </c>
    </row>
    <row r="138" spans="1:50" s="155" customFormat="1" ht="30" hidden="1" customHeight="1">
      <c r="A138" s="141" t="str">
        <f t="shared" si="38"/>
        <v/>
      </c>
      <c r="B138" s="141" t="str">
        <f t="shared" si="39"/>
        <v/>
      </c>
      <c r="C138" s="205" t="str" cm="1">
        <f t="array" ref="C138">IF(D138="","",
    IF(AND(ISNUMBER(D138), D138=INT(D138)),
        $V$6 &amp; " " &amp; (IFERROR(MAX($Y$12:$Y137), 0) + 1),
        IF(ISNUMBER(SEARCH(".", D138)), "", INDEX($C$12:$C138, MATCH(2, 1/($C$12:$C138 &lt;&gt; ""))))
    )
)</f>
        <v/>
      </c>
      <c r="D138" s="206"/>
      <c r="E138" s="206" t="str">
        <f>IF(AA138 = "", "",
    IF(ISNUMBER(SEARCH("Kiện", C138)),
       " GÓI " &amp; COUNTIF($C$13:C138, "*Kiện*") &amp; "/" &amp; COUNTIF($C$13:$C$1000, "*Kiện*") &amp; " " &amp; AA138,
       AA138)
)</f>
        <v/>
      </c>
      <c r="F138" s="206"/>
      <c r="G138" s="206"/>
      <c r="H138" s="206"/>
      <c r="I138" s="206"/>
      <c r="J138" s="206" t="str">
        <f t="shared" si="40"/>
        <v/>
      </c>
      <c r="K138" s="206" t="str">
        <f t="shared" si="28"/>
        <v/>
      </c>
      <c r="L138" s="206" t="str">
        <f t="shared" si="29"/>
        <v/>
      </c>
      <c r="M138" s="206" t="str">
        <f t="shared" si="30"/>
        <v/>
      </c>
      <c r="N138" s="206" t="str">
        <f t="shared" si="41"/>
        <v/>
      </c>
      <c r="O138" s="206" t="str">
        <f t="shared" si="31"/>
        <v/>
      </c>
      <c r="P138" s="165" t="str">
        <f t="shared" si="32"/>
        <v/>
      </c>
      <c r="Q138" s="207"/>
      <c r="R138" s="141" t="str">
        <f>IF(S138="IN",'BOM_Phan II'!$Y$3,"")</f>
        <v/>
      </c>
      <c r="S138" s="153" t="str">
        <f t="shared" si="33"/>
        <v/>
      </c>
      <c r="T138">
        <f t="shared" si="34"/>
        <v>6</v>
      </c>
      <c r="U138" s="208" t="str">
        <f t="shared" si="42"/>
        <v>KIỆN 9</v>
      </c>
      <c r="V138" s="208" t="str">
        <f t="shared" si="35"/>
        <v/>
      </c>
      <c r="W138" s="240"/>
      <c r="X138" s="240"/>
      <c r="Y138" s="240" t="str">
        <f t="shared" si="36"/>
        <v/>
      </c>
      <c r="Z138" s="240"/>
      <c r="AD138" s="232" t="str">
        <f t="shared" si="37"/>
        <v/>
      </c>
      <c r="AE138" s="204"/>
      <c r="AX138" s="3" t="str">
        <f t="shared" si="27"/>
        <v/>
      </c>
    </row>
    <row r="139" spans="1:50" s="155" customFormat="1" ht="30" hidden="1" customHeight="1">
      <c r="A139" s="141" t="str">
        <f t="shared" si="38"/>
        <v/>
      </c>
      <c r="B139" s="141" t="str">
        <f t="shared" si="39"/>
        <v/>
      </c>
      <c r="C139" s="205" t="str" cm="1">
        <f t="array" ref="C139">IF(D139="","",
    IF(AND(ISNUMBER(D139), D139=INT(D139)),
        $V$6 &amp; " " &amp; (IFERROR(MAX($Y$12:$Y138), 0) + 1),
        IF(ISNUMBER(SEARCH(".", D139)), "", INDEX($C$12:$C139, MATCH(2, 1/($C$12:$C139 &lt;&gt; ""))))
    )
)</f>
        <v/>
      </c>
      <c r="D139" s="206"/>
      <c r="E139" s="206" t="str">
        <f>IF(AA139 = "", "",
    IF(ISNUMBER(SEARCH("Kiện", C139)),
       " GÓI " &amp; COUNTIF($C$13:C139, "*Kiện*") &amp; "/" &amp; COUNTIF($C$13:$C$1000, "*Kiện*") &amp; " " &amp; AA139,
       AA139)
)</f>
        <v/>
      </c>
      <c r="F139" s="206"/>
      <c r="G139" s="206"/>
      <c r="H139" s="206"/>
      <c r="I139" s="206"/>
      <c r="J139" s="206" t="str">
        <f t="shared" si="40"/>
        <v/>
      </c>
      <c r="K139" s="206" t="str">
        <f t="shared" si="28"/>
        <v/>
      </c>
      <c r="L139" s="206" t="str">
        <f t="shared" si="29"/>
        <v/>
      </c>
      <c r="M139" s="206" t="str">
        <f t="shared" si="30"/>
        <v/>
      </c>
      <c r="N139" s="206" t="str">
        <f t="shared" si="41"/>
        <v/>
      </c>
      <c r="O139" s="206" t="str">
        <f t="shared" si="31"/>
        <v/>
      </c>
      <c r="P139" s="165" t="str">
        <f t="shared" si="32"/>
        <v/>
      </c>
      <c r="Q139" s="207"/>
      <c r="R139" s="141" t="str">
        <f>IF(S139="IN",'BOM_Phan II'!$Y$3,"")</f>
        <v/>
      </c>
      <c r="S139" s="153" t="str">
        <f t="shared" si="33"/>
        <v/>
      </c>
      <c r="T139">
        <f t="shared" si="34"/>
        <v>6</v>
      </c>
      <c r="U139" s="208" t="str">
        <f t="shared" si="42"/>
        <v>KIỆN 9</v>
      </c>
      <c r="V139" s="208" t="str">
        <f t="shared" si="35"/>
        <v/>
      </c>
      <c r="W139" s="240"/>
      <c r="X139" s="240"/>
      <c r="Y139" s="240" t="str">
        <f t="shared" si="36"/>
        <v/>
      </c>
      <c r="Z139" s="240"/>
      <c r="AD139" s="232" t="str">
        <f t="shared" si="37"/>
        <v/>
      </c>
      <c r="AE139" s="204"/>
      <c r="AX139" s="3" t="str">
        <f t="shared" si="27"/>
        <v/>
      </c>
    </row>
    <row r="140" spans="1:50" s="155" customFormat="1" ht="30" hidden="1" customHeight="1">
      <c r="A140" s="141" t="str">
        <f t="shared" si="38"/>
        <v/>
      </c>
      <c r="B140" s="141" t="str">
        <f t="shared" si="39"/>
        <v/>
      </c>
      <c r="C140" s="205" t="str" cm="1">
        <f t="array" ref="C140">IF(D140="","",
    IF(AND(ISNUMBER(D140), D140=INT(D140)),
        $V$6 &amp; " " &amp; (IFERROR(MAX($Y$12:$Y139), 0) + 1),
        IF(ISNUMBER(SEARCH(".", D140)), "", INDEX($C$12:$C140, MATCH(2, 1/($C$12:$C140 &lt;&gt; ""))))
    )
)</f>
        <v/>
      </c>
      <c r="D140" s="206"/>
      <c r="E140" s="206" t="str">
        <f>IF(AA140 = "", "",
    IF(ISNUMBER(SEARCH("Kiện", C140)),
       " GÓI " &amp; COUNTIF($C$13:C140, "*Kiện*") &amp; "/" &amp; COUNTIF($C$13:$C$1000, "*Kiện*") &amp; " " &amp; AA140,
       AA140)
)</f>
        <v/>
      </c>
      <c r="F140" s="206"/>
      <c r="G140" s="206"/>
      <c r="H140" s="206"/>
      <c r="I140" s="206"/>
      <c r="J140" s="206" t="str">
        <f t="shared" si="40"/>
        <v/>
      </c>
      <c r="K140" s="206" t="str">
        <f t="shared" si="28"/>
        <v/>
      </c>
      <c r="L140" s="206" t="str">
        <f t="shared" si="29"/>
        <v/>
      </c>
      <c r="M140" s="206" t="str">
        <f t="shared" si="30"/>
        <v/>
      </c>
      <c r="N140" s="206" t="str">
        <f t="shared" si="41"/>
        <v/>
      </c>
      <c r="O140" s="206" t="str">
        <f t="shared" si="31"/>
        <v/>
      </c>
      <c r="P140" s="165" t="str">
        <f t="shared" si="32"/>
        <v/>
      </c>
      <c r="Q140" s="207"/>
      <c r="R140" s="141" t="str">
        <f>IF(S140="IN",'BOM_Phan II'!$Y$3,"")</f>
        <v/>
      </c>
      <c r="S140" s="153" t="str">
        <f t="shared" si="33"/>
        <v/>
      </c>
      <c r="T140">
        <f t="shared" si="34"/>
        <v>6</v>
      </c>
      <c r="U140" s="208" t="str">
        <f t="shared" si="42"/>
        <v>KIỆN 9</v>
      </c>
      <c r="V140" s="208" t="str">
        <f t="shared" si="35"/>
        <v/>
      </c>
      <c r="W140" s="240"/>
      <c r="X140" s="240"/>
      <c r="Y140" s="240" t="str">
        <f t="shared" si="36"/>
        <v/>
      </c>
      <c r="Z140" s="240"/>
      <c r="AD140" s="232" t="str">
        <f t="shared" si="37"/>
        <v/>
      </c>
      <c r="AE140" s="204"/>
      <c r="AX140" s="3" t="str">
        <f t="shared" ref="AX140:AX203" si="43">+S140</f>
        <v/>
      </c>
    </row>
    <row r="141" spans="1:50" s="155" customFormat="1" ht="30" hidden="1" customHeight="1">
      <c r="A141" s="141" t="str">
        <f t="shared" si="38"/>
        <v/>
      </c>
      <c r="B141" s="141" t="str">
        <f t="shared" si="39"/>
        <v/>
      </c>
      <c r="C141" s="205" t="str" cm="1">
        <f t="array" ref="C141">IF(D141="","",
    IF(AND(ISNUMBER(D141), D141=INT(D141)),
        $V$6 &amp; " " &amp; (IFERROR(MAX($Y$12:$Y140), 0) + 1),
        IF(ISNUMBER(SEARCH(".", D141)), "", INDEX($C$12:$C141, MATCH(2, 1/($C$12:$C141 &lt;&gt; ""))))
    )
)</f>
        <v/>
      </c>
      <c r="D141" s="206"/>
      <c r="E141" s="206" t="str">
        <f>IF(AA141 = "", "",
    IF(ISNUMBER(SEARCH("Kiện", C141)),
       " GÓI " &amp; COUNTIF($C$13:C141, "*Kiện*") &amp; "/" &amp; COUNTIF($C$13:$C$1000, "*Kiện*") &amp; " " &amp; AA141,
       AA141)
)</f>
        <v/>
      </c>
      <c r="F141" s="206"/>
      <c r="G141" s="206"/>
      <c r="H141" s="206"/>
      <c r="I141" s="206"/>
      <c r="J141" s="206" t="str">
        <f t="shared" si="40"/>
        <v/>
      </c>
      <c r="K141" s="206" t="str">
        <f t="shared" si="28"/>
        <v/>
      </c>
      <c r="L141" s="206" t="str">
        <f t="shared" si="29"/>
        <v/>
      </c>
      <c r="M141" s="206" t="str">
        <f t="shared" si="30"/>
        <v/>
      </c>
      <c r="N141" s="206" t="str">
        <f t="shared" si="41"/>
        <v/>
      </c>
      <c r="O141" s="206" t="str">
        <f t="shared" si="31"/>
        <v/>
      </c>
      <c r="P141" s="165" t="str">
        <f t="shared" si="32"/>
        <v/>
      </c>
      <c r="Q141" s="207"/>
      <c r="R141" s="141" t="str">
        <f>IF(S141="IN",'BOM_Phan II'!$Y$3,"")</f>
        <v/>
      </c>
      <c r="S141" s="153" t="str">
        <f t="shared" si="33"/>
        <v/>
      </c>
      <c r="T141">
        <f t="shared" si="34"/>
        <v>6</v>
      </c>
      <c r="U141" s="208" t="str">
        <f t="shared" si="42"/>
        <v>KIỆN 9</v>
      </c>
      <c r="V141" s="208" t="str">
        <f t="shared" si="35"/>
        <v/>
      </c>
      <c r="W141" s="240"/>
      <c r="X141" s="240"/>
      <c r="Y141" s="240" t="str">
        <f t="shared" si="36"/>
        <v/>
      </c>
      <c r="Z141" s="240"/>
      <c r="AD141" s="232" t="str">
        <f t="shared" si="37"/>
        <v/>
      </c>
      <c r="AE141" s="204"/>
      <c r="AX141" s="3" t="str">
        <f t="shared" si="43"/>
        <v/>
      </c>
    </row>
    <row r="142" spans="1:50" s="155" customFormat="1" ht="30" hidden="1" customHeight="1">
      <c r="A142" s="141" t="str">
        <f t="shared" si="38"/>
        <v/>
      </c>
      <c r="B142" s="141" t="str">
        <f t="shared" si="39"/>
        <v/>
      </c>
      <c r="C142" s="205" t="str" cm="1">
        <f t="array" ref="C142">IF(D142="","",
    IF(AND(ISNUMBER(D142), D142=INT(D142)),
        $V$6 &amp; " " &amp; (IFERROR(MAX($Y$12:$Y141), 0) + 1),
        IF(ISNUMBER(SEARCH(".", D142)), "", INDEX($C$12:$C142, MATCH(2, 1/($C$12:$C142 &lt;&gt; ""))))
    )
)</f>
        <v/>
      </c>
      <c r="D142" s="206"/>
      <c r="E142" s="206" t="str">
        <f>IF(AA142 = "", "",
    IF(ISNUMBER(SEARCH("Kiện", C142)),
       " GÓI " &amp; COUNTIF($C$13:C142, "*Kiện*") &amp; "/" &amp; COUNTIF($C$13:$C$1000, "*Kiện*") &amp; " " &amp; AA142,
       AA142)
)</f>
        <v/>
      </c>
      <c r="F142" s="206"/>
      <c r="G142" s="206"/>
      <c r="H142" s="206"/>
      <c r="I142" s="206"/>
      <c r="J142" s="206" t="str">
        <f t="shared" si="40"/>
        <v/>
      </c>
      <c r="K142" s="206" t="str">
        <f t="shared" ref="K142:K205" si="44">IFERROR(IF($C142&lt;&gt;"",IF($T$13=1,F142+20,IF($T$13=2,F142+20,IF($T$13=3,F142+50,IF($T$13=4,F142+40,IF($T$13=5,F142+50,IF($T$13=51,F142+50,IF($T$13=6,F142+50,IF($T$13=7,F142+50,"")))))))),""),"")</f>
        <v/>
      </c>
      <c r="L142" s="206" t="str">
        <f t="shared" ref="L142:L205" si="45">IFERROR(IF($C142&lt;&gt;"",IF($T$13=1,G142+20,IF($T$13=2,G142+20,IF($T$13=3,G142+50,IF($T$13=4,G142+40,IF($T$13=5,G142+50,IF($T$13=51,G142+50,IF($T$13=6,G142+50,IF($T$13=7,G142+50,"")))))))),""),"")</f>
        <v/>
      </c>
      <c r="M142" s="206" t="str">
        <f t="shared" ref="M142:M205" si="46">IFERROR(IF($C142&lt;&gt;"",IF($T$13=1,H142+20,IF($T$13=2,H142+20,IF($T$13=3,H142+70,IF($T$13=4,H142+40,IF($T$13=5,H142+50,IF($T$13=51,H142+150,IF($T$13=6,H142+50,IF($T$13=7,H142+50,"")))))))),""),"")</f>
        <v/>
      </c>
      <c r="N142" s="206" t="str">
        <f t="shared" si="41"/>
        <v/>
      </c>
      <c r="O142" s="206" t="str">
        <f t="shared" ref="O142:O205" si="47">IF(C142&lt;&gt;"",$O$12,"")</f>
        <v/>
      </c>
      <c r="P142" s="165" t="str">
        <f t="shared" ref="P142:P205" si="48">IFERROR(IF(C142&lt;&gt;"",SUMIFS($V$13:$V$969,$U$13:$U$969,C142)*$S$6,V142*$S$6),"")</f>
        <v/>
      </c>
      <c r="Q142" s="207"/>
      <c r="R142" s="141" t="str">
        <f>IF(S142="IN",'BOM_Phan II'!$Y$3,"")</f>
        <v/>
      </c>
      <c r="S142" s="153" t="str">
        <f t="shared" ref="S142:S205" si="49">IF(OR(E142&lt;&gt;"",D142&lt;&gt;""),"IN","")</f>
        <v/>
      </c>
      <c r="T142">
        <f t="shared" ref="T142:T205" si="50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142" s="208" t="str">
        <f t="shared" si="42"/>
        <v>KIỆN 9</v>
      </c>
      <c r="V142" s="208" t="str">
        <f t="shared" ref="V142:V205" si="51">IFERROR(IF(AND(C142="", OR($W142="1", $W142="2")), IF(I142="", "", F142*G142*H142*I142/10^9), ""), "")</f>
        <v/>
      </c>
      <c r="W142" s="240"/>
      <c r="X142" s="240"/>
      <c r="Y142" s="240" t="str">
        <f t="shared" ref="Y142:Y205" si="52">IFERROR(VALUE(RIGHT(C142,LEN(C142)-5)),"")</f>
        <v/>
      </c>
      <c r="Z142" s="240"/>
      <c r="AD142" s="232" t="str">
        <f t="shared" ref="AD142:AD205" si="53">IFERROR(VALUE(RIGHT(C142,LEN(C142)-5)),"")</f>
        <v/>
      </c>
      <c r="AE142" s="204"/>
      <c r="AX142" s="3" t="str">
        <f t="shared" si="43"/>
        <v/>
      </c>
    </row>
    <row r="143" spans="1:50" s="155" customFormat="1" ht="30" hidden="1" customHeight="1">
      <c r="A143" s="141" t="str">
        <f t="shared" si="38"/>
        <v/>
      </c>
      <c r="B143" s="141" t="str">
        <f t="shared" si="39"/>
        <v/>
      </c>
      <c r="C143" s="205" t="str" cm="1">
        <f t="array" ref="C143">IF(D143="","",
    IF(AND(ISNUMBER(D143), D143=INT(D143)),
        $V$6 &amp; " " &amp; (IFERROR(MAX($Y$12:$Y142), 0) + 1),
        IF(ISNUMBER(SEARCH(".", D143)), "", INDEX($C$12:$C143, MATCH(2, 1/($C$12:$C143 &lt;&gt; ""))))
    )
)</f>
        <v/>
      </c>
      <c r="D143" s="206"/>
      <c r="E143" s="206" t="str">
        <f>IF(AA143 = "", "",
    IF(ISNUMBER(SEARCH("Kiện", C143)),
       " GÓI " &amp; COUNTIF($C$13:C143, "*Kiện*") &amp; "/" &amp; COUNTIF($C$13:$C$1000, "*Kiện*") &amp; " " &amp; AA143,
       AA143)
)</f>
        <v/>
      </c>
      <c r="F143" s="206"/>
      <c r="G143" s="206"/>
      <c r="H143" s="206"/>
      <c r="I143" s="206"/>
      <c r="J143" s="206" t="str">
        <f t="shared" si="40"/>
        <v/>
      </c>
      <c r="K143" s="206" t="str">
        <f t="shared" si="44"/>
        <v/>
      </c>
      <c r="L143" s="206" t="str">
        <f t="shared" si="45"/>
        <v/>
      </c>
      <c r="M143" s="206" t="str">
        <f t="shared" si="46"/>
        <v/>
      </c>
      <c r="N143" s="206" t="str">
        <f t="shared" si="41"/>
        <v/>
      </c>
      <c r="O143" s="206" t="str">
        <f t="shared" si="47"/>
        <v/>
      </c>
      <c r="P143" s="165" t="str">
        <f t="shared" si="48"/>
        <v/>
      </c>
      <c r="Q143" s="207"/>
      <c r="R143" s="141" t="str">
        <f>IF(S143="IN",'BOM_Phan II'!$Y$3,"")</f>
        <v/>
      </c>
      <c r="S143" s="153" t="str">
        <f t="shared" si="49"/>
        <v/>
      </c>
      <c r="T143">
        <f t="shared" si="50"/>
        <v>6</v>
      </c>
      <c r="U143" s="208" t="str">
        <f t="shared" si="42"/>
        <v>KIỆN 9</v>
      </c>
      <c r="V143" s="208" t="str">
        <f t="shared" si="51"/>
        <v/>
      </c>
      <c r="W143" s="240"/>
      <c r="X143" s="240"/>
      <c r="Y143" s="240" t="str">
        <f t="shared" si="52"/>
        <v/>
      </c>
      <c r="Z143" s="240"/>
      <c r="AD143" s="232" t="str">
        <f t="shared" si="53"/>
        <v/>
      </c>
      <c r="AE143" s="204"/>
      <c r="AX143" s="3" t="str">
        <f t="shared" si="43"/>
        <v/>
      </c>
    </row>
    <row r="144" spans="1:50" s="155" customFormat="1" ht="30" hidden="1" customHeight="1">
      <c r="A144" s="141" t="str">
        <f t="shared" ref="A144:A207" si="54">IF(S144="IN",$E$6,"")</f>
        <v/>
      </c>
      <c r="B144" s="141" t="str">
        <f t="shared" ref="B144:B207" si="55">IF(S144="IN","Muc "&amp;$E$7,"")</f>
        <v/>
      </c>
      <c r="C144" s="205" t="str" cm="1">
        <f t="array" ref="C144">IF(D144="","",
    IF(AND(ISNUMBER(D144), D144=INT(D144)),
        $V$6 &amp; " " &amp; (IFERROR(MAX($Y$12:$Y143), 0) + 1),
        IF(ISNUMBER(SEARCH(".", D144)), "", INDEX($C$12:$C144, MATCH(2, 1/($C$12:$C144 &lt;&gt; ""))))
    )
)</f>
        <v/>
      </c>
      <c r="D144" s="206"/>
      <c r="E144" s="206" t="str">
        <f>IF(AA144 = "", "",
    IF(ISNUMBER(SEARCH("Kiện", C144)),
       " GÓI " &amp; COUNTIF($C$13:C144, "*Kiện*") &amp; "/" &amp; COUNTIF($C$13:$C$1000, "*Kiện*") &amp; " " &amp; AA144,
       AA144)
)</f>
        <v/>
      </c>
      <c r="F144" s="206"/>
      <c r="G144" s="206"/>
      <c r="H144" s="206"/>
      <c r="I144" s="206"/>
      <c r="J144" s="206" t="str">
        <f t="shared" ref="J144:J207" si="56">IF(C144&lt;&gt;"",C144&amp;"_"&amp;$E$6,"")</f>
        <v/>
      </c>
      <c r="K144" s="206" t="str">
        <f t="shared" si="44"/>
        <v/>
      </c>
      <c r="L144" s="206" t="str">
        <f t="shared" si="45"/>
        <v/>
      </c>
      <c r="M144" s="206" t="str">
        <f t="shared" si="46"/>
        <v/>
      </c>
      <c r="N144" s="206" t="str">
        <f t="shared" ref="N144:N207" si="57">IF(C144&lt;&gt;"",I144,"")</f>
        <v/>
      </c>
      <c r="O144" s="206" t="str">
        <f t="shared" si="47"/>
        <v/>
      </c>
      <c r="P144" s="165" t="str">
        <f t="shared" si="48"/>
        <v/>
      </c>
      <c r="Q144" s="207"/>
      <c r="R144" s="141" t="str">
        <f>IF(S144="IN",'BOM_Phan II'!$Y$3,"")</f>
        <v/>
      </c>
      <c r="S144" s="153" t="str">
        <f t="shared" si="49"/>
        <v/>
      </c>
      <c r="T144">
        <f t="shared" si="50"/>
        <v>6</v>
      </c>
      <c r="U144" s="208" t="str">
        <f t="shared" ref="U144:U207" si="58">IF(C144="",U143,C144)</f>
        <v>KIỆN 9</v>
      </c>
      <c r="V144" s="208" t="str">
        <f t="shared" si="51"/>
        <v/>
      </c>
      <c r="W144" s="240"/>
      <c r="X144" s="240"/>
      <c r="Y144" s="240" t="str">
        <f t="shared" si="52"/>
        <v/>
      </c>
      <c r="Z144" s="240"/>
      <c r="AD144" s="232" t="str">
        <f t="shared" si="53"/>
        <v/>
      </c>
      <c r="AE144" s="204"/>
      <c r="AX144" s="3" t="str">
        <f t="shared" si="43"/>
        <v/>
      </c>
    </row>
    <row r="145" spans="1:50" s="155" customFormat="1" ht="30" hidden="1" customHeight="1">
      <c r="A145" s="141" t="str">
        <f t="shared" si="54"/>
        <v/>
      </c>
      <c r="B145" s="141" t="str">
        <f t="shared" si="55"/>
        <v/>
      </c>
      <c r="C145" s="205" t="str" cm="1">
        <f t="array" ref="C145">IF(D145="","",
    IF(AND(ISNUMBER(D145), D145=INT(D145)),
        $V$6 &amp; " " &amp; (IFERROR(MAX($Y$12:$Y144), 0) + 1),
        IF(ISNUMBER(SEARCH(".", D145)), "", INDEX($C$12:$C145, MATCH(2, 1/($C$12:$C145 &lt;&gt; ""))))
    )
)</f>
        <v/>
      </c>
      <c r="D145" s="206"/>
      <c r="E145" s="206" t="str">
        <f>IF(AA145 = "", "",
    IF(ISNUMBER(SEARCH("Kiện", C145)),
       " GÓI " &amp; COUNTIF($C$13:C145, "*Kiện*") &amp; "/" &amp; COUNTIF($C$13:$C$1000, "*Kiện*") &amp; " " &amp; AA145,
       AA145)
)</f>
        <v/>
      </c>
      <c r="F145" s="206"/>
      <c r="G145" s="206"/>
      <c r="H145" s="206"/>
      <c r="I145" s="206"/>
      <c r="J145" s="206" t="str">
        <f t="shared" si="56"/>
        <v/>
      </c>
      <c r="K145" s="206" t="str">
        <f t="shared" si="44"/>
        <v/>
      </c>
      <c r="L145" s="206" t="str">
        <f t="shared" si="45"/>
        <v/>
      </c>
      <c r="M145" s="206" t="str">
        <f t="shared" si="46"/>
        <v/>
      </c>
      <c r="N145" s="206" t="str">
        <f t="shared" si="57"/>
        <v/>
      </c>
      <c r="O145" s="206" t="str">
        <f t="shared" si="47"/>
        <v/>
      </c>
      <c r="P145" s="165" t="str">
        <f t="shared" si="48"/>
        <v/>
      </c>
      <c r="Q145" s="207"/>
      <c r="R145" s="141" t="str">
        <f>IF(S145="IN",'BOM_Phan II'!$Y$3,"")</f>
        <v/>
      </c>
      <c r="S145" s="153" t="str">
        <f t="shared" si="49"/>
        <v/>
      </c>
      <c r="T145">
        <f t="shared" si="50"/>
        <v>6</v>
      </c>
      <c r="U145" s="208" t="str">
        <f t="shared" si="58"/>
        <v>KIỆN 9</v>
      </c>
      <c r="V145" s="208" t="str">
        <f t="shared" si="51"/>
        <v/>
      </c>
      <c r="W145" s="240"/>
      <c r="X145" s="240"/>
      <c r="Y145" s="240" t="str">
        <f t="shared" si="52"/>
        <v/>
      </c>
      <c r="Z145" s="240"/>
      <c r="AD145" s="232" t="str">
        <f t="shared" si="53"/>
        <v/>
      </c>
      <c r="AE145" s="204"/>
      <c r="AX145" s="3" t="str">
        <f t="shared" si="43"/>
        <v/>
      </c>
    </row>
    <row r="146" spans="1:50" s="155" customFormat="1" ht="30" hidden="1" customHeight="1">
      <c r="A146" s="141" t="str">
        <f t="shared" si="54"/>
        <v/>
      </c>
      <c r="B146" s="141" t="str">
        <f t="shared" si="55"/>
        <v/>
      </c>
      <c r="C146" s="205" t="str" cm="1">
        <f t="array" ref="C146">IF(D146="","",
    IF(AND(ISNUMBER(D146), D146=INT(D146)),
        $V$6 &amp; " " &amp; (IFERROR(MAX($Y$12:$Y145), 0) + 1),
        IF(ISNUMBER(SEARCH(".", D146)), "", INDEX($C$12:$C146, MATCH(2, 1/($C$12:$C146 &lt;&gt; ""))))
    )
)</f>
        <v/>
      </c>
      <c r="D146" s="206"/>
      <c r="E146" s="206" t="str">
        <f>IF(AA146 = "", "",
    IF(ISNUMBER(SEARCH("Kiện", C146)),
       " GÓI " &amp; COUNTIF($C$13:C146, "*Kiện*") &amp; "/" &amp; COUNTIF($C$13:$C$1000, "*Kiện*") &amp; " " &amp; AA146,
       AA146)
)</f>
        <v/>
      </c>
      <c r="F146" s="206"/>
      <c r="G146" s="206"/>
      <c r="H146" s="206"/>
      <c r="I146" s="206"/>
      <c r="J146" s="206" t="str">
        <f t="shared" si="56"/>
        <v/>
      </c>
      <c r="K146" s="206" t="str">
        <f t="shared" si="44"/>
        <v/>
      </c>
      <c r="L146" s="206" t="str">
        <f t="shared" si="45"/>
        <v/>
      </c>
      <c r="M146" s="206" t="str">
        <f t="shared" si="46"/>
        <v/>
      </c>
      <c r="N146" s="206" t="str">
        <f t="shared" si="57"/>
        <v/>
      </c>
      <c r="O146" s="206" t="str">
        <f t="shared" si="47"/>
        <v/>
      </c>
      <c r="P146" s="165" t="str">
        <f t="shared" si="48"/>
        <v/>
      </c>
      <c r="Q146" s="207"/>
      <c r="R146" s="141" t="str">
        <f>IF(S146="IN",'BOM_Phan II'!$Y$3,"")</f>
        <v/>
      </c>
      <c r="S146" s="153" t="str">
        <f t="shared" si="49"/>
        <v/>
      </c>
      <c r="T146">
        <f t="shared" si="50"/>
        <v>6</v>
      </c>
      <c r="U146" s="208" t="str">
        <f t="shared" si="58"/>
        <v>KIỆN 9</v>
      </c>
      <c r="V146" s="208" t="str">
        <f t="shared" si="51"/>
        <v/>
      </c>
      <c r="W146" s="240"/>
      <c r="X146" s="240"/>
      <c r="Y146" s="240" t="str">
        <f t="shared" si="52"/>
        <v/>
      </c>
      <c r="Z146" s="240"/>
      <c r="AD146" s="232" t="str">
        <f t="shared" si="53"/>
        <v/>
      </c>
      <c r="AE146" s="204"/>
      <c r="AX146" s="3" t="str">
        <f t="shared" si="43"/>
        <v/>
      </c>
    </row>
    <row r="147" spans="1:50" s="155" customFormat="1" ht="30" hidden="1" customHeight="1">
      <c r="A147" s="141" t="str">
        <f t="shared" si="54"/>
        <v/>
      </c>
      <c r="B147" s="141" t="str">
        <f t="shared" si="55"/>
        <v/>
      </c>
      <c r="C147" s="205" t="str" cm="1">
        <f t="array" ref="C147">IF(D147="","",
    IF(AND(ISNUMBER(D147), D147=INT(D147)),
        $V$6 &amp; " " &amp; (IFERROR(MAX($Y$12:$Y146), 0) + 1),
        IF(ISNUMBER(SEARCH(".", D147)), "", INDEX($C$12:$C147, MATCH(2, 1/($C$12:$C147 &lt;&gt; ""))))
    )
)</f>
        <v/>
      </c>
      <c r="D147" s="206"/>
      <c r="E147" s="206" t="str">
        <f>IF(AA147 = "", "",
    IF(ISNUMBER(SEARCH("Kiện", C147)),
       " GÓI " &amp; COUNTIF($C$13:C147, "*Kiện*") &amp; "/" &amp; COUNTIF($C$13:$C$1000, "*Kiện*") &amp; " " &amp; AA147,
       AA147)
)</f>
        <v/>
      </c>
      <c r="F147" s="206"/>
      <c r="G147" s="206"/>
      <c r="H147" s="206"/>
      <c r="I147" s="206"/>
      <c r="J147" s="206" t="str">
        <f t="shared" si="56"/>
        <v/>
      </c>
      <c r="K147" s="206" t="str">
        <f t="shared" si="44"/>
        <v/>
      </c>
      <c r="L147" s="206" t="str">
        <f t="shared" si="45"/>
        <v/>
      </c>
      <c r="M147" s="206" t="str">
        <f t="shared" si="46"/>
        <v/>
      </c>
      <c r="N147" s="206" t="str">
        <f t="shared" si="57"/>
        <v/>
      </c>
      <c r="O147" s="206" t="str">
        <f t="shared" si="47"/>
        <v/>
      </c>
      <c r="P147" s="165" t="str">
        <f t="shared" si="48"/>
        <v/>
      </c>
      <c r="Q147" s="207"/>
      <c r="R147" s="141" t="str">
        <f>IF(S147="IN",'BOM_Phan II'!$Y$3,"")</f>
        <v/>
      </c>
      <c r="S147" s="153" t="str">
        <f t="shared" si="49"/>
        <v/>
      </c>
      <c r="T147">
        <f t="shared" si="50"/>
        <v>6</v>
      </c>
      <c r="U147" s="208" t="str">
        <f t="shared" si="58"/>
        <v>KIỆN 9</v>
      </c>
      <c r="V147" s="208" t="str">
        <f t="shared" si="51"/>
        <v/>
      </c>
      <c r="W147" s="240"/>
      <c r="X147" s="240"/>
      <c r="Y147" s="240" t="str">
        <f t="shared" si="52"/>
        <v/>
      </c>
      <c r="Z147" s="240"/>
      <c r="AD147" s="232" t="str">
        <f t="shared" si="53"/>
        <v/>
      </c>
      <c r="AE147" s="204"/>
      <c r="AX147" s="3" t="str">
        <f t="shared" si="43"/>
        <v/>
      </c>
    </row>
    <row r="148" spans="1:50" s="155" customFormat="1" ht="30" hidden="1" customHeight="1">
      <c r="A148" s="141" t="str">
        <f t="shared" si="54"/>
        <v/>
      </c>
      <c r="B148" s="141" t="str">
        <f t="shared" si="55"/>
        <v/>
      </c>
      <c r="C148" s="205" t="str" cm="1">
        <f t="array" ref="C148">IF(D148="","",
    IF(AND(ISNUMBER(D148), D148=INT(D148)),
        $V$6 &amp; " " &amp; (IFERROR(MAX($Y$12:$Y147), 0) + 1),
        IF(ISNUMBER(SEARCH(".", D148)), "", INDEX($C$12:$C148, MATCH(2, 1/($C$12:$C148 &lt;&gt; ""))))
    )
)</f>
        <v/>
      </c>
      <c r="D148" s="206"/>
      <c r="E148" s="206" t="str">
        <f>IF(AA148 = "", "",
    IF(ISNUMBER(SEARCH("Kiện", C148)),
       " GÓI " &amp; COUNTIF($C$13:C148, "*Kiện*") &amp; "/" &amp; COUNTIF($C$13:$C$1000, "*Kiện*") &amp; " " &amp; AA148,
       AA148)
)</f>
        <v/>
      </c>
      <c r="F148" s="206"/>
      <c r="G148" s="206"/>
      <c r="H148" s="206"/>
      <c r="I148" s="206"/>
      <c r="J148" s="206" t="str">
        <f t="shared" si="56"/>
        <v/>
      </c>
      <c r="K148" s="206" t="str">
        <f t="shared" si="44"/>
        <v/>
      </c>
      <c r="L148" s="206" t="str">
        <f t="shared" si="45"/>
        <v/>
      </c>
      <c r="M148" s="206" t="str">
        <f t="shared" si="46"/>
        <v/>
      </c>
      <c r="N148" s="206" t="str">
        <f t="shared" si="57"/>
        <v/>
      </c>
      <c r="O148" s="206" t="str">
        <f t="shared" si="47"/>
        <v/>
      </c>
      <c r="P148" s="165" t="str">
        <f t="shared" si="48"/>
        <v/>
      </c>
      <c r="Q148" s="207"/>
      <c r="R148" s="141" t="str">
        <f>IF(S148="IN",'BOM_Phan II'!$Y$3,"")</f>
        <v/>
      </c>
      <c r="S148" s="153" t="str">
        <f t="shared" si="49"/>
        <v/>
      </c>
      <c r="T148">
        <f t="shared" si="50"/>
        <v>6</v>
      </c>
      <c r="U148" s="208" t="str">
        <f t="shared" si="58"/>
        <v>KIỆN 9</v>
      </c>
      <c r="V148" s="208" t="str">
        <f t="shared" si="51"/>
        <v/>
      </c>
      <c r="W148" s="240"/>
      <c r="X148" s="240"/>
      <c r="Y148" s="240" t="str">
        <f t="shared" si="52"/>
        <v/>
      </c>
      <c r="Z148" s="240"/>
      <c r="AD148" s="232" t="str">
        <f t="shared" si="53"/>
        <v/>
      </c>
      <c r="AE148" s="204"/>
      <c r="AX148" s="3" t="str">
        <f t="shared" si="43"/>
        <v/>
      </c>
    </row>
    <row r="149" spans="1:50" s="155" customFormat="1" ht="30" hidden="1" customHeight="1">
      <c r="A149" s="141" t="str">
        <f t="shared" si="54"/>
        <v/>
      </c>
      <c r="B149" s="141" t="str">
        <f t="shared" si="55"/>
        <v/>
      </c>
      <c r="C149" s="205" t="str" cm="1">
        <f t="array" ref="C149">IF(D149="","",
    IF(AND(ISNUMBER(D149), D149=INT(D149)),
        $V$6 &amp; " " &amp; (IFERROR(MAX($Y$12:$Y148), 0) + 1),
        IF(ISNUMBER(SEARCH(".", D149)), "", INDEX($C$12:$C149, MATCH(2, 1/($C$12:$C149 &lt;&gt; ""))))
    )
)</f>
        <v/>
      </c>
      <c r="D149" s="206"/>
      <c r="E149" s="206" t="str">
        <f>IF(AA149 = "", "",
    IF(ISNUMBER(SEARCH("Kiện", C149)),
       " GÓI " &amp; COUNTIF($C$13:C149, "*Kiện*") &amp; "/" &amp; COUNTIF($C$13:$C$1000, "*Kiện*") &amp; " " &amp; AA149,
       AA149)
)</f>
        <v/>
      </c>
      <c r="F149" s="206"/>
      <c r="G149" s="206"/>
      <c r="H149" s="206"/>
      <c r="I149" s="206"/>
      <c r="J149" s="206" t="str">
        <f t="shared" si="56"/>
        <v/>
      </c>
      <c r="K149" s="206" t="str">
        <f t="shared" si="44"/>
        <v/>
      </c>
      <c r="L149" s="206" t="str">
        <f t="shared" si="45"/>
        <v/>
      </c>
      <c r="M149" s="206" t="str">
        <f t="shared" si="46"/>
        <v/>
      </c>
      <c r="N149" s="206" t="str">
        <f t="shared" si="57"/>
        <v/>
      </c>
      <c r="O149" s="206" t="str">
        <f t="shared" si="47"/>
        <v/>
      </c>
      <c r="P149" s="165" t="str">
        <f t="shared" si="48"/>
        <v/>
      </c>
      <c r="Q149" s="207"/>
      <c r="R149" s="141" t="str">
        <f>IF(S149="IN",'BOM_Phan II'!$Y$3,"")</f>
        <v/>
      </c>
      <c r="S149" s="153" t="str">
        <f t="shared" si="49"/>
        <v/>
      </c>
      <c r="T149">
        <f t="shared" si="50"/>
        <v>6</v>
      </c>
      <c r="U149" s="208" t="str">
        <f t="shared" si="58"/>
        <v>KIỆN 9</v>
      </c>
      <c r="V149" s="208" t="str">
        <f t="shared" si="51"/>
        <v/>
      </c>
      <c r="W149" s="240"/>
      <c r="X149" s="240"/>
      <c r="Y149" s="240" t="str">
        <f t="shared" si="52"/>
        <v/>
      </c>
      <c r="Z149" s="240"/>
      <c r="AD149" s="232" t="str">
        <f t="shared" si="53"/>
        <v/>
      </c>
      <c r="AE149" s="204"/>
      <c r="AX149" s="3" t="str">
        <f t="shared" si="43"/>
        <v/>
      </c>
    </row>
    <row r="150" spans="1:50" s="155" customFormat="1" ht="30" hidden="1" customHeight="1">
      <c r="A150" s="141" t="str">
        <f t="shared" si="54"/>
        <v/>
      </c>
      <c r="B150" s="141" t="str">
        <f t="shared" si="55"/>
        <v/>
      </c>
      <c r="C150" s="205" t="str" cm="1">
        <f t="array" ref="C150">IF(D150="","",
    IF(AND(ISNUMBER(D150), D150=INT(D150)),
        $V$6 &amp; " " &amp; (IFERROR(MAX($Y$12:$Y149), 0) + 1),
        IF(ISNUMBER(SEARCH(".", D150)), "", INDEX($C$12:$C150, MATCH(2, 1/($C$12:$C150 &lt;&gt; ""))))
    )
)</f>
        <v/>
      </c>
      <c r="D150" s="206"/>
      <c r="E150" s="206" t="str">
        <f>IF(AA150 = "", "",
    IF(ISNUMBER(SEARCH("Kiện", C150)),
       " GÓI " &amp; COUNTIF($C$13:C150, "*Kiện*") &amp; "/" &amp; COUNTIF($C$13:$C$1000, "*Kiện*") &amp; " " &amp; AA150,
       AA150)
)</f>
        <v/>
      </c>
      <c r="F150" s="206"/>
      <c r="G150" s="206"/>
      <c r="H150" s="206"/>
      <c r="I150" s="206"/>
      <c r="J150" s="206" t="str">
        <f t="shared" si="56"/>
        <v/>
      </c>
      <c r="K150" s="206" t="str">
        <f t="shared" si="44"/>
        <v/>
      </c>
      <c r="L150" s="206" t="str">
        <f t="shared" si="45"/>
        <v/>
      </c>
      <c r="M150" s="206" t="str">
        <f t="shared" si="46"/>
        <v/>
      </c>
      <c r="N150" s="206" t="str">
        <f t="shared" si="57"/>
        <v/>
      </c>
      <c r="O150" s="206" t="str">
        <f t="shared" si="47"/>
        <v/>
      </c>
      <c r="P150" s="165" t="str">
        <f t="shared" si="48"/>
        <v/>
      </c>
      <c r="Q150" s="207"/>
      <c r="R150" s="141" t="str">
        <f>IF(S150="IN",'BOM_Phan II'!$Y$3,"")</f>
        <v/>
      </c>
      <c r="S150" s="153" t="str">
        <f t="shared" si="49"/>
        <v/>
      </c>
      <c r="T150">
        <f t="shared" si="50"/>
        <v>6</v>
      </c>
      <c r="U150" s="208" t="str">
        <f t="shared" si="58"/>
        <v>KIỆN 9</v>
      </c>
      <c r="V150" s="208" t="str">
        <f t="shared" si="51"/>
        <v/>
      </c>
      <c r="W150" s="240"/>
      <c r="X150" s="240"/>
      <c r="Y150" s="240" t="str">
        <f t="shared" si="52"/>
        <v/>
      </c>
      <c r="Z150" s="240"/>
      <c r="AD150" s="232" t="str">
        <f t="shared" si="53"/>
        <v/>
      </c>
      <c r="AE150" s="204"/>
      <c r="AX150" s="3" t="str">
        <f t="shared" si="43"/>
        <v/>
      </c>
    </row>
    <row r="151" spans="1:50" s="155" customFormat="1" ht="30" hidden="1" customHeight="1">
      <c r="A151" s="141" t="str">
        <f t="shared" si="54"/>
        <v/>
      </c>
      <c r="B151" s="141" t="str">
        <f t="shared" si="55"/>
        <v/>
      </c>
      <c r="C151" s="205" t="str" cm="1">
        <f t="array" ref="C151">IF(D151="","",
    IF(AND(ISNUMBER(D151), D151=INT(D151)),
        $V$6 &amp; " " &amp; (IFERROR(MAX($Y$12:$Y150), 0) + 1),
        IF(ISNUMBER(SEARCH(".", D151)), "", INDEX($C$12:$C151, MATCH(2, 1/($C$12:$C151 &lt;&gt; ""))))
    )
)</f>
        <v/>
      </c>
      <c r="D151" s="206"/>
      <c r="E151" s="206" t="str">
        <f>IF(AA151 = "", "",
    IF(ISNUMBER(SEARCH("Kiện", C151)),
       " GÓI " &amp; COUNTIF($C$13:C151, "*Kiện*") &amp; "/" &amp; COUNTIF($C$13:$C$1000, "*Kiện*") &amp; " " &amp; AA151,
       AA151)
)</f>
        <v/>
      </c>
      <c r="F151" s="206"/>
      <c r="G151" s="206"/>
      <c r="H151" s="206"/>
      <c r="I151" s="206"/>
      <c r="J151" s="206" t="str">
        <f t="shared" si="56"/>
        <v/>
      </c>
      <c r="K151" s="206" t="str">
        <f t="shared" si="44"/>
        <v/>
      </c>
      <c r="L151" s="206" t="str">
        <f t="shared" si="45"/>
        <v/>
      </c>
      <c r="M151" s="206" t="str">
        <f t="shared" si="46"/>
        <v/>
      </c>
      <c r="N151" s="206" t="str">
        <f t="shared" si="57"/>
        <v/>
      </c>
      <c r="O151" s="206" t="str">
        <f t="shared" si="47"/>
        <v/>
      </c>
      <c r="P151" s="165" t="str">
        <f t="shared" si="48"/>
        <v/>
      </c>
      <c r="Q151" s="207"/>
      <c r="R151" s="141" t="str">
        <f>IF(S151="IN",'BOM_Phan II'!$Y$3,"")</f>
        <v/>
      </c>
      <c r="S151" s="153" t="str">
        <f t="shared" si="49"/>
        <v/>
      </c>
      <c r="T151">
        <f t="shared" si="50"/>
        <v>6</v>
      </c>
      <c r="U151" s="208" t="str">
        <f t="shared" si="58"/>
        <v>KIỆN 9</v>
      </c>
      <c r="V151" s="208" t="str">
        <f t="shared" si="51"/>
        <v/>
      </c>
      <c r="W151" s="240"/>
      <c r="X151" s="240"/>
      <c r="Y151" s="240" t="str">
        <f t="shared" si="52"/>
        <v/>
      </c>
      <c r="Z151" s="240"/>
      <c r="AD151" s="232" t="str">
        <f t="shared" si="53"/>
        <v/>
      </c>
      <c r="AE151" s="204"/>
      <c r="AX151" s="3" t="str">
        <f t="shared" si="43"/>
        <v/>
      </c>
    </row>
    <row r="152" spans="1:50" s="155" customFormat="1" ht="30" hidden="1" customHeight="1">
      <c r="A152" s="141" t="str">
        <f t="shared" si="54"/>
        <v/>
      </c>
      <c r="B152" s="141" t="str">
        <f t="shared" si="55"/>
        <v/>
      </c>
      <c r="C152" s="205" t="str" cm="1">
        <f t="array" ref="C152">IF(D152="","",
    IF(AND(ISNUMBER(D152), D152=INT(D152)),
        $V$6 &amp; " " &amp; (IFERROR(MAX($Y$12:$Y151), 0) + 1),
        IF(ISNUMBER(SEARCH(".", D152)), "", INDEX($C$12:$C152, MATCH(2, 1/($C$12:$C152 &lt;&gt; ""))))
    )
)</f>
        <v/>
      </c>
      <c r="D152" s="206"/>
      <c r="E152" s="206" t="str">
        <f>IF(AA152 = "", "",
    IF(ISNUMBER(SEARCH("Kiện", C152)),
       " GÓI " &amp; COUNTIF($C$13:C152, "*Kiện*") &amp; "/" &amp; COUNTIF($C$13:$C$1000, "*Kiện*") &amp; " " &amp; AA152,
       AA152)
)</f>
        <v/>
      </c>
      <c r="F152" s="206"/>
      <c r="G152" s="206"/>
      <c r="H152" s="206"/>
      <c r="I152" s="206"/>
      <c r="J152" s="206" t="str">
        <f t="shared" si="56"/>
        <v/>
      </c>
      <c r="K152" s="206" t="str">
        <f t="shared" si="44"/>
        <v/>
      </c>
      <c r="L152" s="206" t="str">
        <f t="shared" si="45"/>
        <v/>
      </c>
      <c r="M152" s="206" t="str">
        <f t="shared" si="46"/>
        <v/>
      </c>
      <c r="N152" s="206" t="str">
        <f t="shared" si="57"/>
        <v/>
      </c>
      <c r="O152" s="206" t="str">
        <f t="shared" si="47"/>
        <v/>
      </c>
      <c r="P152" s="165" t="str">
        <f t="shared" si="48"/>
        <v/>
      </c>
      <c r="Q152" s="207"/>
      <c r="R152" s="141" t="str">
        <f>IF(S152="IN",'BOM_Phan II'!$Y$3,"")</f>
        <v/>
      </c>
      <c r="S152" s="153" t="str">
        <f t="shared" si="49"/>
        <v/>
      </c>
      <c r="T152">
        <f t="shared" si="50"/>
        <v>6</v>
      </c>
      <c r="U152" s="208" t="str">
        <f t="shared" si="58"/>
        <v>KIỆN 9</v>
      </c>
      <c r="V152" s="208" t="str">
        <f t="shared" si="51"/>
        <v/>
      </c>
      <c r="W152" s="240"/>
      <c r="X152" s="240"/>
      <c r="Y152" s="240" t="str">
        <f t="shared" si="52"/>
        <v/>
      </c>
      <c r="Z152" s="240"/>
      <c r="AD152" s="232" t="str">
        <f t="shared" si="53"/>
        <v/>
      </c>
      <c r="AE152" s="204"/>
      <c r="AX152" s="3" t="str">
        <f t="shared" si="43"/>
        <v/>
      </c>
    </row>
    <row r="153" spans="1:50" s="155" customFormat="1" ht="30" hidden="1" customHeight="1">
      <c r="A153" s="141" t="str">
        <f t="shared" si="54"/>
        <v/>
      </c>
      <c r="B153" s="141" t="str">
        <f t="shared" si="55"/>
        <v/>
      </c>
      <c r="C153" s="205" t="str" cm="1">
        <f t="array" ref="C153">IF(D153="","",
    IF(AND(ISNUMBER(D153), D153=INT(D153)),
        $V$6 &amp; " " &amp; (IFERROR(MAX($Y$12:$Y152), 0) + 1),
        IF(ISNUMBER(SEARCH(".", D153)), "", INDEX($C$12:$C153, MATCH(2, 1/($C$12:$C153 &lt;&gt; ""))))
    )
)</f>
        <v/>
      </c>
      <c r="D153" s="206"/>
      <c r="E153" s="206" t="str">
        <f>IF(AA153 = "", "",
    IF(ISNUMBER(SEARCH("Kiện", C153)),
       " GÓI " &amp; COUNTIF($C$13:C153, "*Kiện*") &amp; "/" &amp; COUNTIF($C$13:$C$1000, "*Kiện*") &amp; " " &amp; AA153,
       AA153)
)</f>
        <v/>
      </c>
      <c r="F153" s="206"/>
      <c r="G153" s="206"/>
      <c r="H153" s="206"/>
      <c r="I153" s="206"/>
      <c r="J153" s="206" t="str">
        <f t="shared" si="56"/>
        <v/>
      </c>
      <c r="K153" s="206" t="str">
        <f t="shared" si="44"/>
        <v/>
      </c>
      <c r="L153" s="206" t="str">
        <f t="shared" si="45"/>
        <v/>
      </c>
      <c r="M153" s="206" t="str">
        <f t="shared" si="46"/>
        <v/>
      </c>
      <c r="N153" s="206" t="str">
        <f t="shared" si="57"/>
        <v/>
      </c>
      <c r="O153" s="206" t="str">
        <f t="shared" si="47"/>
        <v/>
      </c>
      <c r="P153" s="165" t="str">
        <f t="shared" si="48"/>
        <v/>
      </c>
      <c r="Q153" s="207"/>
      <c r="R153" s="141" t="str">
        <f>IF(S153="IN",'BOM_Phan II'!$Y$3,"")</f>
        <v/>
      </c>
      <c r="S153" s="153" t="str">
        <f t="shared" si="49"/>
        <v/>
      </c>
      <c r="T153">
        <f t="shared" si="50"/>
        <v>6</v>
      </c>
      <c r="U153" s="208" t="str">
        <f t="shared" si="58"/>
        <v>KIỆN 9</v>
      </c>
      <c r="V153" s="208" t="str">
        <f t="shared" si="51"/>
        <v/>
      </c>
      <c r="W153" s="240"/>
      <c r="X153" s="240"/>
      <c r="Y153" s="240" t="str">
        <f t="shared" si="52"/>
        <v/>
      </c>
      <c r="Z153" s="240"/>
      <c r="AD153" s="232" t="str">
        <f t="shared" si="53"/>
        <v/>
      </c>
      <c r="AE153" s="204"/>
      <c r="AX153" s="3" t="str">
        <f t="shared" si="43"/>
        <v/>
      </c>
    </row>
    <row r="154" spans="1:50" s="155" customFormat="1" ht="30" hidden="1" customHeight="1">
      <c r="A154" s="141" t="str">
        <f t="shared" si="54"/>
        <v/>
      </c>
      <c r="B154" s="141" t="str">
        <f t="shared" si="55"/>
        <v/>
      </c>
      <c r="C154" s="205" t="str" cm="1">
        <f t="array" ref="C154">IF(D154="","",
    IF(AND(ISNUMBER(D154), D154=INT(D154)),
        $V$6 &amp; " " &amp; (IFERROR(MAX($Y$12:$Y153), 0) + 1),
        IF(ISNUMBER(SEARCH(".", D154)), "", INDEX($C$12:$C154, MATCH(2, 1/($C$12:$C154 &lt;&gt; ""))))
    )
)</f>
        <v/>
      </c>
      <c r="D154" s="206"/>
      <c r="E154" s="206" t="str">
        <f>IF(AA154 = "", "",
    IF(ISNUMBER(SEARCH("Kiện", C154)),
       " GÓI " &amp; COUNTIF($C$13:C154, "*Kiện*") &amp; "/" &amp; COUNTIF($C$13:$C$1000, "*Kiện*") &amp; " " &amp; AA154,
       AA154)
)</f>
        <v/>
      </c>
      <c r="F154" s="206"/>
      <c r="G154" s="206"/>
      <c r="H154" s="206"/>
      <c r="I154" s="206"/>
      <c r="J154" s="206" t="str">
        <f t="shared" si="56"/>
        <v/>
      </c>
      <c r="K154" s="206" t="str">
        <f t="shared" si="44"/>
        <v/>
      </c>
      <c r="L154" s="206" t="str">
        <f t="shared" si="45"/>
        <v/>
      </c>
      <c r="M154" s="206" t="str">
        <f t="shared" si="46"/>
        <v/>
      </c>
      <c r="N154" s="206" t="str">
        <f t="shared" si="57"/>
        <v/>
      </c>
      <c r="O154" s="206" t="str">
        <f t="shared" si="47"/>
        <v/>
      </c>
      <c r="P154" s="165" t="str">
        <f t="shared" si="48"/>
        <v/>
      </c>
      <c r="Q154" s="207"/>
      <c r="R154" s="141" t="str">
        <f>IF(S154="IN",'BOM_Phan II'!$Y$3,"")</f>
        <v/>
      </c>
      <c r="S154" s="153" t="str">
        <f t="shared" si="49"/>
        <v/>
      </c>
      <c r="T154">
        <f t="shared" si="50"/>
        <v>6</v>
      </c>
      <c r="U154" s="208" t="str">
        <f t="shared" si="58"/>
        <v>KIỆN 9</v>
      </c>
      <c r="V154" s="208" t="str">
        <f t="shared" si="51"/>
        <v/>
      </c>
      <c r="W154" s="240"/>
      <c r="X154" s="240"/>
      <c r="Y154" s="240" t="str">
        <f t="shared" si="52"/>
        <v/>
      </c>
      <c r="Z154" s="240"/>
      <c r="AD154" s="232" t="str">
        <f t="shared" si="53"/>
        <v/>
      </c>
      <c r="AE154" s="204"/>
      <c r="AX154" s="3" t="str">
        <f t="shared" si="43"/>
        <v/>
      </c>
    </row>
    <row r="155" spans="1:50" s="155" customFormat="1" ht="30" hidden="1" customHeight="1">
      <c r="A155" s="141" t="str">
        <f t="shared" si="54"/>
        <v/>
      </c>
      <c r="B155" s="141" t="str">
        <f t="shared" si="55"/>
        <v/>
      </c>
      <c r="C155" s="205" t="str" cm="1">
        <f t="array" ref="C155">IF(D155="","",
    IF(AND(ISNUMBER(D155), D155=INT(D155)),
        $V$6 &amp; " " &amp; (IFERROR(MAX($Y$12:$Y154), 0) + 1),
        IF(ISNUMBER(SEARCH(".", D155)), "", INDEX($C$12:$C155, MATCH(2, 1/($C$12:$C155 &lt;&gt; ""))))
    )
)</f>
        <v/>
      </c>
      <c r="D155" s="206"/>
      <c r="E155" s="206" t="str">
        <f>IF(AA155 = "", "",
    IF(ISNUMBER(SEARCH("Kiện", C155)),
       " GÓI " &amp; COUNTIF($C$13:C155, "*Kiện*") &amp; "/" &amp; COUNTIF($C$13:$C$1000, "*Kiện*") &amp; " " &amp; AA155,
       AA155)
)</f>
        <v/>
      </c>
      <c r="F155" s="206"/>
      <c r="G155" s="206"/>
      <c r="H155" s="206"/>
      <c r="I155" s="206"/>
      <c r="J155" s="206" t="str">
        <f t="shared" si="56"/>
        <v/>
      </c>
      <c r="K155" s="206" t="str">
        <f t="shared" si="44"/>
        <v/>
      </c>
      <c r="L155" s="206" t="str">
        <f t="shared" si="45"/>
        <v/>
      </c>
      <c r="M155" s="206" t="str">
        <f t="shared" si="46"/>
        <v/>
      </c>
      <c r="N155" s="206" t="str">
        <f t="shared" si="57"/>
        <v/>
      </c>
      <c r="O155" s="206" t="str">
        <f t="shared" si="47"/>
        <v/>
      </c>
      <c r="P155" s="165" t="str">
        <f t="shared" si="48"/>
        <v/>
      </c>
      <c r="Q155" s="207"/>
      <c r="R155" s="141" t="str">
        <f>IF(S155="IN",'BOM_Phan II'!$Y$3,"")</f>
        <v/>
      </c>
      <c r="S155" s="153" t="str">
        <f t="shared" si="49"/>
        <v/>
      </c>
      <c r="T155">
        <f t="shared" si="50"/>
        <v>6</v>
      </c>
      <c r="U155" s="208" t="str">
        <f t="shared" si="58"/>
        <v>KIỆN 9</v>
      </c>
      <c r="V155" s="208" t="str">
        <f t="shared" si="51"/>
        <v/>
      </c>
      <c r="W155" s="240"/>
      <c r="X155" s="240"/>
      <c r="Y155" s="240" t="str">
        <f t="shared" si="52"/>
        <v/>
      </c>
      <c r="Z155" s="240"/>
      <c r="AD155" s="232" t="str">
        <f t="shared" si="53"/>
        <v/>
      </c>
      <c r="AE155" s="204"/>
      <c r="AX155" s="3" t="str">
        <f t="shared" si="43"/>
        <v/>
      </c>
    </row>
    <row r="156" spans="1:50" s="155" customFormat="1" ht="30" hidden="1" customHeight="1">
      <c r="A156" s="141" t="str">
        <f t="shared" si="54"/>
        <v/>
      </c>
      <c r="B156" s="141" t="str">
        <f t="shared" si="55"/>
        <v/>
      </c>
      <c r="C156" s="205" t="str" cm="1">
        <f t="array" ref="C156">IF(D156="","",
    IF(AND(ISNUMBER(D156), D156=INT(D156)),
        $V$6 &amp; " " &amp; (IFERROR(MAX($Y$12:$Y155), 0) + 1),
        IF(ISNUMBER(SEARCH(".", D156)), "", INDEX($C$12:$C156, MATCH(2, 1/($C$12:$C156 &lt;&gt; ""))))
    )
)</f>
        <v/>
      </c>
      <c r="D156" s="206"/>
      <c r="E156" s="206" t="str">
        <f>IF(AA156 = "", "",
    IF(ISNUMBER(SEARCH("Kiện", C156)),
       " GÓI " &amp; COUNTIF($C$13:C156, "*Kiện*") &amp; "/" &amp; COUNTIF($C$13:$C$1000, "*Kiện*") &amp; " " &amp; AA156,
       AA156)
)</f>
        <v/>
      </c>
      <c r="F156" s="206"/>
      <c r="G156" s="206"/>
      <c r="H156" s="206"/>
      <c r="I156" s="206"/>
      <c r="J156" s="206" t="str">
        <f t="shared" si="56"/>
        <v/>
      </c>
      <c r="K156" s="206" t="str">
        <f t="shared" si="44"/>
        <v/>
      </c>
      <c r="L156" s="206" t="str">
        <f t="shared" si="45"/>
        <v/>
      </c>
      <c r="M156" s="206" t="str">
        <f t="shared" si="46"/>
        <v/>
      </c>
      <c r="N156" s="206" t="str">
        <f t="shared" si="57"/>
        <v/>
      </c>
      <c r="O156" s="206" t="str">
        <f t="shared" si="47"/>
        <v/>
      </c>
      <c r="P156" s="165" t="str">
        <f t="shared" si="48"/>
        <v/>
      </c>
      <c r="Q156" s="207"/>
      <c r="R156" s="141" t="str">
        <f>IF(S156="IN",'BOM_Phan II'!$Y$3,"")</f>
        <v/>
      </c>
      <c r="S156" s="153" t="str">
        <f t="shared" si="49"/>
        <v/>
      </c>
      <c r="T156">
        <f t="shared" si="50"/>
        <v>6</v>
      </c>
      <c r="U156" s="208" t="str">
        <f t="shared" si="58"/>
        <v>KIỆN 9</v>
      </c>
      <c r="V156" s="208" t="str">
        <f t="shared" si="51"/>
        <v/>
      </c>
      <c r="W156" s="240"/>
      <c r="X156" s="240"/>
      <c r="Y156" s="240" t="str">
        <f t="shared" si="52"/>
        <v/>
      </c>
      <c r="Z156" s="240"/>
      <c r="AD156" s="232" t="str">
        <f t="shared" si="53"/>
        <v/>
      </c>
      <c r="AE156" s="204"/>
      <c r="AX156" s="3" t="str">
        <f t="shared" si="43"/>
        <v/>
      </c>
    </row>
    <row r="157" spans="1:50" s="155" customFormat="1" ht="30" hidden="1" customHeight="1">
      <c r="A157" s="141" t="str">
        <f t="shared" si="54"/>
        <v/>
      </c>
      <c r="B157" s="141" t="str">
        <f t="shared" si="55"/>
        <v/>
      </c>
      <c r="C157" s="205" t="str" cm="1">
        <f t="array" ref="C157">IF(D157="","",
    IF(AND(ISNUMBER(D157), D157=INT(D157)),
        $V$6 &amp; " " &amp; (IFERROR(MAX($Y$12:$Y156), 0) + 1),
        IF(ISNUMBER(SEARCH(".", D157)), "", INDEX($C$12:$C157, MATCH(2, 1/($C$12:$C157 &lt;&gt; ""))))
    )
)</f>
        <v/>
      </c>
      <c r="D157" s="206"/>
      <c r="E157" s="206" t="str">
        <f>IF(AA157 = "", "",
    IF(ISNUMBER(SEARCH("Kiện", C157)),
       " GÓI " &amp; COUNTIF($C$13:C157, "*Kiện*") &amp; "/" &amp; COUNTIF($C$13:$C$1000, "*Kiện*") &amp; " " &amp; AA157,
       AA157)
)</f>
        <v/>
      </c>
      <c r="F157" s="206"/>
      <c r="G157" s="206"/>
      <c r="H157" s="206"/>
      <c r="I157" s="206"/>
      <c r="J157" s="206" t="str">
        <f t="shared" si="56"/>
        <v/>
      </c>
      <c r="K157" s="206" t="str">
        <f t="shared" si="44"/>
        <v/>
      </c>
      <c r="L157" s="206" t="str">
        <f t="shared" si="45"/>
        <v/>
      </c>
      <c r="M157" s="206" t="str">
        <f t="shared" si="46"/>
        <v/>
      </c>
      <c r="N157" s="206" t="str">
        <f t="shared" si="57"/>
        <v/>
      </c>
      <c r="O157" s="206" t="str">
        <f t="shared" si="47"/>
        <v/>
      </c>
      <c r="P157" s="165" t="str">
        <f t="shared" si="48"/>
        <v/>
      </c>
      <c r="Q157" s="207"/>
      <c r="R157" s="141" t="str">
        <f>IF(S157="IN",'BOM_Phan II'!$Y$3,"")</f>
        <v/>
      </c>
      <c r="S157" s="153" t="str">
        <f t="shared" si="49"/>
        <v/>
      </c>
      <c r="T157">
        <f t="shared" si="50"/>
        <v>6</v>
      </c>
      <c r="U157" s="208" t="str">
        <f t="shared" si="58"/>
        <v>KIỆN 9</v>
      </c>
      <c r="V157" s="208" t="str">
        <f t="shared" si="51"/>
        <v/>
      </c>
      <c r="W157" s="240"/>
      <c r="X157" s="240"/>
      <c r="Y157" s="240" t="str">
        <f t="shared" si="52"/>
        <v/>
      </c>
      <c r="Z157" s="240"/>
      <c r="AD157" s="232" t="str">
        <f t="shared" si="53"/>
        <v/>
      </c>
      <c r="AE157" s="204"/>
      <c r="AX157" s="3" t="str">
        <f t="shared" si="43"/>
        <v/>
      </c>
    </row>
    <row r="158" spans="1:50" s="155" customFormat="1" ht="30" hidden="1" customHeight="1">
      <c r="A158" s="141" t="str">
        <f t="shared" si="54"/>
        <v/>
      </c>
      <c r="B158" s="141" t="str">
        <f t="shared" si="55"/>
        <v/>
      </c>
      <c r="C158" s="205" t="str" cm="1">
        <f t="array" ref="C158">IF(D158="","",
    IF(AND(ISNUMBER(D158), D158=INT(D158)),
        $V$6 &amp; " " &amp; (IFERROR(MAX($Y$12:$Y157), 0) + 1),
        IF(ISNUMBER(SEARCH(".", D158)), "", INDEX($C$12:$C158, MATCH(2, 1/($C$12:$C158 &lt;&gt; ""))))
    )
)</f>
        <v/>
      </c>
      <c r="D158" s="206"/>
      <c r="E158" s="206" t="str">
        <f>IF(AA158 = "", "",
    IF(ISNUMBER(SEARCH("Kiện", C158)),
       " GÓI " &amp; COUNTIF($C$13:C158, "*Kiện*") &amp; "/" &amp; COUNTIF($C$13:$C$1000, "*Kiện*") &amp; " " &amp; AA158,
       AA158)
)</f>
        <v/>
      </c>
      <c r="F158" s="206"/>
      <c r="G158" s="206"/>
      <c r="H158" s="206"/>
      <c r="I158" s="206"/>
      <c r="J158" s="206" t="str">
        <f t="shared" si="56"/>
        <v/>
      </c>
      <c r="K158" s="206" t="str">
        <f t="shared" si="44"/>
        <v/>
      </c>
      <c r="L158" s="206" t="str">
        <f t="shared" si="45"/>
        <v/>
      </c>
      <c r="M158" s="206" t="str">
        <f t="shared" si="46"/>
        <v/>
      </c>
      <c r="N158" s="206" t="str">
        <f t="shared" si="57"/>
        <v/>
      </c>
      <c r="O158" s="206" t="str">
        <f t="shared" si="47"/>
        <v/>
      </c>
      <c r="P158" s="165" t="str">
        <f t="shared" si="48"/>
        <v/>
      </c>
      <c r="Q158" s="207"/>
      <c r="R158" s="141" t="str">
        <f>IF(S158="IN",'BOM_Phan II'!$Y$3,"")</f>
        <v/>
      </c>
      <c r="S158" s="153" t="str">
        <f t="shared" si="49"/>
        <v/>
      </c>
      <c r="T158">
        <f t="shared" si="50"/>
        <v>6</v>
      </c>
      <c r="U158" s="208" t="str">
        <f t="shared" si="58"/>
        <v>KIỆN 9</v>
      </c>
      <c r="V158" s="208" t="str">
        <f t="shared" si="51"/>
        <v/>
      </c>
      <c r="W158" s="240"/>
      <c r="X158" s="240"/>
      <c r="Y158" s="240" t="str">
        <f t="shared" si="52"/>
        <v/>
      </c>
      <c r="Z158" s="240"/>
      <c r="AD158" s="232" t="str">
        <f t="shared" si="53"/>
        <v/>
      </c>
      <c r="AE158" s="204"/>
      <c r="AX158" s="3" t="str">
        <f t="shared" si="43"/>
        <v/>
      </c>
    </row>
    <row r="159" spans="1:50" s="155" customFormat="1" ht="30" hidden="1" customHeight="1">
      <c r="A159" s="141" t="str">
        <f t="shared" si="54"/>
        <v/>
      </c>
      <c r="B159" s="141" t="str">
        <f t="shared" si="55"/>
        <v/>
      </c>
      <c r="C159" s="205" t="str" cm="1">
        <f t="array" ref="C159">IF(D159="","",
    IF(AND(ISNUMBER(D159), D159=INT(D159)),
        $V$6 &amp; " " &amp; (IFERROR(MAX($Y$12:$Y158), 0) + 1),
        IF(ISNUMBER(SEARCH(".", D159)), "", INDEX($C$12:$C159, MATCH(2, 1/($C$12:$C159 &lt;&gt; ""))))
    )
)</f>
        <v/>
      </c>
      <c r="D159" s="206"/>
      <c r="E159" s="206" t="str">
        <f>IF(AA159 = "", "",
    IF(ISNUMBER(SEARCH("Kiện", C159)),
       " GÓI " &amp; COUNTIF($C$13:C159, "*Kiện*") &amp; "/" &amp; COUNTIF($C$13:$C$1000, "*Kiện*") &amp; " " &amp; AA159,
       AA159)
)</f>
        <v/>
      </c>
      <c r="F159" s="206"/>
      <c r="G159" s="206"/>
      <c r="H159" s="206"/>
      <c r="I159" s="206"/>
      <c r="J159" s="206" t="str">
        <f t="shared" si="56"/>
        <v/>
      </c>
      <c r="K159" s="206" t="str">
        <f t="shared" si="44"/>
        <v/>
      </c>
      <c r="L159" s="206" t="str">
        <f t="shared" si="45"/>
        <v/>
      </c>
      <c r="M159" s="206" t="str">
        <f t="shared" si="46"/>
        <v/>
      </c>
      <c r="N159" s="206" t="str">
        <f t="shared" si="57"/>
        <v/>
      </c>
      <c r="O159" s="206" t="str">
        <f t="shared" si="47"/>
        <v/>
      </c>
      <c r="P159" s="165" t="str">
        <f t="shared" si="48"/>
        <v/>
      </c>
      <c r="Q159" s="207"/>
      <c r="R159" s="141" t="str">
        <f>IF(S159="IN",'BOM_Phan II'!$Y$3,"")</f>
        <v/>
      </c>
      <c r="S159" s="153" t="str">
        <f t="shared" si="49"/>
        <v/>
      </c>
      <c r="T159">
        <f t="shared" si="50"/>
        <v>6</v>
      </c>
      <c r="U159" s="208" t="str">
        <f t="shared" si="58"/>
        <v>KIỆN 9</v>
      </c>
      <c r="V159" s="208" t="str">
        <f t="shared" si="51"/>
        <v/>
      </c>
      <c r="W159" s="240"/>
      <c r="X159" s="240"/>
      <c r="Y159" s="240" t="str">
        <f t="shared" si="52"/>
        <v/>
      </c>
      <c r="Z159" s="240"/>
      <c r="AD159" s="232" t="str">
        <f t="shared" si="53"/>
        <v/>
      </c>
      <c r="AE159" s="204"/>
      <c r="AX159" s="3" t="str">
        <f t="shared" si="43"/>
        <v/>
      </c>
    </row>
    <row r="160" spans="1:50" s="155" customFormat="1" ht="30" hidden="1" customHeight="1">
      <c r="A160" s="141" t="str">
        <f t="shared" si="54"/>
        <v/>
      </c>
      <c r="B160" s="141" t="str">
        <f t="shared" si="55"/>
        <v/>
      </c>
      <c r="C160" s="205" t="str" cm="1">
        <f t="array" ref="C160">IF(D160="","",
    IF(AND(ISNUMBER(D160), D160=INT(D160)),
        $V$6 &amp; " " &amp; (IFERROR(MAX($Y$12:$Y159), 0) + 1),
        IF(ISNUMBER(SEARCH(".", D160)), "", INDEX($C$12:$C160, MATCH(2, 1/($C$12:$C160 &lt;&gt; ""))))
    )
)</f>
        <v/>
      </c>
      <c r="D160" s="206"/>
      <c r="E160" s="206" t="str">
        <f>IF(AA160 = "", "",
    IF(ISNUMBER(SEARCH("Kiện", C160)),
       " GÓI " &amp; COUNTIF($C$13:C160, "*Kiện*") &amp; "/" &amp; COUNTIF($C$13:$C$1000, "*Kiện*") &amp; " " &amp; AA160,
       AA160)
)</f>
        <v/>
      </c>
      <c r="F160" s="206"/>
      <c r="G160" s="206"/>
      <c r="H160" s="206"/>
      <c r="I160" s="206"/>
      <c r="J160" s="206" t="str">
        <f t="shared" si="56"/>
        <v/>
      </c>
      <c r="K160" s="206" t="str">
        <f t="shared" si="44"/>
        <v/>
      </c>
      <c r="L160" s="206" t="str">
        <f t="shared" si="45"/>
        <v/>
      </c>
      <c r="M160" s="206" t="str">
        <f t="shared" si="46"/>
        <v/>
      </c>
      <c r="N160" s="206" t="str">
        <f t="shared" si="57"/>
        <v/>
      </c>
      <c r="O160" s="206" t="str">
        <f t="shared" si="47"/>
        <v/>
      </c>
      <c r="P160" s="165" t="str">
        <f t="shared" si="48"/>
        <v/>
      </c>
      <c r="Q160" s="207"/>
      <c r="R160" s="141" t="str">
        <f>IF(S160="IN",'BOM_Phan II'!$Y$3,"")</f>
        <v/>
      </c>
      <c r="S160" s="153" t="str">
        <f t="shared" si="49"/>
        <v/>
      </c>
      <c r="T160">
        <f t="shared" si="50"/>
        <v>6</v>
      </c>
      <c r="U160" s="208" t="str">
        <f t="shared" si="58"/>
        <v>KIỆN 9</v>
      </c>
      <c r="V160" s="208" t="str">
        <f t="shared" si="51"/>
        <v/>
      </c>
      <c r="W160" s="240"/>
      <c r="X160" s="240"/>
      <c r="Y160" s="240" t="str">
        <f t="shared" si="52"/>
        <v/>
      </c>
      <c r="Z160" s="240"/>
      <c r="AD160" s="232" t="str">
        <f t="shared" si="53"/>
        <v/>
      </c>
      <c r="AE160" s="204"/>
      <c r="AX160" s="3" t="str">
        <f t="shared" si="43"/>
        <v/>
      </c>
    </row>
    <row r="161" spans="1:50" s="155" customFormat="1" ht="30" hidden="1" customHeight="1">
      <c r="A161" s="141" t="str">
        <f t="shared" si="54"/>
        <v/>
      </c>
      <c r="B161" s="141" t="str">
        <f t="shared" si="55"/>
        <v/>
      </c>
      <c r="C161" s="205" t="str" cm="1">
        <f t="array" ref="C161">IF(D161="","",
    IF(AND(ISNUMBER(D161), D161=INT(D161)),
        $V$6 &amp; " " &amp; (IFERROR(MAX($Y$12:$Y160), 0) + 1),
        IF(ISNUMBER(SEARCH(".", D161)), "", INDEX($C$12:$C161, MATCH(2, 1/($C$12:$C161 &lt;&gt; ""))))
    )
)</f>
        <v/>
      </c>
      <c r="D161" s="206"/>
      <c r="E161" s="206" t="str">
        <f>IF(AA161 = "", "",
    IF(ISNUMBER(SEARCH("Kiện", C161)),
       " GÓI " &amp; COUNTIF($C$13:C161, "*Kiện*") &amp; "/" &amp; COUNTIF($C$13:$C$1000, "*Kiện*") &amp; " " &amp; AA161,
       AA161)
)</f>
        <v/>
      </c>
      <c r="F161" s="206"/>
      <c r="G161" s="206"/>
      <c r="H161" s="206"/>
      <c r="I161" s="206"/>
      <c r="J161" s="206" t="str">
        <f t="shared" si="56"/>
        <v/>
      </c>
      <c r="K161" s="206" t="str">
        <f t="shared" si="44"/>
        <v/>
      </c>
      <c r="L161" s="206" t="str">
        <f t="shared" si="45"/>
        <v/>
      </c>
      <c r="M161" s="206" t="str">
        <f t="shared" si="46"/>
        <v/>
      </c>
      <c r="N161" s="206" t="str">
        <f t="shared" si="57"/>
        <v/>
      </c>
      <c r="O161" s="206" t="str">
        <f t="shared" si="47"/>
        <v/>
      </c>
      <c r="P161" s="165" t="str">
        <f t="shared" si="48"/>
        <v/>
      </c>
      <c r="Q161" s="207"/>
      <c r="R161" s="141" t="str">
        <f>IF(S161="IN",'BOM_Phan II'!$Y$3,"")</f>
        <v/>
      </c>
      <c r="S161" s="153" t="str">
        <f t="shared" si="49"/>
        <v/>
      </c>
      <c r="T161">
        <f t="shared" si="50"/>
        <v>6</v>
      </c>
      <c r="U161" s="208" t="str">
        <f t="shared" si="58"/>
        <v>KIỆN 9</v>
      </c>
      <c r="V161" s="208" t="str">
        <f t="shared" si="51"/>
        <v/>
      </c>
      <c r="W161" s="240"/>
      <c r="X161" s="240"/>
      <c r="Y161" s="240" t="str">
        <f t="shared" si="52"/>
        <v/>
      </c>
      <c r="Z161" s="240"/>
      <c r="AD161" s="232" t="str">
        <f t="shared" si="53"/>
        <v/>
      </c>
      <c r="AE161" s="204"/>
      <c r="AX161" s="3" t="str">
        <f t="shared" si="43"/>
        <v/>
      </c>
    </row>
    <row r="162" spans="1:50" s="155" customFormat="1" ht="30" hidden="1" customHeight="1">
      <c r="A162" s="141" t="str">
        <f t="shared" si="54"/>
        <v/>
      </c>
      <c r="B162" s="141" t="str">
        <f t="shared" si="55"/>
        <v/>
      </c>
      <c r="C162" s="205" t="str" cm="1">
        <f t="array" ref="C162">IF(D162="","",
    IF(AND(ISNUMBER(D162), D162=INT(D162)),
        $V$6 &amp; " " &amp; (IFERROR(MAX($Y$12:$Y161), 0) + 1),
        IF(ISNUMBER(SEARCH(".", D162)), "", INDEX($C$12:$C162, MATCH(2, 1/($C$12:$C162 &lt;&gt; ""))))
    )
)</f>
        <v/>
      </c>
      <c r="D162" s="206"/>
      <c r="E162" s="206" t="str">
        <f>IF(AA162 = "", "",
    IF(ISNUMBER(SEARCH("Kiện", C162)),
       " GÓI " &amp; COUNTIF($C$13:C162, "*Kiện*") &amp; "/" &amp; COUNTIF($C$13:$C$1000, "*Kiện*") &amp; " " &amp; AA162,
       AA162)
)</f>
        <v/>
      </c>
      <c r="F162" s="206"/>
      <c r="G162" s="206"/>
      <c r="H162" s="206"/>
      <c r="I162" s="206"/>
      <c r="J162" s="206" t="str">
        <f t="shared" si="56"/>
        <v/>
      </c>
      <c r="K162" s="206" t="str">
        <f t="shared" si="44"/>
        <v/>
      </c>
      <c r="L162" s="206" t="str">
        <f t="shared" si="45"/>
        <v/>
      </c>
      <c r="M162" s="206" t="str">
        <f t="shared" si="46"/>
        <v/>
      </c>
      <c r="N162" s="206" t="str">
        <f t="shared" si="57"/>
        <v/>
      </c>
      <c r="O162" s="206" t="str">
        <f t="shared" si="47"/>
        <v/>
      </c>
      <c r="P162" s="165" t="str">
        <f t="shared" si="48"/>
        <v/>
      </c>
      <c r="Q162" s="207"/>
      <c r="R162" s="141" t="str">
        <f>IF(S162="IN",'BOM_Phan II'!$Y$3,"")</f>
        <v/>
      </c>
      <c r="S162" s="153" t="str">
        <f t="shared" si="49"/>
        <v/>
      </c>
      <c r="T162">
        <f t="shared" si="50"/>
        <v>6</v>
      </c>
      <c r="U162" s="208" t="str">
        <f t="shared" si="58"/>
        <v>KIỆN 9</v>
      </c>
      <c r="V162" s="208" t="str">
        <f t="shared" si="51"/>
        <v/>
      </c>
      <c r="W162" s="240"/>
      <c r="X162" s="240"/>
      <c r="Y162" s="240" t="str">
        <f t="shared" si="52"/>
        <v/>
      </c>
      <c r="Z162" s="240"/>
      <c r="AD162" s="232" t="str">
        <f t="shared" si="53"/>
        <v/>
      </c>
      <c r="AE162" s="204"/>
      <c r="AX162" s="3" t="str">
        <f t="shared" si="43"/>
        <v/>
      </c>
    </row>
    <row r="163" spans="1:50" s="155" customFormat="1" ht="30" hidden="1" customHeight="1">
      <c r="A163" s="141" t="str">
        <f t="shared" si="54"/>
        <v/>
      </c>
      <c r="B163" s="141" t="str">
        <f t="shared" si="55"/>
        <v/>
      </c>
      <c r="C163" s="205" t="str" cm="1">
        <f t="array" ref="C163">IF(D163="","",
    IF(AND(ISNUMBER(D163), D163=INT(D163)),
        $V$6 &amp; " " &amp; (IFERROR(MAX($Y$12:$Y162), 0) + 1),
        IF(ISNUMBER(SEARCH(".", D163)), "", INDEX($C$12:$C163, MATCH(2, 1/($C$12:$C163 &lt;&gt; ""))))
    )
)</f>
        <v/>
      </c>
      <c r="D163" s="206"/>
      <c r="E163" s="206" t="str">
        <f>IF(AA163 = "", "",
    IF(ISNUMBER(SEARCH("Kiện", C163)),
       " GÓI " &amp; COUNTIF($C$13:C163, "*Kiện*") &amp; "/" &amp; COUNTIF($C$13:$C$1000, "*Kiện*") &amp; " " &amp; AA163,
       AA163)
)</f>
        <v/>
      </c>
      <c r="F163" s="206"/>
      <c r="G163" s="206"/>
      <c r="H163" s="206"/>
      <c r="I163" s="206"/>
      <c r="J163" s="206" t="str">
        <f t="shared" si="56"/>
        <v/>
      </c>
      <c r="K163" s="206" t="str">
        <f t="shared" si="44"/>
        <v/>
      </c>
      <c r="L163" s="206" t="str">
        <f t="shared" si="45"/>
        <v/>
      </c>
      <c r="M163" s="206" t="str">
        <f t="shared" si="46"/>
        <v/>
      </c>
      <c r="N163" s="206" t="str">
        <f t="shared" si="57"/>
        <v/>
      </c>
      <c r="O163" s="206" t="str">
        <f t="shared" si="47"/>
        <v/>
      </c>
      <c r="P163" s="165" t="str">
        <f t="shared" si="48"/>
        <v/>
      </c>
      <c r="Q163" s="207"/>
      <c r="R163" s="141" t="str">
        <f>IF(S163="IN",'BOM_Phan II'!$Y$3,"")</f>
        <v/>
      </c>
      <c r="S163" s="153" t="str">
        <f t="shared" si="49"/>
        <v/>
      </c>
      <c r="T163">
        <f t="shared" si="50"/>
        <v>6</v>
      </c>
      <c r="U163" s="208" t="str">
        <f t="shared" si="58"/>
        <v>KIỆN 9</v>
      </c>
      <c r="V163" s="208" t="str">
        <f t="shared" si="51"/>
        <v/>
      </c>
      <c r="W163" s="240"/>
      <c r="X163" s="240"/>
      <c r="Y163" s="240" t="str">
        <f t="shared" si="52"/>
        <v/>
      </c>
      <c r="Z163" s="240"/>
      <c r="AD163" s="232" t="str">
        <f t="shared" si="53"/>
        <v/>
      </c>
      <c r="AE163" s="204"/>
      <c r="AX163" s="3" t="str">
        <f t="shared" si="43"/>
        <v/>
      </c>
    </row>
    <row r="164" spans="1:50" s="155" customFormat="1" ht="30" hidden="1" customHeight="1">
      <c r="A164" s="141" t="str">
        <f t="shared" si="54"/>
        <v/>
      </c>
      <c r="B164" s="141" t="str">
        <f t="shared" si="55"/>
        <v/>
      </c>
      <c r="C164" s="205" t="str" cm="1">
        <f t="array" ref="C164">IF(D164="","",
    IF(AND(ISNUMBER(D164), D164=INT(D164)),
        $V$6 &amp; " " &amp; (IFERROR(MAX($Y$12:$Y163), 0) + 1),
        IF(ISNUMBER(SEARCH(".", D164)), "", INDEX($C$12:$C164, MATCH(2, 1/($C$12:$C164 &lt;&gt; ""))))
    )
)</f>
        <v/>
      </c>
      <c r="D164" s="206"/>
      <c r="E164" s="206" t="str">
        <f>IF(AA164 = "", "",
    IF(ISNUMBER(SEARCH("Kiện", C164)),
       " GÓI " &amp; COUNTIF($C$13:C164, "*Kiện*") &amp; "/" &amp; COUNTIF($C$13:$C$1000, "*Kiện*") &amp; " " &amp; AA164,
       AA164)
)</f>
        <v/>
      </c>
      <c r="F164" s="206"/>
      <c r="G164" s="206"/>
      <c r="H164" s="206"/>
      <c r="I164" s="206"/>
      <c r="J164" s="206" t="str">
        <f t="shared" si="56"/>
        <v/>
      </c>
      <c r="K164" s="206" t="str">
        <f t="shared" si="44"/>
        <v/>
      </c>
      <c r="L164" s="206" t="str">
        <f t="shared" si="45"/>
        <v/>
      </c>
      <c r="M164" s="206" t="str">
        <f t="shared" si="46"/>
        <v/>
      </c>
      <c r="N164" s="206" t="str">
        <f t="shared" si="57"/>
        <v/>
      </c>
      <c r="O164" s="206" t="str">
        <f t="shared" si="47"/>
        <v/>
      </c>
      <c r="P164" s="165" t="str">
        <f t="shared" si="48"/>
        <v/>
      </c>
      <c r="Q164" s="207"/>
      <c r="R164" s="141" t="str">
        <f>IF(S164="IN",'BOM_Phan II'!$Y$3,"")</f>
        <v/>
      </c>
      <c r="S164" s="153" t="str">
        <f t="shared" si="49"/>
        <v/>
      </c>
      <c r="T164">
        <f t="shared" si="50"/>
        <v>6</v>
      </c>
      <c r="U164" s="208" t="str">
        <f t="shared" si="58"/>
        <v>KIỆN 9</v>
      </c>
      <c r="V164" s="208" t="str">
        <f t="shared" si="51"/>
        <v/>
      </c>
      <c r="W164" s="240"/>
      <c r="X164" s="240"/>
      <c r="Y164" s="240" t="str">
        <f t="shared" si="52"/>
        <v/>
      </c>
      <c r="Z164" s="240"/>
      <c r="AD164" s="232" t="str">
        <f t="shared" si="53"/>
        <v/>
      </c>
      <c r="AE164" s="204"/>
      <c r="AX164" s="3" t="str">
        <f t="shared" si="43"/>
        <v/>
      </c>
    </row>
    <row r="165" spans="1:50" s="155" customFormat="1" ht="30" hidden="1" customHeight="1">
      <c r="A165" s="141" t="str">
        <f t="shared" si="54"/>
        <v/>
      </c>
      <c r="B165" s="141" t="str">
        <f t="shared" si="55"/>
        <v/>
      </c>
      <c r="C165" s="205" t="str" cm="1">
        <f t="array" ref="C165">IF(D165="","",
    IF(AND(ISNUMBER(D165), D165=INT(D165)),
        $V$6 &amp; " " &amp; (IFERROR(MAX($Y$12:$Y164), 0) + 1),
        IF(ISNUMBER(SEARCH(".", D165)), "", INDEX($C$12:$C165, MATCH(2, 1/($C$12:$C165 &lt;&gt; ""))))
    )
)</f>
        <v/>
      </c>
      <c r="D165" s="206"/>
      <c r="E165" s="206" t="str">
        <f>IF(AA165 = "", "",
    IF(ISNUMBER(SEARCH("Kiện", C165)),
       " GÓI " &amp; COUNTIF($C$13:C165, "*Kiện*") &amp; "/" &amp; COUNTIF($C$13:$C$1000, "*Kiện*") &amp; " " &amp; AA165,
       AA165)
)</f>
        <v/>
      </c>
      <c r="F165" s="206"/>
      <c r="G165" s="206"/>
      <c r="H165" s="206"/>
      <c r="I165" s="206"/>
      <c r="J165" s="206" t="str">
        <f t="shared" si="56"/>
        <v/>
      </c>
      <c r="K165" s="206" t="str">
        <f t="shared" si="44"/>
        <v/>
      </c>
      <c r="L165" s="206" t="str">
        <f t="shared" si="45"/>
        <v/>
      </c>
      <c r="M165" s="206" t="str">
        <f t="shared" si="46"/>
        <v/>
      </c>
      <c r="N165" s="206" t="str">
        <f t="shared" si="57"/>
        <v/>
      </c>
      <c r="O165" s="206" t="str">
        <f t="shared" si="47"/>
        <v/>
      </c>
      <c r="P165" s="165" t="str">
        <f t="shared" si="48"/>
        <v/>
      </c>
      <c r="Q165" s="207"/>
      <c r="R165" s="141" t="str">
        <f>IF(S165="IN",'BOM_Phan II'!$Y$3,"")</f>
        <v/>
      </c>
      <c r="S165" s="153" t="str">
        <f t="shared" si="49"/>
        <v/>
      </c>
      <c r="T165">
        <f t="shared" si="50"/>
        <v>6</v>
      </c>
      <c r="U165" s="208" t="str">
        <f t="shared" si="58"/>
        <v>KIỆN 9</v>
      </c>
      <c r="V165" s="208" t="str">
        <f t="shared" si="51"/>
        <v/>
      </c>
      <c r="W165" s="240"/>
      <c r="X165" s="240"/>
      <c r="Y165" s="240" t="str">
        <f t="shared" si="52"/>
        <v/>
      </c>
      <c r="Z165" s="240"/>
      <c r="AD165" s="232" t="str">
        <f t="shared" si="53"/>
        <v/>
      </c>
      <c r="AE165" s="204"/>
      <c r="AX165" s="3" t="str">
        <f t="shared" si="43"/>
        <v/>
      </c>
    </row>
    <row r="166" spans="1:50" s="155" customFormat="1" ht="30" hidden="1" customHeight="1">
      <c r="A166" s="141" t="str">
        <f t="shared" si="54"/>
        <v/>
      </c>
      <c r="B166" s="141" t="str">
        <f t="shared" si="55"/>
        <v/>
      </c>
      <c r="C166" s="205" t="str" cm="1">
        <f t="array" ref="C166">IF(D166="","",
    IF(AND(ISNUMBER(D166), D166=INT(D166)),
        $V$6 &amp; " " &amp; (IFERROR(MAX($Y$12:$Y165), 0) + 1),
        IF(ISNUMBER(SEARCH(".", D166)), "", INDEX($C$12:$C166, MATCH(2, 1/($C$12:$C166 &lt;&gt; ""))))
    )
)</f>
        <v/>
      </c>
      <c r="D166" s="206"/>
      <c r="E166" s="206" t="str">
        <f>IF(AA166 = "", "",
    IF(ISNUMBER(SEARCH("Kiện", C166)),
       " GÓI " &amp; COUNTIF($C$13:C166, "*Kiện*") &amp; "/" &amp; COUNTIF($C$13:$C$1000, "*Kiện*") &amp; " " &amp; AA166,
       AA166)
)</f>
        <v/>
      </c>
      <c r="F166" s="206"/>
      <c r="G166" s="206"/>
      <c r="H166" s="206"/>
      <c r="I166" s="206"/>
      <c r="J166" s="206" t="str">
        <f t="shared" si="56"/>
        <v/>
      </c>
      <c r="K166" s="206" t="str">
        <f t="shared" si="44"/>
        <v/>
      </c>
      <c r="L166" s="206" t="str">
        <f t="shared" si="45"/>
        <v/>
      </c>
      <c r="M166" s="206" t="str">
        <f t="shared" si="46"/>
        <v/>
      </c>
      <c r="N166" s="206" t="str">
        <f t="shared" si="57"/>
        <v/>
      </c>
      <c r="O166" s="206" t="str">
        <f t="shared" si="47"/>
        <v/>
      </c>
      <c r="P166" s="165" t="str">
        <f t="shared" si="48"/>
        <v/>
      </c>
      <c r="Q166" s="207"/>
      <c r="R166" s="141" t="str">
        <f>IF(S166="IN",'BOM_Phan II'!$Y$3,"")</f>
        <v/>
      </c>
      <c r="S166" s="153" t="str">
        <f t="shared" si="49"/>
        <v/>
      </c>
      <c r="T166">
        <f t="shared" si="50"/>
        <v>6</v>
      </c>
      <c r="U166" s="208" t="str">
        <f t="shared" si="58"/>
        <v>KIỆN 9</v>
      </c>
      <c r="V166" s="208" t="str">
        <f t="shared" si="51"/>
        <v/>
      </c>
      <c r="W166" s="240"/>
      <c r="X166" s="240"/>
      <c r="Y166" s="240" t="str">
        <f t="shared" si="52"/>
        <v/>
      </c>
      <c r="Z166" s="240"/>
      <c r="AD166" s="232" t="str">
        <f t="shared" si="53"/>
        <v/>
      </c>
      <c r="AE166" s="204"/>
      <c r="AX166" s="3" t="str">
        <f t="shared" si="43"/>
        <v/>
      </c>
    </row>
    <row r="167" spans="1:50" s="155" customFormat="1" ht="30" hidden="1" customHeight="1">
      <c r="A167" s="141" t="str">
        <f t="shared" si="54"/>
        <v/>
      </c>
      <c r="B167" s="141" t="str">
        <f t="shared" si="55"/>
        <v/>
      </c>
      <c r="C167" s="205" t="str" cm="1">
        <f t="array" ref="C167">IF(D167="","",
    IF(AND(ISNUMBER(D167), D167=INT(D167)),
        $V$6 &amp; " " &amp; (IFERROR(MAX($Y$12:$Y166), 0) + 1),
        IF(ISNUMBER(SEARCH(".", D167)), "", INDEX($C$12:$C167, MATCH(2, 1/($C$12:$C167 &lt;&gt; ""))))
    )
)</f>
        <v/>
      </c>
      <c r="D167" s="206"/>
      <c r="E167" s="206" t="str">
        <f>IF(AA167 = "", "",
    IF(ISNUMBER(SEARCH("Kiện", C167)),
       " GÓI " &amp; COUNTIF($C$13:C167, "*Kiện*") &amp; "/" &amp; COUNTIF($C$13:$C$1000, "*Kiện*") &amp; " " &amp; AA167,
       AA167)
)</f>
        <v/>
      </c>
      <c r="F167" s="206"/>
      <c r="G167" s="206"/>
      <c r="H167" s="206"/>
      <c r="I167" s="206"/>
      <c r="J167" s="206" t="str">
        <f t="shared" si="56"/>
        <v/>
      </c>
      <c r="K167" s="206" t="str">
        <f t="shared" si="44"/>
        <v/>
      </c>
      <c r="L167" s="206" t="str">
        <f t="shared" si="45"/>
        <v/>
      </c>
      <c r="M167" s="206" t="str">
        <f t="shared" si="46"/>
        <v/>
      </c>
      <c r="N167" s="206" t="str">
        <f t="shared" si="57"/>
        <v/>
      </c>
      <c r="O167" s="206" t="str">
        <f t="shared" si="47"/>
        <v/>
      </c>
      <c r="P167" s="165" t="str">
        <f t="shared" si="48"/>
        <v/>
      </c>
      <c r="Q167" s="207"/>
      <c r="R167" s="141" t="str">
        <f>IF(S167="IN",'BOM_Phan II'!$Y$3,"")</f>
        <v/>
      </c>
      <c r="S167" s="153" t="str">
        <f t="shared" si="49"/>
        <v/>
      </c>
      <c r="T167">
        <f t="shared" si="50"/>
        <v>6</v>
      </c>
      <c r="U167" s="208" t="str">
        <f t="shared" si="58"/>
        <v>KIỆN 9</v>
      </c>
      <c r="V167" s="208" t="str">
        <f t="shared" si="51"/>
        <v/>
      </c>
      <c r="W167" s="240"/>
      <c r="X167" s="240"/>
      <c r="Y167" s="240" t="str">
        <f t="shared" si="52"/>
        <v/>
      </c>
      <c r="Z167" s="240"/>
      <c r="AD167" s="232" t="str">
        <f t="shared" si="53"/>
        <v/>
      </c>
      <c r="AE167" s="204"/>
      <c r="AX167" s="3" t="str">
        <f t="shared" si="43"/>
        <v/>
      </c>
    </row>
    <row r="168" spans="1:50" s="155" customFormat="1" ht="30" hidden="1" customHeight="1">
      <c r="A168" s="141" t="str">
        <f t="shared" si="54"/>
        <v/>
      </c>
      <c r="B168" s="141" t="str">
        <f t="shared" si="55"/>
        <v/>
      </c>
      <c r="C168" s="205" t="str" cm="1">
        <f t="array" ref="C168">IF(D168="","",
    IF(AND(ISNUMBER(D168), D168=INT(D168)),
        $V$6 &amp; " " &amp; (IFERROR(MAX($Y$12:$Y167), 0) + 1),
        IF(ISNUMBER(SEARCH(".", D168)), "", INDEX($C$12:$C168, MATCH(2, 1/($C$12:$C168 &lt;&gt; ""))))
    )
)</f>
        <v/>
      </c>
      <c r="D168" s="206"/>
      <c r="E168" s="206" t="str">
        <f>IF(AA168 = "", "",
    IF(ISNUMBER(SEARCH("Kiện", C168)),
       " GÓI " &amp; COUNTIF($C$13:C168, "*Kiện*") &amp; "/" &amp; COUNTIF($C$13:$C$1000, "*Kiện*") &amp; " " &amp; AA168,
       AA168)
)</f>
        <v/>
      </c>
      <c r="F168" s="206"/>
      <c r="G168" s="206"/>
      <c r="H168" s="206"/>
      <c r="I168" s="206"/>
      <c r="J168" s="206" t="str">
        <f t="shared" si="56"/>
        <v/>
      </c>
      <c r="K168" s="206" t="str">
        <f t="shared" si="44"/>
        <v/>
      </c>
      <c r="L168" s="206" t="str">
        <f t="shared" si="45"/>
        <v/>
      </c>
      <c r="M168" s="206" t="str">
        <f t="shared" si="46"/>
        <v/>
      </c>
      <c r="N168" s="206" t="str">
        <f t="shared" si="57"/>
        <v/>
      </c>
      <c r="O168" s="206" t="str">
        <f t="shared" si="47"/>
        <v/>
      </c>
      <c r="P168" s="165" t="str">
        <f t="shared" si="48"/>
        <v/>
      </c>
      <c r="Q168" s="207"/>
      <c r="R168" s="141" t="str">
        <f>IF(S168="IN",'BOM_Phan II'!$Y$3,"")</f>
        <v/>
      </c>
      <c r="S168" s="153" t="str">
        <f t="shared" si="49"/>
        <v/>
      </c>
      <c r="T168">
        <f t="shared" si="50"/>
        <v>6</v>
      </c>
      <c r="U168" s="208" t="str">
        <f t="shared" si="58"/>
        <v>KIỆN 9</v>
      </c>
      <c r="V168" s="208" t="str">
        <f t="shared" si="51"/>
        <v/>
      </c>
      <c r="W168" s="240"/>
      <c r="X168" s="240"/>
      <c r="Y168" s="240" t="str">
        <f t="shared" si="52"/>
        <v/>
      </c>
      <c r="Z168" s="240"/>
      <c r="AD168" s="232" t="str">
        <f t="shared" si="53"/>
        <v/>
      </c>
      <c r="AE168" s="204"/>
      <c r="AX168" s="3" t="str">
        <f t="shared" si="43"/>
        <v/>
      </c>
    </row>
    <row r="169" spans="1:50" s="155" customFormat="1" ht="30" hidden="1" customHeight="1">
      <c r="A169" s="141" t="str">
        <f t="shared" si="54"/>
        <v/>
      </c>
      <c r="B169" s="141" t="str">
        <f t="shared" si="55"/>
        <v/>
      </c>
      <c r="C169" s="205" t="str" cm="1">
        <f t="array" ref="C169">IF(D169="","",
    IF(AND(ISNUMBER(D169), D169=INT(D169)),
        $V$6 &amp; " " &amp; (IFERROR(MAX($Y$12:$Y168), 0) + 1),
        IF(ISNUMBER(SEARCH(".", D169)), "", INDEX($C$12:$C169, MATCH(2, 1/($C$12:$C169 &lt;&gt; ""))))
    )
)</f>
        <v/>
      </c>
      <c r="D169" s="206"/>
      <c r="E169" s="206" t="str">
        <f>IF(AA169 = "", "",
    IF(ISNUMBER(SEARCH("Kiện", C169)),
       " GÓI " &amp; COUNTIF($C$13:C169, "*Kiện*") &amp; "/" &amp; COUNTIF($C$13:$C$1000, "*Kiện*") &amp; " " &amp; AA169,
       AA169)
)</f>
        <v/>
      </c>
      <c r="F169" s="206"/>
      <c r="G169" s="206"/>
      <c r="H169" s="206"/>
      <c r="I169" s="206"/>
      <c r="J169" s="206" t="str">
        <f t="shared" si="56"/>
        <v/>
      </c>
      <c r="K169" s="206" t="str">
        <f t="shared" si="44"/>
        <v/>
      </c>
      <c r="L169" s="206" t="str">
        <f t="shared" si="45"/>
        <v/>
      </c>
      <c r="M169" s="206" t="str">
        <f t="shared" si="46"/>
        <v/>
      </c>
      <c r="N169" s="206" t="str">
        <f t="shared" si="57"/>
        <v/>
      </c>
      <c r="O169" s="206" t="str">
        <f t="shared" si="47"/>
        <v/>
      </c>
      <c r="P169" s="165" t="str">
        <f t="shared" si="48"/>
        <v/>
      </c>
      <c r="Q169" s="207"/>
      <c r="R169" s="141" t="str">
        <f>IF(S169="IN",'BOM_Phan II'!$Y$3,"")</f>
        <v/>
      </c>
      <c r="S169" s="153" t="str">
        <f t="shared" si="49"/>
        <v/>
      </c>
      <c r="T169">
        <f t="shared" si="50"/>
        <v>6</v>
      </c>
      <c r="U169" s="208" t="str">
        <f t="shared" si="58"/>
        <v>KIỆN 9</v>
      </c>
      <c r="V169" s="208" t="str">
        <f t="shared" si="51"/>
        <v/>
      </c>
      <c r="W169" s="240"/>
      <c r="X169" s="240"/>
      <c r="Y169" s="240" t="str">
        <f t="shared" si="52"/>
        <v/>
      </c>
      <c r="Z169" s="240"/>
      <c r="AD169" s="232" t="str">
        <f t="shared" si="53"/>
        <v/>
      </c>
      <c r="AE169" s="204"/>
      <c r="AX169" s="3" t="str">
        <f t="shared" si="43"/>
        <v/>
      </c>
    </row>
    <row r="170" spans="1:50" s="155" customFormat="1" ht="30" hidden="1" customHeight="1">
      <c r="A170" s="141" t="str">
        <f t="shared" si="54"/>
        <v/>
      </c>
      <c r="B170" s="141" t="str">
        <f t="shared" si="55"/>
        <v/>
      </c>
      <c r="C170" s="205" t="str" cm="1">
        <f t="array" ref="C170">IF(D170="","",
    IF(AND(ISNUMBER(D170), D170=INT(D170)),
        $V$6 &amp; " " &amp; (IFERROR(MAX($Y$12:$Y169), 0) + 1),
        IF(ISNUMBER(SEARCH(".", D170)), "", INDEX($C$12:$C170, MATCH(2, 1/($C$12:$C170 &lt;&gt; ""))))
    )
)</f>
        <v/>
      </c>
      <c r="D170" s="206"/>
      <c r="E170" s="206" t="str">
        <f>IF(AA170 = "", "",
    IF(ISNUMBER(SEARCH("Kiện", C170)),
       " GÓI " &amp; COUNTIF($C$13:C170, "*Kiện*") &amp; "/" &amp; COUNTIF($C$13:$C$1000, "*Kiện*") &amp; " " &amp; AA170,
       AA170)
)</f>
        <v/>
      </c>
      <c r="F170" s="206"/>
      <c r="G170" s="206"/>
      <c r="H170" s="206"/>
      <c r="I170" s="206"/>
      <c r="J170" s="206" t="str">
        <f t="shared" si="56"/>
        <v/>
      </c>
      <c r="K170" s="206" t="str">
        <f t="shared" si="44"/>
        <v/>
      </c>
      <c r="L170" s="206" t="str">
        <f t="shared" si="45"/>
        <v/>
      </c>
      <c r="M170" s="206" t="str">
        <f t="shared" si="46"/>
        <v/>
      </c>
      <c r="N170" s="206" t="str">
        <f t="shared" si="57"/>
        <v/>
      </c>
      <c r="O170" s="206" t="str">
        <f t="shared" si="47"/>
        <v/>
      </c>
      <c r="P170" s="165" t="str">
        <f t="shared" si="48"/>
        <v/>
      </c>
      <c r="Q170" s="207"/>
      <c r="R170" s="141" t="str">
        <f>IF(S170="IN",'BOM_Phan II'!$Y$3,"")</f>
        <v/>
      </c>
      <c r="S170" s="153" t="str">
        <f t="shared" si="49"/>
        <v/>
      </c>
      <c r="T170">
        <f t="shared" si="50"/>
        <v>6</v>
      </c>
      <c r="U170" s="208" t="str">
        <f t="shared" si="58"/>
        <v>KIỆN 9</v>
      </c>
      <c r="V170" s="208" t="str">
        <f t="shared" si="51"/>
        <v/>
      </c>
      <c r="W170" s="240"/>
      <c r="X170" s="240"/>
      <c r="Y170" s="240" t="str">
        <f t="shared" si="52"/>
        <v/>
      </c>
      <c r="Z170" s="240"/>
      <c r="AD170" s="232" t="str">
        <f t="shared" si="53"/>
        <v/>
      </c>
      <c r="AE170" s="204"/>
      <c r="AX170" s="3" t="str">
        <f t="shared" si="43"/>
        <v/>
      </c>
    </row>
    <row r="171" spans="1:50" s="155" customFormat="1" ht="30" hidden="1" customHeight="1">
      <c r="A171" s="141" t="str">
        <f t="shared" si="54"/>
        <v/>
      </c>
      <c r="B171" s="141" t="str">
        <f t="shared" si="55"/>
        <v/>
      </c>
      <c r="C171" s="205" t="str" cm="1">
        <f t="array" ref="C171">IF(D171="","",
    IF(AND(ISNUMBER(D171), D171=INT(D171)),
        $V$6 &amp; " " &amp; (IFERROR(MAX($Y$12:$Y170), 0) + 1),
        IF(ISNUMBER(SEARCH(".", D171)), "", INDEX($C$12:$C171, MATCH(2, 1/($C$12:$C171 &lt;&gt; ""))))
    )
)</f>
        <v/>
      </c>
      <c r="D171" s="206"/>
      <c r="E171" s="206" t="str">
        <f>IF(AA171 = "", "",
    IF(ISNUMBER(SEARCH("Kiện", C171)),
       " GÓI " &amp; COUNTIF($C$13:C171, "*Kiện*") &amp; "/" &amp; COUNTIF($C$13:$C$1000, "*Kiện*") &amp; " " &amp; AA171,
       AA171)
)</f>
        <v/>
      </c>
      <c r="F171" s="206"/>
      <c r="G171" s="206"/>
      <c r="H171" s="206"/>
      <c r="I171" s="206"/>
      <c r="J171" s="206" t="str">
        <f t="shared" si="56"/>
        <v/>
      </c>
      <c r="K171" s="206" t="str">
        <f t="shared" si="44"/>
        <v/>
      </c>
      <c r="L171" s="206" t="str">
        <f t="shared" si="45"/>
        <v/>
      </c>
      <c r="M171" s="206" t="str">
        <f t="shared" si="46"/>
        <v/>
      </c>
      <c r="N171" s="206" t="str">
        <f t="shared" si="57"/>
        <v/>
      </c>
      <c r="O171" s="206" t="str">
        <f t="shared" si="47"/>
        <v/>
      </c>
      <c r="P171" s="165" t="str">
        <f t="shared" si="48"/>
        <v/>
      </c>
      <c r="Q171" s="207"/>
      <c r="R171" s="141" t="str">
        <f>IF(S171="IN",'BOM_Phan II'!$Y$3,"")</f>
        <v/>
      </c>
      <c r="S171" s="153" t="str">
        <f t="shared" si="49"/>
        <v/>
      </c>
      <c r="T171">
        <f t="shared" si="50"/>
        <v>6</v>
      </c>
      <c r="U171" s="208" t="str">
        <f t="shared" si="58"/>
        <v>KIỆN 9</v>
      </c>
      <c r="V171" s="208" t="str">
        <f t="shared" si="51"/>
        <v/>
      </c>
      <c r="W171" s="240"/>
      <c r="X171" s="240"/>
      <c r="Y171" s="240" t="str">
        <f t="shared" si="52"/>
        <v/>
      </c>
      <c r="Z171" s="240"/>
      <c r="AD171" s="232" t="str">
        <f t="shared" si="53"/>
        <v/>
      </c>
      <c r="AE171" s="204"/>
      <c r="AX171" s="3" t="str">
        <f t="shared" si="43"/>
        <v/>
      </c>
    </row>
    <row r="172" spans="1:50" s="155" customFormat="1" ht="30" hidden="1" customHeight="1">
      <c r="A172" s="141" t="str">
        <f t="shared" si="54"/>
        <v/>
      </c>
      <c r="B172" s="141" t="str">
        <f t="shared" si="55"/>
        <v/>
      </c>
      <c r="C172" s="205" t="str" cm="1">
        <f t="array" ref="C172">IF(D172="","",
    IF(AND(ISNUMBER(D172), D172=INT(D172)),
        $V$6 &amp; " " &amp; (IFERROR(MAX($Y$12:$Y171), 0) + 1),
        IF(ISNUMBER(SEARCH(".", D172)), "", INDEX($C$12:$C172, MATCH(2, 1/($C$12:$C172 &lt;&gt; ""))))
    )
)</f>
        <v/>
      </c>
      <c r="D172" s="206"/>
      <c r="E172" s="206" t="str">
        <f>IF(AA172 = "", "",
    IF(ISNUMBER(SEARCH("Kiện", C172)),
       " GÓI " &amp; COUNTIF($C$13:C172, "*Kiện*") &amp; "/" &amp; COUNTIF($C$13:$C$1000, "*Kiện*") &amp; " " &amp; AA172,
       AA172)
)</f>
        <v/>
      </c>
      <c r="F172" s="206"/>
      <c r="G172" s="206"/>
      <c r="H172" s="206"/>
      <c r="I172" s="206"/>
      <c r="J172" s="206" t="str">
        <f t="shared" si="56"/>
        <v/>
      </c>
      <c r="K172" s="206" t="str">
        <f t="shared" si="44"/>
        <v/>
      </c>
      <c r="L172" s="206" t="str">
        <f t="shared" si="45"/>
        <v/>
      </c>
      <c r="M172" s="206" t="str">
        <f t="shared" si="46"/>
        <v/>
      </c>
      <c r="N172" s="206" t="str">
        <f t="shared" si="57"/>
        <v/>
      </c>
      <c r="O172" s="206" t="str">
        <f t="shared" si="47"/>
        <v/>
      </c>
      <c r="P172" s="165" t="str">
        <f t="shared" si="48"/>
        <v/>
      </c>
      <c r="Q172" s="207"/>
      <c r="R172" s="141" t="str">
        <f>IF(S172="IN",'BOM_Phan II'!$Y$3,"")</f>
        <v/>
      </c>
      <c r="S172" s="153" t="str">
        <f t="shared" si="49"/>
        <v/>
      </c>
      <c r="T172">
        <f t="shared" si="50"/>
        <v>6</v>
      </c>
      <c r="U172" s="208" t="str">
        <f t="shared" si="58"/>
        <v>KIỆN 9</v>
      </c>
      <c r="V172" s="208" t="str">
        <f t="shared" si="51"/>
        <v/>
      </c>
      <c r="W172" s="240"/>
      <c r="X172" s="240"/>
      <c r="Y172" s="240" t="str">
        <f t="shared" si="52"/>
        <v/>
      </c>
      <c r="Z172" s="240"/>
      <c r="AD172" s="232" t="str">
        <f t="shared" si="53"/>
        <v/>
      </c>
      <c r="AE172" s="204"/>
      <c r="AX172" s="3" t="str">
        <f t="shared" si="43"/>
        <v/>
      </c>
    </row>
    <row r="173" spans="1:50" s="155" customFormat="1" ht="30" hidden="1" customHeight="1">
      <c r="A173" s="141" t="str">
        <f t="shared" si="54"/>
        <v/>
      </c>
      <c r="B173" s="141" t="str">
        <f t="shared" si="55"/>
        <v/>
      </c>
      <c r="C173" s="205" t="str" cm="1">
        <f t="array" ref="C173">IF(D173="","",
    IF(AND(ISNUMBER(D173), D173=INT(D173)),
        $V$6 &amp; " " &amp; (IFERROR(MAX($Y$12:$Y172), 0) + 1),
        IF(ISNUMBER(SEARCH(".", D173)), "", INDEX($C$12:$C173, MATCH(2, 1/($C$12:$C173 &lt;&gt; ""))))
    )
)</f>
        <v/>
      </c>
      <c r="D173" s="206"/>
      <c r="E173" s="206" t="str">
        <f>IF(AA173 = "", "",
    IF(ISNUMBER(SEARCH("Kiện", C173)),
       " GÓI " &amp; COUNTIF($C$13:C173, "*Kiện*") &amp; "/" &amp; COUNTIF($C$13:$C$1000, "*Kiện*") &amp; " " &amp; AA173,
       AA173)
)</f>
        <v/>
      </c>
      <c r="F173" s="206"/>
      <c r="G173" s="206"/>
      <c r="H173" s="206"/>
      <c r="I173" s="206"/>
      <c r="J173" s="206" t="str">
        <f t="shared" si="56"/>
        <v/>
      </c>
      <c r="K173" s="206" t="str">
        <f t="shared" si="44"/>
        <v/>
      </c>
      <c r="L173" s="206" t="str">
        <f t="shared" si="45"/>
        <v/>
      </c>
      <c r="M173" s="206" t="str">
        <f t="shared" si="46"/>
        <v/>
      </c>
      <c r="N173" s="206" t="str">
        <f t="shared" si="57"/>
        <v/>
      </c>
      <c r="O173" s="206" t="str">
        <f t="shared" si="47"/>
        <v/>
      </c>
      <c r="P173" s="165" t="str">
        <f t="shared" si="48"/>
        <v/>
      </c>
      <c r="Q173" s="207"/>
      <c r="R173" s="141" t="str">
        <f>IF(S173="IN",'BOM_Phan II'!$Y$3,"")</f>
        <v/>
      </c>
      <c r="S173" s="153" t="str">
        <f t="shared" si="49"/>
        <v/>
      </c>
      <c r="T173">
        <f t="shared" si="50"/>
        <v>6</v>
      </c>
      <c r="U173" s="208" t="str">
        <f t="shared" si="58"/>
        <v>KIỆN 9</v>
      </c>
      <c r="V173" s="208" t="str">
        <f t="shared" si="51"/>
        <v/>
      </c>
      <c r="W173" s="240"/>
      <c r="X173" s="240"/>
      <c r="Y173" s="240" t="str">
        <f t="shared" si="52"/>
        <v/>
      </c>
      <c r="Z173" s="240"/>
      <c r="AD173" s="232" t="str">
        <f t="shared" si="53"/>
        <v/>
      </c>
      <c r="AE173" s="204"/>
      <c r="AX173" s="3" t="str">
        <f t="shared" si="43"/>
        <v/>
      </c>
    </row>
    <row r="174" spans="1:50" s="155" customFormat="1" ht="30" hidden="1" customHeight="1">
      <c r="A174" s="141" t="str">
        <f t="shared" si="54"/>
        <v/>
      </c>
      <c r="B174" s="141" t="str">
        <f t="shared" si="55"/>
        <v/>
      </c>
      <c r="C174" s="205" t="str" cm="1">
        <f t="array" ref="C174">IF(D174="","",
    IF(AND(ISNUMBER(D174), D174=INT(D174)),
        $V$6 &amp; " " &amp; (IFERROR(MAX($Y$12:$Y173), 0) + 1),
        IF(ISNUMBER(SEARCH(".", D174)), "", INDEX($C$12:$C174, MATCH(2, 1/($C$12:$C174 &lt;&gt; ""))))
    )
)</f>
        <v/>
      </c>
      <c r="D174" s="206"/>
      <c r="E174" s="206" t="str">
        <f>IF(AA174 = "", "",
    IF(ISNUMBER(SEARCH("Kiện", C174)),
       " GÓI " &amp; COUNTIF($C$13:C174, "*Kiện*") &amp; "/" &amp; COUNTIF($C$13:$C$1000, "*Kiện*") &amp; " " &amp; AA174,
       AA174)
)</f>
        <v/>
      </c>
      <c r="F174" s="206"/>
      <c r="G174" s="206"/>
      <c r="H174" s="206"/>
      <c r="I174" s="206"/>
      <c r="J174" s="206" t="str">
        <f t="shared" si="56"/>
        <v/>
      </c>
      <c r="K174" s="206" t="str">
        <f t="shared" si="44"/>
        <v/>
      </c>
      <c r="L174" s="206" t="str">
        <f t="shared" si="45"/>
        <v/>
      </c>
      <c r="M174" s="206" t="str">
        <f t="shared" si="46"/>
        <v/>
      </c>
      <c r="N174" s="206" t="str">
        <f t="shared" si="57"/>
        <v/>
      </c>
      <c r="O174" s="206" t="str">
        <f t="shared" si="47"/>
        <v/>
      </c>
      <c r="P174" s="165" t="str">
        <f t="shared" si="48"/>
        <v/>
      </c>
      <c r="Q174" s="207"/>
      <c r="R174" s="141" t="str">
        <f>IF(S174="IN",'BOM_Phan II'!$Y$3,"")</f>
        <v/>
      </c>
      <c r="S174" s="153" t="str">
        <f t="shared" si="49"/>
        <v/>
      </c>
      <c r="T174">
        <f t="shared" si="50"/>
        <v>6</v>
      </c>
      <c r="U174" s="208" t="str">
        <f t="shared" si="58"/>
        <v>KIỆN 9</v>
      </c>
      <c r="V174" s="208" t="str">
        <f t="shared" si="51"/>
        <v/>
      </c>
      <c r="W174" s="240"/>
      <c r="X174" s="240"/>
      <c r="Y174" s="240" t="str">
        <f t="shared" si="52"/>
        <v/>
      </c>
      <c r="Z174" s="240"/>
      <c r="AD174" s="232" t="str">
        <f t="shared" si="53"/>
        <v/>
      </c>
      <c r="AE174" s="204"/>
      <c r="AX174" s="3" t="str">
        <f t="shared" si="43"/>
        <v/>
      </c>
    </row>
    <row r="175" spans="1:50" s="155" customFormat="1" ht="30" hidden="1" customHeight="1">
      <c r="A175" s="141" t="str">
        <f t="shared" si="54"/>
        <v/>
      </c>
      <c r="B175" s="141" t="str">
        <f t="shared" si="55"/>
        <v/>
      </c>
      <c r="C175" s="205" t="str" cm="1">
        <f t="array" ref="C175">IF(D175="","",
    IF(AND(ISNUMBER(D175), D175=INT(D175)),
        $V$6 &amp; " " &amp; (IFERROR(MAX($Y$12:$Y174), 0) + 1),
        IF(ISNUMBER(SEARCH(".", D175)), "", INDEX($C$12:$C175, MATCH(2, 1/($C$12:$C175 &lt;&gt; ""))))
    )
)</f>
        <v/>
      </c>
      <c r="D175" s="206"/>
      <c r="E175" s="206" t="str">
        <f>IF(AA175 = "", "",
    IF(ISNUMBER(SEARCH("Kiện", C175)),
       " GÓI " &amp; COUNTIF($C$13:C175, "*Kiện*") &amp; "/" &amp; COUNTIF($C$13:$C$1000, "*Kiện*") &amp; " " &amp; AA175,
       AA175)
)</f>
        <v/>
      </c>
      <c r="F175" s="206"/>
      <c r="G175" s="206"/>
      <c r="H175" s="206"/>
      <c r="I175" s="206"/>
      <c r="J175" s="206" t="str">
        <f t="shared" si="56"/>
        <v/>
      </c>
      <c r="K175" s="206" t="str">
        <f t="shared" si="44"/>
        <v/>
      </c>
      <c r="L175" s="206" t="str">
        <f t="shared" si="45"/>
        <v/>
      </c>
      <c r="M175" s="206" t="str">
        <f t="shared" si="46"/>
        <v/>
      </c>
      <c r="N175" s="206" t="str">
        <f t="shared" si="57"/>
        <v/>
      </c>
      <c r="O175" s="206" t="str">
        <f t="shared" si="47"/>
        <v/>
      </c>
      <c r="P175" s="165" t="str">
        <f t="shared" si="48"/>
        <v/>
      </c>
      <c r="Q175" s="207"/>
      <c r="R175" s="141" t="str">
        <f>IF(S175="IN",'BOM_Phan II'!$Y$3,"")</f>
        <v/>
      </c>
      <c r="S175" s="153" t="str">
        <f t="shared" si="49"/>
        <v/>
      </c>
      <c r="T175">
        <f t="shared" si="50"/>
        <v>6</v>
      </c>
      <c r="U175" s="208" t="str">
        <f t="shared" si="58"/>
        <v>KIỆN 9</v>
      </c>
      <c r="V175" s="208" t="str">
        <f t="shared" si="51"/>
        <v/>
      </c>
      <c r="W175" s="240"/>
      <c r="X175" s="240"/>
      <c r="Y175" s="240" t="str">
        <f t="shared" si="52"/>
        <v/>
      </c>
      <c r="Z175" s="240"/>
      <c r="AD175" s="232" t="str">
        <f t="shared" si="53"/>
        <v/>
      </c>
      <c r="AE175" s="204"/>
      <c r="AX175" s="3" t="str">
        <f t="shared" si="43"/>
        <v/>
      </c>
    </row>
    <row r="176" spans="1:50" s="155" customFormat="1" ht="30" hidden="1" customHeight="1">
      <c r="A176" s="141" t="str">
        <f t="shared" si="54"/>
        <v/>
      </c>
      <c r="B176" s="141" t="str">
        <f t="shared" si="55"/>
        <v/>
      </c>
      <c r="C176" s="205" t="str" cm="1">
        <f t="array" ref="C176">IF(D176="","",
    IF(AND(ISNUMBER(D176), D176=INT(D176)),
        $V$6 &amp; " " &amp; (IFERROR(MAX($Y$12:$Y175), 0) + 1),
        IF(ISNUMBER(SEARCH(".", D176)), "", INDEX($C$12:$C176, MATCH(2, 1/($C$12:$C176 &lt;&gt; ""))))
    )
)</f>
        <v/>
      </c>
      <c r="D176" s="206"/>
      <c r="E176" s="206" t="str">
        <f>IF(AA176 = "", "",
    IF(ISNUMBER(SEARCH("Kiện", C176)),
       " GÓI " &amp; COUNTIF($C$13:C176, "*Kiện*") &amp; "/" &amp; COUNTIF($C$13:$C$1000, "*Kiện*") &amp; " " &amp; AA176,
       AA176)
)</f>
        <v/>
      </c>
      <c r="F176" s="206"/>
      <c r="G176" s="206"/>
      <c r="H176" s="206"/>
      <c r="I176" s="206"/>
      <c r="J176" s="206" t="str">
        <f t="shared" si="56"/>
        <v/>
      </c>
      <c r="K176" s="206" t="str">
        <f t="shared" si="44"/>
        <v/>
      </c>
      <c r="L176" s="206" t="str">
        <f t="shared" si="45"/>
        <v/>
      </c>
      <c r="M176" s="206" t="str">
        <f t="shared" si="46"/>
        <v/>
      </c>
      <c r="N176" s="206" t="str">
        <f t="shared" si="57"/>
        <v/>
      </c>
      <c r="O176" s="206" t="str">
        <f t="shared" si="47"/>
        <v/>
      </c>
      <c r="P176" s="165" t="str">
        <f t="shared" si="48"/>
        <v/>
      </c>
      <c r="Q176" s="207"/>
      <c r="R176" s="141" t="str">
        <f>IF(S176="IN",'BOM_Phan II'!$Y$3,"")</f>
        <v/>
      </c>
      <c r="S176" s="153" t="str">
        <f t="shared" si="49"/>
        <v/>
      </c>
      <c r="T176">
        <f t="shared" si="50"/>
        <v>6</v>
      </c>
      <c r="U176" s="208" t="str">
        <f t="shared" si="58"/>
        <v>KIỆN 9</v>
      </c>
      <c r="V176" s="208" t="str">
        <f t="shared" si="51"/>
        <v/>
      </c>
      <c r="W176" s="240"/>
      <c r="X176" s="240"/>
      <c r="Y176" s="240" t="str">
        <f t="shared" si="52"/>
        <v/>
      </c>
      <c r="Z176" s="240"/>
      <c r="AD176" s="232" t="str">
        <f t="shared" si="53"/>
        <v/>
      </c>
      <c r="AE176" s="204"/>
      <c r="AX176" s="3" t="str">
        <f t="shared" si="43"/>
        <v/>
      </c>
    </row>
    <row r="177" spans="1:50" s="155" customFormat="1" ht="30" hidden="1" customHeight="1">
      <c r="A177" s="141" t="str">
        <f t="shared" si="54"/>
        <v/>
      </c>
      <c r="B177" s="141" t="str">
        <f t="shared" si="55"/>
        <v/>
      </c>
      <c r="C177" s="205" t="str" cm="1">
        <f t="array" ref="C177">IF(D177="","",
    IF(AND(ISNUMBER(D177), D177=INT(D177)),
        $V$6 &amp; " " &amp; (IFERROR(MAX($Y$12:$Y176), 0) + 1),
        IF(ISNUMBER(SEARCH(".", D177)), "", INDEX($C$12:$C177, MATCH(2, 1/($C$12:$C177 &lt;&gt; ""))))
    )
)</f>
        <v/>
      </c>
      <c r="D177" s="206"/>
      <c r="E177" s="206" t="str">
        <f>IF(AA177 = "", "",
    IF(ISNUMBER(SEARCH("Kiện", C177)),
       " GÓI " &amp; COUNTIF($C$13:C177, "*Kiện*") &amp; "/" &amp; COUNTIF($C$13:$C$1000, "*Kiện*") &amp; " " &amp; AA177,
       AA177)
)</f>
        <v/>
      </c>
      <c r="F177" s="206"/>
      <c r="G177" s="206"/>
      <c r="H177" s="206"/>
      <c r="I177" s="206"/>
      <c r="J177" s="206" t="str">
        <f t="shared" si="56"/>
        <v/>
      </c>
      <c r="K177" s="206" t="str">
        <f t="shared" si="44"/>
        <v/>
      </c>
      <c r="L177" s="206" t="str">
        <f t="shared" si="45"/>
        <v/>
      </c>
      <c r="M177" s="206" t="str">
        <f t="shared" si="46"/>
        <v/>
      </c>
      <c r="N177" s="206" t="str">
        <f t="shared" si="57"/>
        <v/>
      </c>
      <c r="O177" s="206" t="str">
        <f t="shared" si="47"/>
        <v/>
      </c>
      <c r="P177" s="165" t="str">
        <f t="shared" si="48"/>
        <v/>
      </c>
      <c r="Q177" s="207"/>
      <c r="R177" s="141" t="str">
        <f>IF(S177="IN",'BOM_Phan II'!$Y$3,"")</f>
        <v/>
      </c>
      <c r="S177" s="153" t="str">
        <f t="shared" si="49"/>
        <v/>
      </c>
      <c r="T177">
        <f t="shared" si="50"/>
        <v>6</v>
      </c>
      <c r="U177" s="208" t="str">
        <f t="shared" si="58"/>
        <v>KIỆN 9</v>
      </c>
      <c r="V177" s="208" t="str">
        <f t="shared" si="51"/>
        <v/>
      </c>
      <c r="W177" s="240"/>
      <c r="X177" s="240"/>
      <c r="Y177" s="240" t="str">
        <f t="shared" si="52"/>
        <v/>
      </c>
      <c r="Z177" s="240"/>
      <c r="AD177" s="232" t="str">
        <f t="shared" si="53"/>
        <v/>
      </c>
      <c r="AE177" s="204"/>
      <c r="AX177" s="3" t="str">
        <f t="shared" si="43"/>
        <v/>
      </c>
    </row>
    <row r="178" spans="1:50" s="155" customFormat="1" ht="30" hidden="1" customHeight="1">
      <c r="A178" s="141" t="str">
        <f t="shared" si="54"/>
        <v/>
      </c>
      <c r="B178" s="141" t="str">
        <f t="shared" si="55"/>
        <v/>
      </c>
      <c r="C178" s="205" t="str" cm="1">
        <f t="array" ref="C178">IF(D178="","",
    IF(AND(ISNUMBER(D178), D178=INT(D178)),
        $V$6 &amp; " " &amp; (IFERROR(MAX($Y$12:$Y177), 0) + 1),
        IF(ISNUMBER(SEARCH(".", D178)), "", INDEX($C$12:$C178, MATCH(2, 1/($C$12:$C178 &lt;&gt; ""))))
    )
)</f>
        <v/>
      </c>
      <c r="D178" s="206"/>
      <c r="E178" s="206" t="str">
        <f>IF(AA178 = "", "",
    IF(ISNUMBER(SEARCH("Kiện", C178)),
       " GÓI " &amp; COUNTIF($C$13:C178, "*Kiện*") &amp; "/" &amp; COUNTIF($C$13:$C$1000, "*Kiện*") &amp; " " &amp; AA178,
       AA178)
)</f>
        <v/>
      </c>
      <c r="F178" s="206"/>
      <c r="G178" s="206"/>
      <c r="H178" s="206"/>
      <c r="I178" s="206"/>
      <c r="J178" s="206" t="str">
        <f t="shared" si="56"/>
        <v/>
      </c>
      <c r="K178" s="206" t="str">
        <f t="shared" si="44"/>
        <v/>
      </c>
      <c r="L178" s="206" t="str">
        <f t="shared" si="45"/>
        <v/>
      </c>
      <c r="M178" s="206" t="str">
        <f t="shared" si="46"/>
        <v/>
      </c>
      <c r="N178" s="206" t="str">
        <f t="shared" si="57"/>
        <v/>
      </c>
      <c r="O178" s="206" t="str">
        <f t="shared" si="47"/>
        <v/>
      </c>
      <c r="P178" s="165" t="str">
        <f t="shared" si="48"/>
        <v/>
      </c>
      <c r="Q178" s="207"/>
      <c r="R178" s="141" t="str">
        <f>IF(S178="IN",'BOM_Phan II'!$Y$3,"")</f>
        <v/>
      </c>
      <c r="S178" s="153" t="str">
        <f t="shared" si="49"/>
        <v/>
      </c>
      <c r="T178">
        <f t="shared" si="50"/>
        <v>6</v>
      </c>
      <c r="U178" s="208" t="str">
        <f t="shared" si="58"/>
        <v>KIỆN 9</v>
      </c>
      <c r="V178" s="208" t="str">
        <f t="shared" si="51"/>
        <v/>
      </c>
      <c r="W178" s="240"/>
      <c r="X178" s="240"/>
      <c r="Y178" s="240" t="str">
        <f t="shared" si="52"/>
        <v/>
      </c>
      <c r="Z178" s="240"/>
      <c r="AD178" s="232" t="str">
        <f t="shared" si="53"/>
        <v/>
      </c>
      <c r="AE178" s="204"/>
      <c r="AX178" s="3" t="str">
        <f t="shared" si="43"/>
        <v/>
      </c>
    </row>
    <row r="179" spans="1:50" s="155" customFormat="1" ht="30" hidden="1" customHeight="1">
      <c r="A179" s="141" t="str">
        <f t="shared" si="54"/>
        <v/>
      </c>
      <c r="B179" s="141" t="str">
        <f t="shared" si="55"/>
        <v/>
      </c>
      <c r="C179" s="205" t="str" cm="1">
        <f t="array" ref="C179">IF(D179="","",
    IF(AND(ISNUMBER(D179), D179=INT(D179)),
        $V$6 &amp; " " &amp; (IFERROR(MAX($Y$12:$Y178), 0) + 1),
        IF(ISNUMBER(SEARCH(".", D179)), "", INDEX($C$12:$C179, MATCH(2, 1/($C$12:$C179 &lt;&gt; ""))))
    )
)</f>
        <v/>
      </c>
      <c r="D179" s="206"/>
      <c r="E179" s="206" t="str">
        <f>IF(AA179 = "", "",
    IF(ISNUMBER(SEARCH("Kiện", C179)),
       " GÓI " &amp; COUNTIF($C$13:C179, "*Kiện*") &amp; "/" &amp; COUNTIF($C$13:$C$1000, "*Kiện*") &amp; " " &amp; AA179,
       AA179)
)</f>
        <v/>
      </c>
      <c r="F179" s="206"/>
      <c r="G179" s="206"/>
      <c r="H179" s="206"/>
      <c r="I179" s="206"/>
      <c r="J179" s="206" t="str">
        <f t="shared" si="56"/>
        <v/>
      </c>
      <c r="K179" s="206" t="str">
        <f t="shared" si="44"/>
        <v/>
      </c>
      <c r="L179" s="206" t="str">
        <f t="shared" si="45"/>
        <v/>
      </c>
      <c r="M179" s="206" t="str">
        <f t="shared" si="46"/>
        <v/>
      </c>
      <c r="N179" s="206" t="str">
        <f t="shared" si="57"/>
        <v/>
      </c>
      <c r="O179" s="206" t="str">
        <f t="shared" si="47"/>
        <v/>
      </c>
      <c r="P179" s="165" t="str">
        <f t="shared" si="48"/>
        <v/>
      </c>
      <c r="Q179" s="207"/>
      <c r="R179" s="141" t="str">
        <f>IF(S179="IN",'BOM_Phan II'!$Y$3,"")</f>
        <v/>
      </c>
      <c r="S179" s="153" t="str">
        <f t="shared" si="49"/>
        <v/>
      </c>
      <c r="T179">
        <f t="shared" si="50"/>
        <v>6</v>
      </c>
      <c r="U179" s="208" t="str">
        <f t="shared" si="58"/>
        <v>KIỆN 9</v>
      </c>
      <c r="V179" s="208" t="str">
        <f t="shared" si="51"/>
        <v/>
      </c>
      <c r="W179" s="240"/>
      <c r="X179" s="240"/>
      <c r="Y179" s="240" t="str">
        <f t="shared" si="52"/>
        <v/>
      </c>
      <c r="Z179" s="240"/>
      <c r="AD179" s="232" t="str">
        <f t="shared" si="53"/>
        <v/>
      </c>
      <c r="AE179" s="204"/>
      <c r="AX179" s="3" t="str">
        <f t="shared" si="43"/>
        <v/>
      </c>
    </row>
    <row r="180" spans="1:50" s="155" customFormat="1" ht="30" hidden="1" customHeight="1">
      <c r="A180" s="141" t="str">
        <f t="shared" si="54"/>
        <v/>
      </c>
      <c r="B180" s="141" t="str">
        <f t="shared" si="55"/>
        <v/>
      </c>
      <c r="C180" s="205" t="str" cm="1">
        <f t="array" ref="C180">IF(D180="","",
    IF(AND(ISNUMBER(D180), D180=INT(D180)),
        $V$6 &amp; " " &amp; (IFERROR(MAX($Y$12:$Y179), 0) + 1),
        IF(ISNUMBER(SEARCH(".", D180)), "", INDEX($C$12:$C180, MATCH(2, 1/($C$12:$C180 &lt;&gt; ""))))
    )
)</f>
        <v/>
      </c>
      <c r="D180" s="206"/>
      <c r="E180" s="206" t="str">
        <f>IF(AA180 = "", "",
    IF(ISNUMBER(SEARCH("Kiện", C180)),
       " GÓI " &amp; COUNTIF($C$13:C180, "*Kiện*") &amp; "/" &amp; COUNTIF($C$13:$C$1000, "*Kiện*") &amp; " " &amp; AA180,
       AA180)
)</f>
        <v/>
      </c>
      <c r="F180" s="206"/>
      <c r="G180" s="206"/>
      <c r="H180" s="206"/>
      <c r="I180" s="206"/>
      <c r="J180" s="206" t="str">
        <f t="shared" si="56"/>
        <v/>
      </c>
      <c r="K180" s="206" t="str">
        <f t="shared" si="44"/>
        <v/>
      </c>
      <c r="L180" s="206" t="str">
        <f t="shared" si="45"/>
        <v/>
      </c>
      <c r="M180" s="206" t="str">
        <f t="shared" si="46"/>
        <v/>
      </c>
      <c r="N180" s="206" t="str">
        <f t="shared" si="57"/>
        <v/>
      </c>
      <c r="O180" s="206" t="str">
        <f t="shared" si="47"/>
        <v/>
      </c>
      <c r="P180" s="165" t="str">
        <f t="shared" si="48"/>
        <v/>
      </c>
      <c r="Q180" s="207"/>
      <c r="R180" s="141" t="str">
        <f>IF(S180="IN",'BOM_Phan II'!$Y$3,"")</f>
        <v/>
      </c>
      <c r="S180" s="153" t="str">
        <f t="shared" si="49"/>
        <v/>
      </c>
      <c r="T180">
        <f t="shared" si="50"/>
        <v>6</v>
      </c>
      <c r="U180" s="208" t="str">
        <f t="shared" si="58"/>
        <v>KIỆN 9</v>
      </c>
      <c r="V180" s="208" t="str">
        <f t="shared" si="51"/>
        <v/>
      </c>
      <c r="W180" s="240"/>
      <c r="X180" s="240"/>
      <c r="Y180" s="240" t="str">
        <f t="shared" si="52"/>
        <v/>
      </c>
      <c r="Z180" s="240"/>
      <c r="AD180" s="232" t="str">
        <f t="shared" si="53"/>
        <v/>
      </c>
      <c r="AE180" s="204"/>
      <c r="AX180" s="3" t="str">
        <f t="shared" si="43"/>
        <v/>
      </c>
    </row>
    <row r="181" spans="1:50" s="155" customFormat="1" ht="30" hidden="1" customHeight="1">
      <c r="A181" s="141" t="str">
        <f t="shared" si="54"/>
        <v/>
      </c>
      <c r="B181" s="141" t="str">
        <f t="shared" si="55"/>
        <v/>
      </c>
      <c r="C181" s="205" t="str" cm="1">
        <f t="array" ref="C181">IF(D181="","",
    IF(AND(ISNUMBER(D181), D181=INT(D181)),
        $V$6 &amp; " " &amp; (IFERROR(MAX($Y$12:$Y180), 0) + 1),
        IF(ISNUMBER(SEARCH(".", D181)), "", INDEX($C$12:$C181, MATCH(2, 1/($C$12:$C181 &lt;&gt; ""))))
    )
)</f>
        <v/>
      </c>
      <c r="D181" s="206"/>
      <c r="E181" s="206" t="str">
        <f>IF(AA181 = "", "",
    IF(ISNUMBER(SEARCH("Kiện", C181)),
       " GÓI " &amp; COUNTIF($C$13:C181, "*Kiện*") &amp; "/" &amp; COUNTIF($C$13:$C$1000, "*Kiện*") &amp; " " &amp; AA181,
       AA181)
)</f>
        <v/>
      </c>
      <c r="F181" s="206"/>
      <c r="G181" s="206"/>
      <c r="H181" s="206"/>
      <c r="I181" s="206"/>
      <c r="J181" s="206" t="str">
        <f t="shared" si="56"/>
        <v/>
      </c>
      <c r="K181" s="206" t="str">
        <f t="shared" si="44"/>
        <v/>
      </c>
      <c r="L181" s="206" t="str">
        <f t="shared" si="45"/>
        <v/>
      </c>
      <c r="M181" s="206" t="str">
        <f t="shared" si="46"/>
        <v/>
      </c>
      <c r="N181" s="206" t="str">
        <f t="shared" si="57"/>
        <v/>
      </c>
      <c r="O181" s="206" t="str">
        <f t="shared" si="47"/>
        <v/>
      </c>
      <c r="P181" s="165" t="str">
        <f t="shared" si="48"/>
        <v/>
      </c>
      <c r="Q181" s="207"/>
      <c r="R181" s="141" t="str">
        <f>IF(S181="IN",'BOM_Phan II'!$Y$3,"")</f>
        <v/>
      </c>
      <c r="S181" s="153" t="str">
        <f t="shared" si="49"/>
        <v/>
      </c>
      <c r="T181">
        <f t="shared" si="50"/>
        <v>6</v>
      </c>
      <c r="U181" s="208" t="str">
        <f t="shared" si="58"/>
        <v>KIỆN 9</v>
      </c>
      <c r="V181" s="208" t="str">
        <f t="shared" si="51"/>
        <v/>
      </c>
      <c r="W181" s="240"/>
      <c r="X181" s="240"/>
      <c r="Y181" s="240" t="str">
        <f t="shared" si="52"/>
        <v/>
      </c>
      <c r="Z181" s="240"/>
      <c r="AD181" s="232" t="str">
        <f t="shared" si="53"/>
        <v/>
      </c>
      <c r="AE181" s="204"/>
      <c r="AX181" s="3" t="str">
        <f t="shared" si="43"/>
        <v/>
      </c>
    </row>
    <row r="182" spans="1:50" s="155" customFormat="1" ht="30" hidden="1" customHeight="1">
      <c r="A182" s="141" t="str">
        <f t="shared" si="54"/>
        <v/>
      </c>
      <c r="B182" s="141" t="str">
        <f t="shared" si="55"/>
        <v/>
      </c>
      <c r="C182" s="205" t="str" cm="1">
        <f t="array" ref="C182">IF(D182="","",
    IF(AND(ISNUMBER(D182), D182=INT(D182)),
        $V$6 &amp; " " &amp; (IFERROR(MAX($Y$12:$Y181), 0) + 1),
        IF(ISNUMBER(SEARCH(".", D182)), "", INDEX($C$12:$C182, MATCH(2, 1/($C$12:$C182 &lt;&gt; ""))))
    )
)</f>
        <v/>
      </c>
      <c r="D182" s="206"/>
      <c r="E182" s="206" t="str">
        <f>IF(AA182 = "", "",
    IF(ISNUMBER(SEARCH("Kiện", C182)),
       " GÓI " &amp; COUNTIF($C$13:C182, "*Kiện*") &amp; "/" &amp; COUNTIF($C$13:$C$1000, "*Kiện*") &amp; " " &amp; AA182,
       AA182)
)</f>
        <v/>
      </c>
      <c r="F182" s="206"/>
      <c r="G182" s="206"/>
      <c r="H182" s="206"/>
      <c r="I182" s="206"/>
      <c r="J182" s="206" t="str">
        <f t="shared" si="56"/>
        <v/>
      </c>
      <c r="K182" s="206" t="str">
        <f t="shared" si="44"/>
        <v/>
      </c>
      <c r="L182" s="206" t="str">
        <f t="shared" si="45"/>
        <v/>
      </c>
      <c r="M182" s="206" t="str">
        <f t="shared" si="46"/>
        <v/>
      </c>
      <c r="N182" s="206" t="str">
        <f t="shared" si="57"/>
        <v/>
      </c>
      <c r="O182" s="206" t="str">
        <f t="shared" si="47"/>
        <v/>
      </c>
      <c r="P182" s="165" t="str">
        <f t="shared" si="48"/>
        <v/>
      </c>
      <c r="Q182" s="207"/>
      <c r="R182" s="141" t="str">
        <f>IF(S182="IN",'BOM_Phan II'!$Y$3,"")</f>
        <v/>
      </c>
      <c r="S182" s="153" t="str">
        <f t="shared" si="49"/>
        <v/>
      </c>
      <c r="T182">
        <f t="shared" si="50"/>
        <v>6</v>
      </c>
      <c r="U182" s="208" t="str">
        <f t="shared" si="58"/>
        <v>KIỆN 9</v>
      </c>
      <c r="V182" s="208" t="str">
        <f t="shared" si="51"/>
        <v/>
      </c>
      <c r="W182" s="240"/>
      <c r="X182" s="240"/>
      <c r="Y182" s="240" t="str">
        <f t="shared" si="52"/>
        <v/>
      </c>
      <c r="Z182" s="240"/>
      <c r="AD182" s="232" t="str">
        <f t="shared" si="53"/>
        <v/>
      </c>
      <c r="AE182" s="204"/>
      <c r="AX182" s="3" t="str">
        <f t="shared" si="43"/>
        <v/>
      </c>
    </row>
    <row r="183" spans="1:50" s="155" customFormat="1" ht="30" hidden="1" customHeight="1">
      <c r="A183" s="141" t="str">
        <f t="shared" si="54"/>
        <v/>
      </c>
      <c r="B183" s="141" t="str">
        <f t="shared" si="55"/>
        <v/>
      </c>
      <c r="C183" s="205" t="str" cm="1">
        <f t="array" ref="C183">IF(D183="","",
    IF(AND(ISNUMBER(D183), D183=INT(D183)),
        $V$6 &amp; " " &amp; (IFERROR(MAX($Y$12:$Y182), 0) + 1),
        IF(ISNUMBER(SEARCH(".", D183)), "", INDEX($C$12:$C183, MATCH(2, 1/($C$12:$C183 &lt;&gt; ""))))
    )
)</f>
        <v/>
      </c>
      <c r="D183" s="206"/>
      <c r="E183" s="206" t="str">
        <f>IF(AA183 = "", "",
    IF(ISNUMBER(SEARCH("Kiện", C183)),
       " GÓI " &amp; COUNTIF($C$13:C183, "*Kiện*") &amp; "/" &amp; COUNTIF($C$13:$C$1000, "*Kiện*") &amp; " " &amp; AA183,
       AA183)
)</f>
        <v/>
      </c>
      <c r="F183" s="206"/>
      <c r="G183" s="206"/>
      <c r="H183" s="206"/>
      <c r="I183" s="206"/>
      <c r="J183" s="206" t="str">
        <f t="shared" si="56"/>
        <v/>
      </c>
      <c r="K183" s="206" t="str">
        <f t="shared" si="44"/>
        <v/>
      </c>
      <c r="L183" s="206" t="str">
        <f t="shared" si="45"/>
        <v/>
      </c>
      <c r="M183" s="206" t="str">
        <f t="shared" si="46"/>
        <v/>
      </c>
      <c r="N183" s="206" t="str">
        <f t="shared" si="57"/>
        <v/>
      </c>
      <c r="O183" s="206" t="str">
        <f t="shared" si="47"/>
        <v/>
      </c>
      <c r="P183" s="165" t="str">
        <f t="shared" si="48"/>
        <v/>
      </c>
      <c r="Q183" s="207"/>
      <c r="R183" s="141" t="str">
        <f>IF(S183="IN",'BOM_Phan II'!$Y$3,"")</f>
        <v/>
      </c>
      <c r="S183" s="153" t="str">
        <f t="shared" si="49"/>
        <v/>
      </c>
      <c r="T183">
        <f t="shared" si="50"/>
        <v>6</v>
      </c>
      <c r="U183" s="208" t="str">
        <f t="shared" si="58"/>
        <v>KIỆN 9</v>
      </c>
      <c r="V183" s="208" t="str">
        <f t="shared" si="51"/>
        <v/>
      </c>
      <c r="W183" s="240"/>
      <c r="X183" s="240"/>
      <c r="Y183" s="240" t="str">
        <f t="shared" si="52"/>
        <v/>
      </c>
      <c r="Z183" s="240"/>
      <c r="AD183" s="232" t="str">
        <f t="shared" si="53"/>
        <v/>
      </c>
      <c r="AE183" s="204"/>
      <c r="AX183" s="3" t="str">
        <f t="shared" si="43"/>
        <v/>
      </c>
    </row>
    <row r="184" spans="1:50" s="155" customFormat="1" ht="30" hidden="1" customHeight="1">
      <c r="A184" s="141" t="str">
        <f t="shared" si="54"/>
        <v/>
      </c>
      <c r="B184" s="141" t="str">
        <f t="shared" si="55"/>
        <v/>
      </c>
      <c r="C184" s="205" t="str" cm="1">
        <f t="array" ref="C184">IF(D184="","",
    IF(AND(ISNUMBER(D184), D184=INT(D184)),
        $V$6 &amp; " " &amp; (IFERROR(MAX($Y$12:$Y183), 0) + 1),
        IF(ISNUMBER(SEARCH(".", D184)), "", INDEX($C$12:$C184, MATCH(2, 1/($C$12:$C184 &lt;&gt; ""))))
    )
)</f>
        <v/>
      </c>
      <c r="D184" s="206"/>
      <c r="E184" s="206" t="str">
        <f>IF(AA184 = "", "",
    IF(ISNUMBER(SEARCH("Kiện", C184)),
       " GÓI " &amp; COUNTIF($C$13:C184, "*Kiện*") &amp; "/" &amp; COUNTIF($C$13:$C$1000, "*Kiện*") &amp; " " &amp; AA184,
       AA184)
)</f>
        <v/>
      </c>
      <c r="F184" s="206"/>
      <c r="G184" s="206"/>
      <c r="H184" s="206"/>
      <c r="I184" s="206"/>
      <c r="J184" s="206" t="str">
        <f t="shared" si="56"/>
        <v/>
      </c>
      <c r="K184" s="206" t="str">
        <f t="shared" si="44"/>
        <v/>
      </c>
      <c r="L184" s="206" t="str">
        <f t="shared" si="45"/>
        <v/>
      </c>
      <c r="M184" s="206" t="str">
        <f t="shared" si="46"/>
        <v/>
      </c>
      <c r="N184" s="206" t="str">
        <f t="shared" si="57"/>
        <v/>
      </c>
      <c r="O184" s="206" t="str">
        <f t="shared" si="47"/>
        <v/>
      </c>
      <c r="P184" s="165" t="str">
        <f t="shared" si="48"/>
        <v/>
      </c>
      <c r="Q184" s="207"/>
      <c r="R184" s="141" t="str">
        <f>IF(S184="IN",'BOM_Phan II'!$Y$3,"")</f>
        <v/>
      </c>
      <c r="S184" s="153" t="str">
        <f t="shared" si="49"/>
        <v/>
      </c>
      <c r="T184">
        <f t="shared" si="50"/>
        <v>6</v>
      </c>
      <c r="U184" s="208" t="str">
        <f t="shared" si="58"/>
        <v>KIỆN 9</v>
      </c>
      <c r="V184" s="208" t="str">
        <f t="shared" si="51"/>
        <v/>
      </c>
      <c r="W184" s="240"/>
      <c r="X184" s="240"/>
      <c r="Y184" s="240" t="str">
        <f t="shared" si="52"/>
        <v/>
      </c>
      <c r="Z184" s="240"/>
      <c r="AD184" s="232" t="str">
        <f t="shared" si="53"/>
        <v/>
      </c>
      <c r="AE184" s="204"/>
      <c r="AX184" s="3" t="str">
        <f t="shared" si="43"/>
        <v/>
      </c>
    </row>
    <row r="185" spans="1:50" s="155" customFormat="1" ht="30" hidden="1" customHeight="1">
      <c r="A185" s="141" t="str">
        <f t="shared" si="54"/>
        <v/>
      </c>
      <c r="B185" s="141" t="str">
        <f t="shared" si="55"/>
        <v/>
      </c>
      <c r="C185" s="205" t="str" cm="1">
        <f t="array" ref="C185">IF(D185="","",
    IF(AND(ISNUMBER(D185), D185=INT(D185)),
        $V$6 &amp; " " &amp; (IFERROR(MAX($Y$12:$Y184), 0) + 1),
        IF(ISNUMBER(SEARCH(".", D185)), "", INDEX($C$12:$C185, MATCH(2, 1/($C$12:$C185 &lt;&gt; ""))))
    )
)</f>
        <v/>
      </c>
      <c r="D185" s="206"/>
      <c r="E185" s="206" t="str">
        <f>IF(AA185 = "", "",
    IF(ISNUMBER(SEARCH("Kiện", C185)),
       " GÓI " &amp; COUNTIF($C$13:C185, "*Kiện*") &amp; "/" &amp; COUNTIF($C$13:$C$1000, "*Kiện*") &amp; " " &amp; AA185,
       AA185)
)</f>
        <v/>
      </c>
      <c r="F185" s="206"/>
      <c r="G185" s="206"/>
      <c r="H185" s="206"/>
      <c r="I185" s="206"/>
      <c r="J185" s="206" t="str">
        <f t="shared" si="56"/>
        <v/>
      </c>
      <c r="K185" s="206" t="str">
        <f t="shared" si="44"/>
        <v/>
      </c>
      <c r="L185" s="206" t="str">
        <f t="shared" si="45"/>
        <v/>
      </c>
      <c r="M185" s="206" t="str">
        <f t="shared" si="46"/>
        <v/>
      </c>
      <c r="N185" s="206" t="str">
        <f t="shared" si="57"/>
        <v/>
      </c>
      <c r="O185" s="206" t="str">
        <f t="shared" si="47"/>
        <v/>
      </c>
      <c r="P185" s="165" t="str">
        <f t="shared" si="48"/>
        <v/>
      </c>
      <c r="Q185" s="207"/>
      <c r="R185" s="141" t="str">
        <f>IF(S185="IN",'BOM_Phan II'!$Y$3,"")</f>
        <v/>
      </c>
      <c r="S185" s="153" t="str">
        <f t="shared" si="49"/>
        <v/>
      </c>
      <c r="T185">
        <f t="shared" si="50"/>
        <v>6</v>
      </c>
      <c r="U185" s="208" t="str">
        <f t="shared" si="58"/>
        <v>KIỆN 9</v>
      </c>
      <c r="V185" s="208" t="str">
        <f t="shared" si="51"/>
        <v/>
      </c>
      <c r="W185" s="240"/>
      <c r="X185" s="240"/>
      <c r="Y185" s="240" t="str">
        <f t="shared" si="52"/>
        <v/>
      </c>
      <c r="Z185" s="240"/>
      <c r="AD185" s="232" t="str">
        <f t="shared" si="53"/>
        <v/>
      </c>
      <c r="AE185" s="204"/>
      <c r="AX185" s="3" t="str">
        <f t="shared" si="43"/>
        <v/>
      </c>
    </row>
    <row r="186" spans="1:50" s="155" customFormat="1" ht="30" hidden="1" customHeight="1">
      <c r="A186" s="141" t="str">
        <f t="shared" si="54"/>
        <v/>
      </c>
      <c r="B186" s="141" t="str">
        <f t="shared" si="55"/>
        <v/>
      </c>
      <c r="C186" s="205" t="str" cm="1">
        <f t="array" ref="C186">IF(D186="","",
    IF(AND(ISNUMBER(D186), D186=INT(D186)),
        $V$6 &amp; " " &amp; (IFERROR(MAX($Y$12:$Y185), 0) + 1),
        IF(ISNUMBER(SEARCH(".", D186)), "", INDEX($C$12:$C186, MATCH(2, 1/($C$12:$C186 &lt;&gt; ""))))
    )
)</f>
        <v/>
      </c>
      <c r="D186" s="206"/>
      <c r="E186" s="206" t="str">
        <f>IF(AA186 = "", "",
    IF(ISNUMBER(SEARCH("Kiện", C186)),
       " GÓI " &amp; COUNTIF($C$13:C186, "*Kiện*") &amp; "/" &amp; COUNTIF($C$13:$C$1000, "*Kiện*") &amp; " " &amp; AA186,
       AA186)
)</f>
        <v/>
      </c>
      <c r="F186" s="206"/>
      <c r="G186" s="206"/>
      <c r="H186" s="206"/>
      <c r="I186" s="206"/>
      <c r="J186" s="206" t="str">
        <f t="shared" si="56"/>
        <v/>
      </c>
      <c r="K186" s="206" t="str">
        <f t="shared" si="44"/>
        <v/>
      </c>
      <c r="L186" s="206" t="str">
        <f t="shared" si="45"/>
        <v/>
      </c>
      <c r="M186" s="206" t="str">
        <f t="shared" si="46"/>
        <v/>
      </c>
      <c r="N186" s="206" t="str">
        <f t="shared" si="57"/>
        <v/>
      </c>
      <c r="O186" s="206" t="str">
        <f t="shared" si="47"/>
        <v/>
      </c>
      <c r="P186" s="165" t="str">
        <f t="shared" si="48"/>
        <v/>
      </c>
      <c r="Q186" s="207"/>
      <c r="R186" s="141" t="str">
        <f>IF(S186="IN",'BOM_Phan II'!$Y$3,"")</f>
        <v/>
      </c>
      <c r="S186" s="153" t="str">
        <f t="shared" si="49"/>
        <v/>
      </c>
      <c r="T186">
        <f t="shared" si="50"/>
        <v>6</v>
      </c>
      <c r="U186" s="208" t="str">
        <f t="shared" si="58"/>
        <v>KIỆN 9</v>
      </c>
      <c r="V186" s="208" t="str">
        <f t="shared" si="51"/>
        <v/>
      </c>
      <c r="W186" s="240"/>
      <c r="X186" s="240"/>
      <c r="Y186" s="240" t="str">
        <f t="shared" si="52"/>
        <v/>
      </c>
      <c r="Z186" s="240"/>
      <c r="AD186" s="232" t="str">
        <f t="shared" si="53"/>
        <v/>
      </c>
      <c r="AE186" s="204"/>
      <c r="AX186" s="3" t="str">
        <f t="shared" si="43"/>
        <v/>
      </c>
    </row>
    <row r="187" spans="1:50" s="155" customFormat="1" ht="30" hidden="1" customHeight="1">
      <c r="A187" s="141" t="str">
        <f t="shared" si="54"/>
        <v/>
      </c>
      <c r="B187" s="141" t="str">
        <f t="shared" si="55"/>
        <v/>
      </c>
      <c r="C187" s="205" t="str" cm="1">
        <f t="array" ref="C187">IF(D187="","",
    IF(AND(ISNUMBER(D187), D187=INT(D187)),
        $V$6 &amp; " " &amp; (IFERROR(MAX($Y$12:$Y186), 0) + 1),
        IF(ISNUMBER(SEARCH(".", D187)), "", INDEX($C$12:$C187, MATCH(2, 1/($C$12:$C187 &lt;&gt; ""))))
    )
)</f>
        <v/>
      </c>
      <c r="D187" s="206"/>
      <c r="E187" s="206" t="str">
        <f>IF(AA187 = "", "",
    IF(ISNUMBER(SEARCH("Kiện", C187)),
       " GÓI " &amp; COUNTIF($C$13:C187, "*Kiện*") &amp; "/" &amp; COUNTIF($C$13:$C$1000, "*Kiện*") &amp; " " &amp; AA187,
       AA187)
)</f>
        <v/>
      </c>
      <c r="F187" s="206"/>
      <c r="G187" s="206"/>
      <c r="H187" s="206"/>
      <c r="I187" s="206"/>
      <c r="J187" s="206" t="str">
        <f t="shared" si="56"/>
        <v/>
      </c>
      <c r="K187" s="206" t="str">
        <f t="shared" si="44"/>
        <v/>
      </c>
      <c r="L187" s="206" t="str">
        <f t="shared" si="45"/>
        <v/>
      </c>
      <c r="M187" s="206" t="str">
        <f t="shared" si="46"/>
        <v/>
      </c>
      <c r="N187" s="206" t="str">
        <f t="shared" si="57"/>
        <v/>
      </c>
      <c r="O187" s="206" t="str">
        <f t="shared" si="47"/>
        <v/>
      </c>
      <c r="P187" s="165" t="str">
        <f t="shared" si="48"/>
        <v/>
      </c>
      <c r="Q187" s="207"/>
      <c r="R187" s="141" t="str">
        <f>IF(S187="IN",'BOM_Phan II'!$Y$3,"")</f>
        <v/>
      </c>
      <c r="S187" s="153" t="str">
        <f t="shared" si="49"/>
        <v/>
      </c>
      <c r="T187">
        <f t="shared" si="50"/>
        <v>6</v>
      </c>
      <c r="U187" s="208" t="str">
        <f t="shared" si="58"/>
        <v>KIỆN 9</v>
      </c>
      <c r="V187" s="208" t="str">
        <f t="shared" si="51"/>
        <v/>
      </c>
      <c r="W187" s="240"/>
      <c r="X187" s="240"/>
      <c r="Y187" s="240" t="str">
        <f t="shared" si="52"/>
        <v/>
      </c>
      <c r="Z187" s="240"/>
      <c r="AD187" s="232" t="str">
        <f t="shared" si="53"/>
        <v/>
      </c>
      <c r="AE187" s="204"/>
      <c r="AX187" s="3" t="str">
        <f t="shared" si="43"/>
        <v/>
      </c>
    </row>
    <row r="188" spans="1:50" s="155" customFormat="1" ht="30" hidden="1" customHeight="1">
      <c r="A188" s="141" t="str">
        <f t="shared" si="54"/>
        <v/>
      </c>
      <c r="B188" s="141" t="str">
        <f t="shared" si="55"/>
        <v/>
      </c>
      <c r="C188" s="205" t="str" cm="1">
        <f t="array" ref="C188">IF(D188="","",
    IF(AND(ISNUMBER(D188), D188=INT(D188)),
        $V$6 &amp; " " &amp; (IFERROR(MAX($Y$12:$Y187), 0) + 1),
        IF(ISNUMBER(SEARCH(".", D188)), "", INDEX($C$12:$C188, MATCH(2, 1/($C$12:$C188 &lt;&gt; ""))))
    )
)</f>
        <v/>
      </c>
      <c r="D188" s="206"/>
      <c r="E188" s="206" t="str">
        <f>IF(AA188 = "", "",
    IF(ISNUMBER(SEARCH("Kiện", C188)),
       " GÓI " &amp; COUNTIF($C$13:C188, "*Kiện*") &amp; "/" &amp; COUNTIF($C$13:$C$1000, "*Kiện*") &amp; " " &amp; AA188,
       AA188)
)</f>
        <v/>
      </c>
      <c r="F188" s="206"/>
      <c r="G188" s="206"/>
      <c r="H188" s="206"/>
      <c r="I188" s="206"/>
      <c r="J188" s="206" t="str">
        <f t="shared" si="56"/>
        <v/>
      </c>
      <c r="K188" s="206" t="str">
        <f t="shared" si="44"/>
        <v/>
      </c>
      <c r="L188" s="206" t="str">
        <f t="shared" si="45"/>
        <v/>
      </c>
      <c r="M188" s="206" t="str">
        <f t="shared" si="46"/>
        <v/>
      </c>
      <c r="N188" s="206" t="str">
        <f t="shared" si="57"/>
        <v/>
      </c>
      <c r="O188" s="206" t="str">
        <f t="shared" si="47"/>
        <v/>
      </c>
      <c r="P188" s="165" t="str">
        <f t="shared" si="48"/>
        <v/>
      </c>
      <c r="Q188" s="207"/>
      <c r="R188" s="141" t="str">
        <f>IF(S188="IN",'BOM_Phan II'!$Y$3,"")</f>
        <v/>
      </c>
      <c r="S188" s="153" t="str">
        <f t="shared" si="49"/>
        <v/>
      </c>
      <c r="T188">
        <f t="shared" si="50"/>
        <v>6</v>
      </c>
      <c r="U188" s="208" t="str">
        <f t="shared" si="58"/>
        <v>KIỆN 9</v>
      </c>
      <c r="V188" s="208" t="str">
        <f t="shared" si="51"/>
        <v/>
      </c>
      <c r="W188" s="240"/>
      <c r="X188" s="240"/>
      <c r="Y188" s="240" t="str">
        <f t="shared" si="52"/>
        <v/>
      </c>
      <c r="Z188" s="240"/>
      <c r="AD188" s="232" t="str">
        <f t="shared" si="53"/>
        <v/>
      </c>
      <c r="AE188" s="204"/>
      <c r="AX188" s="3" t="str">
        <f t="shared" si="43"/>
        <v/>
      </c>
    </row>
    <row r="189" spans="1:50" s="155" customFormat="1" ht="30" hidden="1" customHeight="1">
      <c r="A189" s="141" t="str">
        <f t="shared" si="54"/>
        <v/>
      </c>
      <c r="B189" s="141" t="str">
        <f t="shared" si="55"/>
        <v/>
      </c>
      <c r="C189" s="205" t="str" cm="1">
        <f t="array" ref="C189">IF(D189="","",
    IF(AND(ISNUMBER(D189), D189=INT(D189)),
        $V$6 &amp; " " &amp; (IFERROR(MAX($Y$12:$Y188), 0) + 1),
        IF(ISNUMBER(SEARCH(".", D189)), "", INDEX($C$12:$C189, MATCH(2, 1/($C$12:$C189 &lt;&gt; ""))))
    )
)</f>
        <v/>
      </c>
      <c r="D189" s="206"/>
      <c r="E189" s="206" t="str">
        <f>IF(AA189 = "", "",
    IF(ISNUMBER(SEARCH("Kiện", C189)),
       " GÓI " &amp; COUNTIF($C$13:C189, "*Kiện*") &amp; "/" &amp; COUNTIF($C$13:$C$1000, "*Kiện*") &amp; " " &amp; AA189,
       AA189)
)</f>
        <v/>
      </c>
      <c r="F189" s="206"/>
      <c r="G189" s="206"/>
      <c r="H189" s="206"/>
      <c r="I189" s="206"/>
      <c r="J189" s="206" t="str">
        <f t="shared" si="56"/>
        <v/>
      </c>
      <c r="K189" s="206" t="str">
        <f t="shared" si="44"/>
        <v/>
      </c>
      <c r="L189" s="206" t="str">
        <f t="shared" si="45"/>
        <v/>
      </c>
      <c r="M189" s="206" t="str">
        <f t="shared" si="46"/>
        <v/>
      </c>
      <c r="N189" s="206" t="str">
        <f t="shared" si="57"/>
        <v/>
      </c>
      <c r="O189" s="206" t="str">
        <f t="shared" si="47"/>
        <v/>
      </c>
      <c r="P189" s="165" t="str">
        <f t="shared" si="48"/>
        <v/>
      </c>
      <c r="Q189" s="207"/>
      <c r="R189" s="141" t="str">
        <f>IF(S189="IN",'BOM_Phan II'!$Y$3,"")</f>
        <v/>
      </c>
      <c r="S189" s="153" t="str">
        <f t="shared" si="49"/>
        <v/>
      </c>
      <c r="T189">
        <f t="shared" si="50"/>
        <v>6</v>
      </c>
      <c r="U189" s="208" t="str">
        <f t="shared" si="58"/>
        <v>KIỆN 9</v>
      </c>
      <c r="V189" s="208" t="str">
        <f t="shared" si="51"/>
        <v/>
      </c>
      <c r="W189" s="240"/>
      <c r="X189" s="240"/>
      <c r="Y189" s="240" t="str">
        <f t="shared" si="52"/>
        <v/>
      </c>
      <c r="Z189" s="240"/>
      <c r="AD189" s="232" t="str">
        <f t="shared" si="53"/>
        <v/>
      </c>
      <c r="AE189" s="204"/>
      <c r="AX189" s="3" t="str">
        <f t="shared" si="43"/>
        <v/>
      </c>
    </row>
    <row r="190" spans="1:50" s="155" customFormat="1" ht="30" hidden="1" customHeight="1">
      <c r="A190" s="141" t="str">
        <f t="shared" si="54"/>
        <v/>
      </c>
      <c r="B190" s="141" t="str">
        <f t="shared" si="55"/>
        <v/>
      </c>
      <c r="C190" s="205" t="str" cm="1">
        <f t="array" ref="C190">IF(D190="","",
    IF(AND(ISNUMBER(D190), D190=INT(D190)),
        $V$6 &amp; " " &amp; (IFERROR(MAX($Y$12:$Y189), 0) + 1),
        IF(ISNUMBER(SEARCH(".", D190)), "", INDEX($C$12:$C190, MATCH(2, 1/($C$12:$C190 &lt;&gt; ""))))
    )
)</f>
        <v/>
      </c>
      <c r="D190" s="206"/>
      <c r="E190" s="206" t="str">
        <f>IF(AA190 = "", "",
    IF(ISNUMBER(SEARCH("Kiện", C190)),
       " GÓI " &amp; COUNTIF($C$13:C190, "*Kiện*") &amp; "/" &amp; COUNTIF($C$13:$C$1000, "*Kiện*") &amp; " " &amp; AA190,
       AA190)
)</f>
        <v/>
      </c>
      <c r="F190" s="206"/>
      <c r="G190" s="206"/>
      <c r="H190" s="206"/>
      <c r="I190" s="206"/>
      <c r="J190" s="206" t="str">
        <f t="shared" si="56"/>
        <v/>
      </c>
      <c r="K190" s="206" t="str">
        <f t="shared" si="44"/>
        <v/>
      </c>
      <c r="L190" s="206" t="str">
        <f t="shared" si="45"/>
        <v/>
      </c>
      <c r="M190" s="206" t="str">
        <f t="shared" si="46"/>
        <v/>
      </c>
      <c r="N190" s="206" t="str">
        <f t="shared" si="57"/>
        <v/>
      </c>
      <c r="O190" s="206" t="str">
        <f t="shared" si="47"/>
        <v/>
      </c>
      <c r="P190" s="165" t="str">
        <f t="shared" si="48"/>
        <v/>
      </c>
      <c r="Q190" s="207"/>
      <c r="R190" s="141" t="str">
        <f>IF(S190="IN",'BOM_Phan II'!$Y$3,"")</f>
        <v/>
      </c>
      <c r="S190" s="153" t="str">
        <f t="shared" si="49"/>
        <v/>
      </c>
      <c r="T190">
        <f t="shared" si="50"/>
        <v>6</v>
      </c>
      <c r="U190" s="208" t="str">
        <f t="shared" si="58"/>
        <v>KIỆN 9</v>
      </c>
      <c r="V190" s="208" t="str">
        <f t="shared" si="51"/>
        <v/>
      </c>
      <c r="W190" s="240"/>
      <c r="X190" s="240"/>
      <c r="Y190" s="240" t="str">
        <f t="shared" si="52"/>
        <v/>
      </c>
      <c r="Z190" s="240"/>
      <c r="AD190" s="232" t="str">
        <f t="shared" si="53"/>
        <v/>
      </c>
      <c r="AE190" s="204"/>
      <c r="AX190" s="3" t="str">
        <f t="shared" si="43"/>
        <v/>
      </c>
    </row>
    <row r="191" spans="1:50" s="155" customFormat="1" ht="30" hidden="1" customHeight="1">
      <c r="A191" s="141" t="str">
        <f t="shared" si="54"/>
        <v/>
      </c>
      <c r="B191" s="141" t="str">
        <f t="shared" si="55"/>
        <v/>
      </c>
      <c r="C191" s="205" t="str" cm="1">
        <f t="array" ref="C191">IF(D191="","",
    IF(AND(ISNUMBER(D191), D191=INT(D191)),
        $V$6 &amp; " " &amp; (IFERROR(MAX($Y$12:$Y190), 0) + 1),
        IF(ISNUMBER(SEARCH(".", D191)), "", INDEX($C$12:$C191, MATCH(2, 1/($C$12:$C191 &lt;&gt; ""))))
    )
)</f>
        <v/>
      </c>
      <c r="D191" s="206"/>
      <c r="E191" s="206" t="str">
        <f>IF(AA191 = "", "",
    IF(ISNUMBER(SEARCH("Kiện", C191)),
       " GÓI " &amp; COUNTIF($C$13:C191, "*Kiện*") &amp; "/" &amp; COUNTIF($C$13:$C$1000, "*Kiện*") &amp; " " &amp; AA191,
       AA191)
)</f>
        <v/>
      </c>
      <c r="F191" s="206"/>
      <c r="G191" s="206"/>
      <c r="H191" s="206"/>
      <c r="I191" s="206"/>
      <c r="J191" s="206" t="str">
        <f t="shared" si="56"/>
        <v/>
      </c>
      <c r="K191" s="206" t="str">
        <f t="shared" si="44"/>
        <v/>
      </c>
      <c r="L191" s="206" t="str">
        <f t="shared" si="45"/>
        <v/>
      </c>
      <c r="M191" s="206" t="str">
        <f t="shared" si="46"/>
        <v/>
      </c>
      <c r="N191" s="206" t="str">
        <f t="shared" si="57"/>
        <v/>
      </c>
      <c r="O191" s="206" t="str">
        <f t="shared" si="47"/>
        <v/>
      </c>
      <c r="P191" s="165" t="str">
        <f t="shared" si="48"/>
        <v/>
      </c>
      <c r="Q191" s="207"/>
      <c r="R191" s="141" t="str">
        <f>IF(S191="IN",'BOM_Phan II'!$Y$3,"")</f>
        <v/>
      </c>
      <c r="S191" s="153" t="str">
        <f t="shared" si="49"/>
        <v/>
      </c>
      <c r="T191">
        <f t="shared" si="50"/>
        <v>6</v>
      </c>
      <c r="U191" s="208" t="str">
        <f t="shared" si="58"/>
        <v>KIỆN 9</v>
      </c>
      <c r="V191" s="208" t="str">
        <f t="shared" si="51"/>
        <v/>
      </c>
      <c r="W191" s="240"/>
      <c r="X191" s="240"/>
      <c r="Y191" s="240" t="str">
        <f t="shared" si="52"/>
        <v/>
      </c>
      <c r="Z191" s="240"/>
      <c r="AD191" s="232" t="str">
        <f t="shared" si="53"/>
        <v/>
      </c>
      <c r="AE191" s="204"/>
      <c r="AX191" s="3" t="str">
        <f t="shared" si="43"/>
        <v/>
      </c>
    </row>
    <row r="192" spans="1:50" s="155" customFormat="1" ht="30" hidden="1" customHeight="1">
      <c r="A192" s="141" t="str">
        <f t="shared" si="54"/>
        <v/>
      </c>
      <c r="B192" s="141" t="str">
        <f t="shared" si="55"/>
        <v/>
      </c>
      <c r="C192" s="205" t="str" cm="1">
        <f t="array" ref="C192">IF(D192="","",
    IF(AND(ISNUMBER(D192), D192=INT(D192)),
        $V$6 &amp; " " &amp; (IFERROR(MAX($Y$12:$Y191), 0) + 1),
        IF(ISNUMBER(SEARCH(".", D192)), "", INDEX($C$12:$C192, MATCH(2, 1/($C$12:$C192 &lt;&gt; ""))))
    )
)</f>
        <v/>
      </c>
      <c r="D192" s="206"/>
      <c r="E192" s="206" t="str">
        <f>IF(AA192 = "", "",
    IF(ISNUMBER(SEARCH("Kiện", C192)),
       " GÓI " &amp; COUNTIF($C$13:C192, "*Kiện*") &amp; "/" &amp; COUNTIF($C$13:$C$1000, "*Kiện*") &amp; " " &amp; AA192,
       AA192)
)</f>
        <v/>
      </c>
      <c r="F192" s="206"/>
      <c r="G192" s="206"/>
      <c r="H192" s="206"/>
      <c r="I192" s="206"/>
      <c r="J192" s="206" t="str">
        <f t="shared" si="56"/>
        <v/>
      </c>
      <c r="K192" s="206" t="str">
        <f t="shared" si="44"/>
        <v/>
      </c>
      <c r="L192" s="206" t="str">
        <f t="shared" si="45"/>
        <v/>
      </c>
      <c r="M192" s="206" t="str">
        <f t="shared" si="46"/>
        <v/>
      </c>
      <c r="N192" s="206" t="str">
        <f t="shared" si="57"/>
        <v/>
      </c>
      <c r="O192" s="206" t="str">
        <f t="shared" si="47"/>
        <v/>
      </c>
      <c r="P192" s="165" t="str">
        <f t="shared" si="48"/>
        <v/>
      </c>
      <c r="Q192" s="207"/>
      <c r="R192" s="141" t="str">
        <f>IF(S192="IN",'BOM_Phan II'!$Y$3,"")</f>
        <v/>
      </c>
      <c r="S192" s="153" t="str">
        <f t="shared" si="49"/>
        <v/>
      </c>
      <c r="T192">
        <f t="shared" si="50"/>
        <v>6</v>
      </c>
      <c r="U192" s="208" t="str">
        <f t="shared" si="58"/>
        <v>KIỆN 9</v>
      </c>
      <c r="V192" s="208" t="str">
        <f t="shared" si="51"/>
        <v/>
      </c>
      <c r="W192" s="240"/>
      <c r="X192" s="240"/>
      <c r="Y192" s="240" t="str">
        <f t="shared" si="52"/>
        <v/>
      </c>
      <c r="Z192" s="240"/>
      <c r="AD192" s="232" t="str">
        <f t="shared" si="53"/>
        <v/>
      </c>
      <c r="AE192" s="204"/>
      <c r="AX192" s="3" t="str">
        <f t="shared" si="43"/>
        <v/>
      </c>
    </row>
    <row r="193" spans="1:50" s="155" customFormat="1" ht="30" hidden="1" customHeight="1">
      <c r="A193" s="141" t="str">
        <f t="shared" si="54"/>
        <v/>
      </c>
      <c r="B193" s="141" t="str">
        <f t="shared" si="55"/>
        <v/>
      </c>
      <c r="C193" s="205" t="str" cm="1">
        <f t="array" ref="C193">IF(D193="","",
    IF(AND(ISNUMBER(D193), D193=INT(D193)),
        $V$6 &amp; " " &amp; (IFERROR(MAX($Y$12:$Y192), 0) + 1),
        IF(ISNUMBER(SEARCH(".", D193)), "", INDEX($C$12:$C193, MATCH(2, 1/($C$12:$C193 &lt;&gt; ""))))
    )
)</f>
        <v/>
      </c>
      <c r="D193" s="206"/>
      <c r="E193" s="206" t="str">
        <f>IF(AA193 = "", "",
    IF(ISNUMBER(SEARCH("Kiện", C193)),
       " GÓI " &amp; COUNTIF($C$13:C193, "*Kiện*") &amp; "/" &amp; COUNTIF($C$13:$C$1000, "*Kiện*") &amp; " " &amp; AA193,
       AA193)
)</f>
        <v/>
      </c>
      <c r="F193" s="206"/>
      <c r="G193" s="206"/>
      <c r="H193" s="206"/>
      <c r="I193" s="206"/>
      <c r="J193" s="206" t="str">
        <f t="shared" si="56"/>
        <v/>
      </c>
      <c r="K193" s="206" t="str">
        <f t="shared" si="44"/>
        <v/>
      </c>
      <c r="L193" s="206" t="str">
        <f t="shared" si="45"/>
        <v/>
      </c>
      <c r="M193" s="206" t="str">
        <f t="shared" si="46"/>
        <v/>
      </c>
      <c r="N193" s="206" t="str">
        <f t="shared" si="57"/>
        <v/>
      </c>
      <c r="O193" s="206" t="str">
        <f t="shared" si="47"/>
        <v/>
      </c>
      <c r="P193" s="165" t="str">
        <f t="shared" si="48"/>
        <v/>
      </c>
      <c r="Q193" s="207"/>
      <c r="R193" s="141" t="str">
        <f>IF(S193="IN",'BOM_Phan II'!$Y$3,"")</f>
        <v/>
      </c>
      <c r="S193" s="153" t="str">
        <f t="shared" si="49"/>
        <v/>
      </c>
      <c r="T193">
        <f t="shared" si="50"/>
        <v>6</v>
      </c>
      <c r="U193" s="208" t="str">
        <f t="shared" si="58"/>
        <v>KIỆN 9</v>
      </c>
      <c r="V193" s="208" t="str">
        <f t="shared" si="51"/>
        <v/>
      </c>
      <c r="W193" s="240"/>
      <c r="X193" s="240"/>
      <c r="Y193" s="240" t="str">
        <f t="shared" si="52"/>
        <v/>
      </c>
      <c r="Z193" s="240"/>
      <c r="AD193" s="232" t="str">
        <f t="shared" si="53"/>
        <v/>
      </c>
      <c r="AE193" s="204"/>
      <c r="AX193" s="3" t="str">
        <f t="shared" si="43"/>
        <v/>
      </c>
    </row>
    <row r="194" spans="1:50" s="155" customFormat="1" ht="30" hidden="1" customHeight="1">
      <c r="A194" s="141" t="str">
        <f t="shared" si="54"/>
        <v/>
      </c>
      <c r="B194" s="141" t="str">
        <f t="shared" si="55"/>
        <v/>
      </c>
      <c r="C194" s="205" t="str" cm="1">
        <f t="array" ref="C194">IF(D194="","",
    IF(AND(ISNUMBER(D194), D194=INT(D194)),
        $V$6 &amp; " " &amp; (IFERROR(MAX($Y$12:$Y193), 0) + 1),
        IF(ISNUMBER(SEARCH(".", D194)), "", INDEX($C$12:$C194, MATCH(2, 1/($C$12:$C194 &lt;&gt; ""))))
    )
)</f>
        <v/>
      </c>
      <c r="D194" s="206"/>
      <c r="E194" s="206" t="str">
        <f>IF(AA194 = "", "",
    IF(ISNUMBER(SEARCH("Kiện", C194)),
       " GÓI " &amp; COUNTIF($C$13:C194, "*Kiện*") &amp; "/" &amp; COUNTIF($C$13:$C$1000, "*Kiện*") &amp; " " &amp; AA194,
       AA194)
)</f>
        <v/>
      </c>
      <c r="F194" s="206"/>
      <c r="G194" s="206"/>
      <c r="H194" s="206"/>
      <c r="I194" s="206"/>
      <c r="J194" s="206" t="str">
        <f t="shared" si="56"/>
        <v/>
      </c>
      <c r="K194" s="206" t="str">
        <f t="shared" si="44"/>
        <v/>
      </c>
      <c r="L194" s="206" t="str">
        <f t="shared" si="45"/>
        <v/>
      </c>
      <c r="M194" s="206" t="str">
        <f t="shared" si="46"/>
        <v/>
      </c>
      <c r="N194" s="206" t="str">
        <f t="shared" si="57"/>
        <v/>
      </c>
      <c r="O194" s="206" t="str">
        <f t="shared" si="47"/>
        <v/>
      </c>
      <c r="P194" s="165" t="str">
        <f t="shared" si="48"/>
        <v/>
      </c>
      <c r="Q194" s="207"/>
      <c r="R194" s="141" t="str">
        <f>IF(S194="IN",'BOM_Phan II'!$Y$3,"")</f>
        <v/>
      </c>
      <c r="S194" s="153" t="str">
        <f t="shared" si="49"/>
        <v/>
      </c>
      <c r="T194">
        <f t="shared" si="50"/>
        <v>6</v>
      </c>
      <c r="U194" s="208" t="str">
        <f t="shared" si="58"/>
        <v>KIỆN 9</v>
      </c>
      <c r="V194" s="208" t="str">
        <f t="shared" si="51"/>
        <v/>
      </c>
      <c r="W194" s="240"/>
      <c r="X194" s="240"/>
      <c r="Y194" s="240" t="str">
        <f t="shared" si="52"/>
        <v/>
      </c>
      <c r="Z194" s="240"/>
      <c r="AD194" s="232" t="str">
        <f t="shared" si="53"/>
        <v/>
      </c>
      <c r="AE194" s="204"/>
      <c r="AX194" s="3" t="str">
        <f t="shared" si="43"/>
        <v/>
      </c>
    </row>
    <row r="195" spans="1:50" s="155" customFormat="1" ht="30" hidden="1" customHeight="1">
      <c r="A195" s="141" t="str">
        <f t="shared" si="54"/>
        <v/>
      </c>
      <c r="B195" s="141" t="str">
        <f t="shared" si="55"/>
        <v/>
      </c>
      <c r="C195" s="205" t="str" cm="1">
        <f t="array" ref="C195">IF(D195="","",
    IF(AND(ISNUMBER(D195), D195=INT(D195)),
        $V$6 &amp; " " &amp; (IFERROR(MAX($Y$12:$Y194), 0) + 1),
        IF(ISNUMBER(SEARCH(".", D195)), "", INDEX($C$12:$C195, MATCH(2, 1/($C$12:$C195 &lt;&gt; ""))))
    )
)</f>
        <v/>
      </c>
      <c r="D195" s="206"/>
      <c r="E195" s="206" t="str">
        <f>IF(AA195 = "", "",
    IF(ISNUMBER(SEARCH("Kiện", C195)),
       " GÓI " &amp; COUNTIF($C$13:C195, "*Kiện*") &amp; "/" &amp; COUNTIF($C$13:$C$1000, "*Kiện*") &amp; " " &amp; AA195,
       AA195)
)</f>
        <v/>
      </c>
      <c r="F195" s="206"/>
      <c r="G195" s="206"/>
      <c r="H195" s="206"/>
      <c r="I195" s="206"/>
      <c r="J195" s="206" t="str">
        <f t="shared" si="56"/>
        <v/>
      </c>
      <c r="K195" s="206" t="str">
        <f t="shared" si="44"/>
        <v/>
      </c>
      <c r="L195" s="206" t="str">
        <f t="shared" si="45"/>
        <v/>
      </c>
      <c r="M195" s="206" t="str">
        <f t="shared" si="46"/>
        <v/>
      </c>
      <c r="N195" s="206" t="str">
        <f t="shared" si="57"/>
        <v/>
      </c>
      <c r="O195" s="206" t="str">
        <f t="shared" si="47"/>
        <v/>
      </c>
      <c r="P195" s="165" t="str">
        <f t="shared" si="48"/>
        <v/>
      </c>
      <c r="Q195" s="207"/>
      <c r="R195" s="141" t="str">
        <f>IF(S195="IN",'BOM_Phan II'!$Y$3,"")</f>
        <v/>
      </c>
      <c r="S195" s="153" t="str">
        <f t="shared" si="49"/>
        <v/>
      </c>
      <c r="T195">
        <f t="shared" si="50"/>
        <v>6</v>
      </c>
      <c r="U195" s="208" t="str">
        <f t="shared" si="58"/>
        <v>KIỆN 9</v>
      </c>
      <c r="V195" s="208" t="str">
        <f t="shared" si="51"/>
        <v/>
      </c>
      <c r="W195" s="240"/>
      <c r="X195" s="240"/>
      <c r="Y195" s="240" t="str">
        <f t="shared" si="52"/>
        <v/>
      </c>
      <c r="Z195" s="240"/>
      <c r="AD195" s="232" t="str">
        <f t="shared" si="53"/>
        <v/>
      </c>
      <c r="AE195" s="204"/>
      <c r="AX195" s="3" t="str">
        <f t="shared" si="43"/>
        <v/>
      </c>
    </row>
    <row r="196" spans="1:50" s="155" customFormat="1" ht="30" hidden="1" customHeight="1">
      <c r="A196" s="141" t="str">
        <f t="shared" si="54"/>
        <v/>
      </c>
      <c r="B196" s="141" t="str">
        <f t="shared" si="55"/>
        <v/>
      </c>
      <c r="C196" s="205" t="str" cm="1">
        <f t="array" ref="C196">IF(D196="","",
    IF(AND(ISNUMBER(D196), D196=INT(D196)),
        $V$6 &amp; " " &amp; (IFERROR(MAX($Y$12:$Y195), 0) + 1),
        IF(ISNUMBER(SEARCH(".", D196)), "", INDEX($C$12:$C196, MATCH(2, 1/($C$12:$C196 &lt;&gt; ""))))
    )
)</f>
        <v/>
      </c>
      <c r="D196" s="206"/>
      <c r="E196" s="206" t="str">
        <f>IF(AA196 = "", "",
    IF(ISNUMBER(SEARCH("Kiện", C196)),
       " GÓI " &amp; COUNTIF($C$13:C196, "*Kiện*") &amp; "/" &amp; COUNTIF($C$13:$C$1000, "*Kiện*") &amp; " " &amp; AA196,
       AA196)
)</f>
        <v/>
      </c>
      <c r="F196" s="206"/>
      <c r="G196" s="206"/>
      <c r="H196" s="206"/>
      <c r="I196" s="206"/>
      <c r="J196" s="206" t="str">
        <f t="shared" si="56"/>
        <v/>
      </c>
      <c r="K196" s="206" t="str">
        <f t="shared" si="44"/>
        <v/>
      </c>
      <c r="L196" s="206" t="str">
        <f t="shared" si="45"/>
        <v/>
      </c>
      <c r="M196" s="206" t="str">
        <f t="shared" si="46"/>
        <v/>
      </c>
      <c r="N196" s="206" t="str">
        <f t="shared" si="57"/>
        <v/>
      </c>
      <c r="O196" s="206" t="str">
        <f t="shared" si="47"/>
        <v/>
      </c>
      <c r="P196" s="165" t="str">
        <f t="shared" si="48"/>
        <v/>
      </c>
      <c r="Q196" s="207"/>
      <c r="R196" s="141" t="str">
        <f>IF(S196="IN",'BOM_Phan II'!$Y$3,"")</f>
        <v/>
      </c>
      <c r="S196" s="153" t="str">
        <f t="shared" si="49"/>
        <v/>
      </c>
      <c r="T196">
        <f t="shared" si="50"/>
        <v>6</v>
      </c>
      <c r="U196" s="208" t="str">
        <f t="shared" si="58"/>
        <v>KIỆN 9</v>
      </c>
      <c r="V196" s="208" t="str">
        <f t="shared" si="51"/>
        <v/>
      </c>
      <c r="W196" s="240"/>
      <c r="X196" s="240"/>
      <c r="Y196" s="240" t="str">
        <f t="shared" si="52"/>
        <v/>
      </c>
      <c r="Z196" s="240"/>
      <c r="AD196" s="232" t="str">
        <f t="shared" si="53"/>
        <v/>
      </c>
      <c r="AE196" s="204"/>
      <c r="AX196" s="3" t="str">
        <f t="shared" si="43"/>
        <v/>
      </c>
    </row>
    <row r="197" spans="1:50" s="155" customFormat="1" ht="30" hidden="1" customHeight="1">
      <c r="A197" s="141" t="str">
        <f t="shared" si="54"/>
        <v/>
      </c>
      <c r="B197" s="141" t="str">
        <f t="shared" si="55"/>
        <v/>
      </c>
      <c r="C197" s="205" t="str" cm="1">
        <f t="array" ref="C197">IF(D197="","",
    IF(AND(ISNUMBER(D197), D197=INT(D197)),
        $V$6 &amp; " " &amp; (IFERROR(MAX($Y$12:$Y196), 0) + 1),
        IF(ISNUMBER(SEARCH(".", D197)), "", INDEX($C$12:$C197, MATCH(2, 1/($C$12:$C197 &lt;&gt; ""))))
    )
)</f>
        <v/>
      </c>
      <c r="D197" s="206"/>
      <c r="E197" s="206" t="str">
        <f>IF(AA197 = "", "",
    IF(ISNUMBER(SEARCH("Kiện", C197)),
       " GÓI " &amp; COUNTIF($C$13:C197, "*Kiện*") &amp; "/" &amp; COUNTIF($C$13:$C$1000, "*Kiện*") &amp; " " &amp; AA197,
       AA197)
)</f>
        <v/>
      </c>
      <c r="F197" s="206"/>
      <c r="G197" s="206"/>
      <c r="H197" s="206"/>
      <c r="I197" s="206"/>
      <c r="J197" s="206" t="str">
        <f t="shared" si="56"/>
        <v/>
      </c>
      <c r="K197" s="206" t="str">
        <f t="shared" si="44"/>
        <v/>
      </c>
      <c r="L197" s="206" t="str">
        <f t="shared" si="45"/>
        <v/>
      </c>
      <c r="M197" s="206" t="str">
        <f t="shared" si="46"/>
        <v/>
      </c>
      <c r="N197" s="206" t="str">
        <f t="shared" si="57"/>
        <v/>
      </c>
      <c r="O197" s="206" t="str">
        <f t="shared" si="47"/>
        <v/>
      </c>
      <c r="P197" s="165" t="str">
        <f t="shared" si="48"/>
        <v/>
      </c>
      <c r="Q197" s="207"/>
      <c r="R197" s="141" t="str">
        <f>IF(S197="IN",'BOM_Phan II'!$Y$3,"")</f>
        <v/>
      </c>
      <c r="S197" s="153" t="str">
        <f t="shared" si="49"/>
        <v/>
      </c>
      <c r="T197">
        <f t="shared" si="50"/>
        <v>6</v>
      </c>
      <c r="U197" s="208" t="str">
        <f t="shared" si="58"/>
        <v>KIỆN 9</v>
      </c>
      <c r="V197" s="208" t="str">
        <f t="shared" si="51"/>
        <v/>
      </c>
      <c r="W197" s="240"/>
      <c r="X197" s="240"/>
      <c r="Y197" s="240" t="str">
        <f t="shared" si="52"/>
        <v/>
      </c>
      <c r="Z197" s="240"/>
      <c r="AD197" s="232" t="str">
        <f t="shared" si="53"/>
        <v/>
      </c>
      <c r="AE197" s="204"/>
      <c r="AX197" s="3" t="str">
        <f t="shared" si="43"/>
        <v/>
      </c>
    </row>
    <row r="198" spans="1:50" s="155" customFormat="1" ht="30" hidden="1" customHeight="1">
      <c r="A198" s="141" t="str">
        <f t="shared" si="54"/>
        <v/>
      </c>
      <c r="B198" s="141" t="str">
        <f t="shared" si="55"/>
        <v/>
      </c>
      <c r="C198" s="205" t="str" cm="1">
        <f t="array" ref="C198">IF(D198="","",
    IF(AND(ISNUMBER(D198), D198=INT(D198)),
        $V$6 &amp; " " &amp; (IFERROR(MAX($Y$12:$Y197), 0) + 1),
        IF(ISNUMBER(SEARCH(".", D198)), "", INDEX($C$12:$C198, MATCH(2, 1/($C$12:$C198 &lt;&gt; ""))))
    )
)</f>
        <v/>
      </c>
      <c r="D198" s="206"/>
      <c r="E198" s="206" t="str">
        <f>IF(AA198 = "", "",
    IF(ISNUMBER(SEARCH("Kiện", C198)),
       " GÓI " &amp; COUNTIF($C$13:C198, "*Kiện*") &amp; "/" &amp; COUNTIF($C$13:$C$1000, "*Kiện*") &amp; " " &amp; AA198,
       AA198)
)</f>
        <v/>
      </c>
      <c r="F198" s="206"/>
      <c r="G198" s="206"/>
      <c r="H198" s="206"/>
      <c r="I198" s="206"/>
      <c r="J198" s="206" t="str">
        <f t="shared" si="56"/>
        <v/>
      </c>
      <c r="K198" s="206" t="str">
        <f t="shared" si="44"/>
        <v/>
      </c>
      <c r="L198" s="206" t="str">
        <f t="shared" si="45"/>
        <v/>
      </c>
      <c r="M198" s="206" t="str">
        <f t="shared" si="46"/>
        <v/>
      </c>
      <c r="N198" s="206" t="str">
        <f t="shared" si="57"/>
        <v/>
      </c>
      <c r="O198" s="206" t="str">
        <f t="shared" si="47"/>
        <v/>
      </c>
      <c r="P198" s="165" t="str">
        <f t="shared" si="48"/>
        <v/>
      </c>
      <c r="Q198" s="207"/>
      <c r="R198" s="141" t="str">
        <f>IF(S198="IN",'BOM_Phan II'!$Y$3,"")</f>
        <v/>
      </c>
      <c r="S198" s="153" t="str">
        <f t="shared" si="49"/>
        <v/>
      </c>
      <c r="T198">
        <f t="shared" si="50"/>
        <v>6</v>
      </c>
      <c r="U198" s="208" t="str">
        <f t="shared" si="58"/>
        <v>KIỆN 9</v>
      </c>
      <c r="V198" s="208" t="str">
        <f t="shared" si="51"/>
        <v/>
      </c>
      <c r="W198" s="240"/>
      <c r="X198" s="240"/>
      <c r="Y198" s="240" t="str">
        <f t="shared" si="52"/>
        <v/>
      </c>
      <c r="Z198" s="240"/>
      <c r="AD198" s="232" t="str">
        <f t="shared" si="53"/>
        <v/>
      </c>
      <c r="AE198" s="204"/>
      <c r="AX198" s="3" t="str">
        <f t="shared" si="43"/>
        <v/>
      </c>
    </row>
    <row r="199" spans="1:50" s="155" customFormat="1" ht="30" hidden="1" customHeight="1">
      <c r="A199" s="141" t="str">
        <f t="shared" si="54"/>
        <v/>
      </c>
      <c r="B199" s="141" t="str">
        <f t="shared" si="55"/>
        <v/>
      </c>
      <c r="C199" s="205" t="str" cm="1">
        <f t="array" ref="C199">IF(D199="","",
    IF(AND(ISNUMBER(D199), D199=INT(D199)),
        $V$6 &amp; " " &amp; (IFERROR(MAX($Y$12:$Y198), 0) + 1),
        IF(ISNUMBER(SEARCH(".", D199)), "", INDEX($C$12:$C199, MATCH(2, 1/($C$12:$C199 &lt;&gt; ""))))
    )
)</f>
        <v/>
      </c>
      <c r="D199" s="206"/>
      <c r="E199" s="206" t="str">
        <f>IF(AA199 = "", "",
    IF(ISNUMBER(SEARCH("Kiện", C199)),
       " GÓI " &amp; COUNTIF($C$13:C199, "*Kiện*") &amp; "/" &amp; COUNTIF($C$13:$C$1000, "*Kiện*") &amp; " " &amp; AA199,
       AA199)
)</f>
        <v/>
      </c>
      <c r="F199" s="206"/>
      <c r="G199" s="206"/>
      <c r="H199" s="206"/>
      <c r="I199" s="206"/>
      <c r="J199" s="206" t="str">
        <f t="shared" si="56"/>
        <v/>
      </c>
      <c r="K199" s="206" t="str">
        <f t="shared" si="44"/>
        <v/>
      </c>
      <c r="L199" s="206" t="str">
        <f t="shared" si="45"/>
        <v/>
      </c>
      <c r="M199" s="206" t="str">
        <f t="shared" si="46"/>
        <v/>
      </c>
      <c r="N199" s="206" t="str">
        <f t="shared" si="57"/>
        <v/>
      </c>
      <c r="O199" s="206" t="str">
        <f t="shared" si="47"/>
        <v/>
      </c>
      <c r="P199" s="165" t="str">
        <f t="shared" si="48"/>
        <v/>
      </c>
      <c r="Q199" s="207"/>
      <c r="R199" s="141" t="str">
        <f>IF(S199="IN",'BOM_Phan II'!$Y$3,"")</f>
        <v/>
      </c>
      <c r="S199" s="153" t="str">
        <f t="shared" si="49"/>
        <v/>
      </c>
      <c r="T199">
        <f t="shared" si="50"/>
        <v>6</v>
      </c>
      <c r="U199" s="208" t="str">
        <f t="shared" si="58"/>
        <v>KIỆN 9</v>
      </c>
      <c r="V199" s="208" t="str">
        <f t="shared" si="51"/>
        <v/>
      </c>
      <c r="W199" s="240"/>
      <c r="X199" s="240"/>
      <c r="Y199" s="240" t="str">
        <f t="shared" si="52"/>
        <v/>
      </c>
      <c r="Z199" s="240"/>
      <c r="AD199" s="232" t="str">
        <f t="shared" si="53"/>
        <v/>
      </c>
      <c r="AE199" s="204"/>
      <c r="AX199" s="3" t="str">
        <f t="shared" si="43"/>
        <v/>
      </c>
    </row>
    <row r="200" spans="1:50" s="155" customFormat="1" ht="30" hidden="1" customHeight="1">
      <c r="A200" s="141" t="str">
        <f t="shared" si="54"/>
        <v/>
      </c>
      <c r="B200" s="141" t="str">
        <f t="shared" si="55"/>
        <v/>
      </c>
      <c r="C200" s="205" t="str" cm="1">
        <f t="array" ref="C200">IF(D200="","",
    IF(AND(ISNUMBER(D200), D200=INT(D200)),
        $V$6 &amp; " " &amp; (IFERROR(MAX($Y$12:$Y199), 0) + 1),
        IF(ISNUMBER(SEARCH(".", D200)), "", INDEX($C$12:$C200, MATCH(2, 1/($C$12:$C200 &lt;&gt; ""))))
    )
)</f>
        <v/>
      </c>
      <c r="D200" s="206"/>
      <c r="E200" s="206" t="str">
        <f>IF(AA200 = "", "",
    IF(ISNUMBER(SEARCH("Kiện", C200)),
       " GÓI " &amp; COUNTIF($C$13:C200, "*Kiện*") &amp; "/" &amp; COUNTIF($C$13:$C$1000, "*Kiện*") &amp; " " &amp; AA200,
       AA200)
)</f>
        <v/>
      </c>
      <c r="F200" s="206"/>
      <c r="G200" s="206"/>
      <c r="H200" s="206"/>
      <c r="I200" s="206"/>
      <c r="J200" s="206" t="str">
        <f t="shared" si="56"/>
        <v/>
      </c>
      <c r="K200" s="206" t="str">
        <f t="shared" si="44"/>
        <v/>
      </c>
      <c r="L200" s="206" t="str">
        <f t="shared" si="45"/>
        <v/>
      </c>
      <c r="M200" s="206" t="str">
        <f t="shared" si="46"/>
        <v/>
      </c>
      <c r="N200" s="206" t="str">
        <f t="shared" si="57"/>
        <v/>
      </c>
      <c r="O200" s="206" t="str">
        <f t="shared" si="47"/>
        <v/>
      </c>
      <c r="P200" s="165" t="str">
        <f t="shared" si="48"/>
        <v/>
      </c>
      <c r="Q200" s="207"/>
      <c r="R200" s="141" t="str">
        <f>IF(S200="IN",'BOM_Phan II'!$Y$3,"")</f>
        <v/>
      </c>
      <c r="S200" s="153" t="str">
        <f t="shared" si="49"/>
        <v/>
      </c>
      <c r="T200">
        <f t="shared" si="50"/>
        <v>6</v>
      </c>
      <c r="U200" s="208" t="str">
        <f t="shared" si="58"/>
        <v>KIỆN 9</v>
      </c>
      <c r="V200" s="208" t="str">
        <f t="shared" si="51"/>
        <v/>
      </c>
      <c r="W200" s="240"/>
      <c r="X200" s="240"/>
      <c r="Y200" s="240" t="str">
        <f t="shared" si="52"/>
        <v/>
      </c>
      <c r="Z200" s="240"/>
      <c r="AD200" s="232" t="str">
        <f t="shared" si="53"/>
        <v/>
      </c>
      <c r="AE200" s="204"/>
      <c r="AX200" s="3" t="str">
        <f t="shared" si="43"/>
        <v/>
      </c>
    </row>
    <row r="201" spans="1:50" s="155" customFormat="1" ht="30" hidden="1" customHeight="1">
      <c r="A201" s="141" t="str">
        <f t="shared" si="54"/>
        <v/>
      </c>
      <c r="B201" s="141" t="str">
        <f t="shared" si="55"/>
        <v/>
      </c>
      <c r="C201" s="205" t="str" cm="1">
        <f t="array" ref="C201">IF(D201="","",
    IF(AND(ISNUMBER(D201), D201=INT(D201)),
        $V$6 &amp; " " &amp; (IFERROR(MAX($Y$12:$Y200), 0) + 1),
        IF(ISNUMBER(SEARCH(".", D201)), "", INDEX($C$12:$C201, MATCH(2, 1/($C$12:$C201 &lt;&gt; ""))))
    )
)</f>
        <v/>
      </c>
      <c r="D201" s="206"/>
      <c r="E201" s="206" t="str">
        <f>IF(AA201 = "", "",
    IF(ISNUMBER(SEARCH("Kiện", C201)),
       " GÓI " &amp; COUNTIF($C$13:C201, "*Kiện*") &amp; "/" &amp; COUNTIF($C$13:$C$1000, "*Kiện*") &amp; " " &amp; AA201,
       AA201)
)</f>
        <v/>
      </c>
      <c r="F201" s="206"/>
      <c r="G201" s="206"/>
      <c r="H201" s="206"/>
      <c r="I201" s="206"/>
      <c r="J201" s="206" t="str">
        <f t="shared" si="56"/>
        <v/>
      </c>
      <c r="K201" s="206" t="str">
        <f t="shared" si="44"/>
        <v/>
      </c>
      <c r="L201" s="206" t="str">
        <f t="shared" si="45"/>
        <v/>
      </c>
      <c r="M201" s="206" t="str">
        <f t="shared" si="46"/>
        <v/>
      </c>
      <c r="N201" s="206" t="str">
        <f t="shared" si="57"/>
        <v/>
      </c>
      <c r="O201" s="206" t="str">
        <f t="shared" si="47"/>
        <v/>
      </c>
      <c r="P201" s="165" t="str">
        <f t="shared" si="48"/>
        <v/>
      </c>
      <c r="Q201" s="207"/>
      <c r="R201" s="141" t="str">
        <f>IF(S201="IN",'BOM_Phan II'!$Y$3,"")</f>
        <v/>
      </c>
      <c r="S201" s="153" t="str">
        <f t="shared" si="49"/>
        <v/>
      </c>
      <c r="T201">
        <f t="shared" si="50"/>
        <v>6</v>
      </c>
      <c r="U201" s="208" t="str">
        <f t="shared" si="58"/>
        <v>KIỆN 9</v>
      </c>
      <c r="V201" s="208" t="str">
        <f t="shared" si="51"/>
        <v/>
      </c>
      <c r="W201" s="240"/>
      <c r="X201" s="240"/>
      <c r="Y201" s="240" t="str">
        <f t="shared" si="52"/>
        <v/>
      </c>
      <c r="Z201" s="240"/>
      <c r="AD201" s="232" t="str">
        <f t="shared" si="53"/>
        <v/>
      </c>
      <c r="AE201" s="204"/>
      <c r="AX201" s="3" t="str">
        <f t="shared" si="43"/>
        <v/>
      </c>
    </row>
    <row r="202" spans="1:50" s="155" customFormat="1" ht="30" hidden="1" customHeight="1">
      <c r="A202" s="141" t="str">
        <f t="shared" si="54"/>
        <v/>
      </c>
      <c r="B202" s="141" t="str">
        <f t="shared" si="55"/>
        <v/>
      </c>
      <c r="C202" s="205" t="str" cm="1">
        <f t="array" ref="C202">IF(D202="","",
    IF(AND(ISNUMBER(D202), D202=INT(D202)),
        $V$6 &amp; " " &amp; (IFERROR(MAX($Y$12:$Y201), 0) + 1),
        IF(ISNUMBER(SEARCH(".", D202)), "", INDEX($C$12:$C202, MATCH(2, 1/($C$12:$C202 &lt;&gt; ""))))
    )
)</f>
        <v/>
      </c>
      <c r="D202" s="206"/>
      <c r="E202" s="206" t="str">
        <f>IF(AA202 = "", "",
    IF(ISNUMBER(SEARCH("Kiện", C202)),
       " GÓI " &amp; COUNTIF($C$13:C202, "*Kiện*") &amp; "/" &amp; COUNTIF($C$13:$C$1000, "*Kiện*") &amp; " " &amp; AA202,
       AA202)
)</f>
        <v/>
      </c>
      <c r="F202" s="206"/>
      <c r="G202" s="206"/>
      <c r="H202" s="206"/>
      <c r="I202" s="206"/>
      <c r="J202" s="206" t="str">
        <f t="shared" si="56"/>
        <v/>
      </c>
      <c r="K202" s="206" t="str">
        <f t="shared" si="44"/>
        <v/>
      </c>
      <c r="L202" s="206" t="str">
        <f t="shared" si="45"/>
        <v/>
      </c>
      <c r="M202" s="206" t="str">
        <f t="shared" si="46"/>
        <v/>
      </c>
      <c r="N202" s="206" t="str">
        <f t="shared" si="57"/>
        <v/>
      </c>
      <c r="O202" s="206" t="str">
        <f t="shared" si="47"/>
        <v/>
      </c>
      <c r="P202" s="165" t="str">
        <f t="shared" si="48"/>
        <v/>
      </c>
      <c r="Q202" s="207"/>
      <c r="R202" s="141" t="str">
        <f>IF(S202="IN",'BOM_Phan II'!$Y$3,"")</f>
        <v/>
      </c>
      <c r="S202" s="153" t="str">
        <f t="shared" si="49"/>
        <v/>
      </c>
      <c r="T202">
        <f t="shared" si="50"/>
        <v>6</v>
      </c>
      <c r="U202" s="208" t="str">
        <f t="shared" si="58"/>
        <v>KIỆN 9</v>
      </c>
      <c r="V202" s="208" t="str">
        <f t="shared" si="51"/>
        <v/>
      </c>
      <c r="W202" s="240"/>
      <c r="X202" s="240"/>
      <c r="Y202" s="240" t="str">
        <f t="shared" si="52"/>
        <v/>
      </c>
      <c r="Z202" s="240"/>
      <c r="AD202" s="232" t="str">
        <f t="shared" si="53"/>
        <v/>
      </c>
      <c r="AE202" s="204"/>
      <c r="AX202" s="3" t="str">
        <f t="shared" si="43"/>
        <v/>
      </c>
    </row>
    <row r="203" spans="1:50" s="155" customFormat="1" ht="30" hidden="1" customHeight="1">
      <c r="A203" s="141" t="str">
        <f t="shared" si="54"/>
        <v/>
      </c>
      <c r="B203" s="141" t="str">
        <f t="shared" si="55"/>
        <v/>
      </c>
      <c r="C203" s="205" t="str" cm="1">
        <f t="array" ref="C203">IF(D203="","",
    IF(AND(ISNUMBER(D203), D203=INT(D203)),
        $V$6 &amp; " " &amp; (IFERROR(MAX($Y$12:$Y202), 0) + 1),
        IF(ISNUMBER(SEARCH(".", D203)), "", INDEX($C$12:$C203, MATCH(2, 1/($C$12:$C203 &lt;&gt; ""))))
    )
)</f>
        <v/>
      </c>
      <c r="D203" s="206"/>
      <c r="E203" s="206" t="str">
        <f>IF(AA203 = "", "",
    IF(ISNUMBER(SEARCH("Kiện", C203)),
       " GÓI " &amp; COUNTIF($C$13:C203, "*Kiện*") &amp; "/" &amp; COUNTIF($C$13:$C$1000, "*Kiện*") &amp; " " &amp; AA203,
       AA203)
)</f>
        <v/>
      </c>
      <c r="F203" s="206"/>
      <c r="G203" s="206"/>
      <c r="H203" s="206"/>
      <c r="I203" s="206"/>
      <c r="J203" s="206" t="str">
        <f t="shared" si="56"/>
        <v/>
      </c>
      <c r="K203" s="206" t="str">
        <f t="shared" si="44"/>
        <v/>
      </c>
      <c r="L203" s="206" t="str">
        <f t="shared" si="45"/>
        <v/>
      </c>
      <c r="M203" s="206" t="str">
        <f t="shared" si="46"/>
        <v/>
      </c>
      <c r="N203" s="206" t="str">
        <f t="shared" si="57"/>
        <v/>
      </c>
      <c r="O203" s="206" t="str">
        <f t="shared" si="47"/>
        <v/>
      </c>
      <c r="P203" s="165" t="str">
        <f t="shared" si="48"/>
        <v/>
      </c>
      <c r="Q203" s="207"/>
      <c r="R203" s="141" t="str">
        <f>IF(S203="IN",'BOM_Phan II'!$Y$3,"")</f>
        <v/>
      </c>
      <c r="S203" s="153" t="str">
        <f t="shared" si="49"/>
        <v/>
      </c>
      <c r="T203">
        <f t="shared" si="50"/>
        <v>6</v>
      </c>
      <c r="U203" s="208" t="str">
        <f t="shared" si="58"/>
        <v>KIỆN 9</v>
      </c>
      <c r="V203" s="208" t="str">
        <f t="shared" si="51"/>
        <v/>
      </c>
      <c r="W203" s="240"/>
      <c r="X203" s="240"/>
      <c r="Y203" s="240" t="str">
        <f t="shared" si="52"/>
        <v/>
      </c>
      <c r="Z203" s="240"/>
      <c r="AD203" s="232" t="str">
        <f t="shared" si="53"/>
        <v/>
      </c>
      <c r="AE203" s="204"/>
      <c r="AX203" s="3" t="str">
        <f t="shared" si="43"/>
        <v/>
      </c>
    </row>
    <row r="204" spans="1:50" s="155" customFormat="1" ht="30" hidden="1" customHeight="1">
      <c r="A204" s="141" t="str">
        <f t="shared" si="54"/>
        <v/>
      </c>
      <c r="B204" s="141" t="str">
        <f t="shared" si="55"/>
        <v/>
      </c>
      <c r="C204" s="205" t="str" cm="1">
        <f t="array" ref="C204">IF(D204="","",
    IF(AND(ISNUMBER(D204), D204=INT(D204)),
        $V$6 &amp; " " &amp; (IFERROR(MAX($Y$12:$Y203), 0) + 1),
        IF(ISNUMBER(SEARCH(".", D204)), "", INDEX($C$12:$C204, MATCH(2, 1/($C$12:$C204 &lt;&gt; ""))))
    )
)</f>
        <v/>
      </c>
      <c r="D204" s="206"/>
      <c r="E204" s="206" t="str">
        <f>IF(AA204 = "", "",
    IF(ISNUMBER(SEARCH("Kiện", C204)),
       " GÓI " &amp; COUNTIF($C$13:C204, "*Kiện*") &amp; "/" &amp; COUNTIF($C$13:$C$1000, "*Kiện*") &amp; " " &amp; AA204,
       AA204)
)</f>
        <v/>
      </c>
      <c r="F204" s="206"/>
      <c r="G204" s="206"/>
      <c r="H204" s="206"/>
      <c r="I204" s="206"/>
      <c r="J204" s="206" t="str">
        <f t="shared" si="56"/>
        <v/>
      </c>
      <c r="K204" s="206" t="str">
        <f t="shared" si="44"/>
        <v/>
      </c>
      <c r="L204" s="206" t="str">
        <f t="shared" si="45"/>
        <v/>
      </c>
      <c r="M204" s="206" t="str">
        <f t="shared" si="46"/>
        <v/>
      </c>
      <c r="N204" s="206" t="str">
        <f t="shared" si="57"/>
        <v/>
      </c>
      <c r="O204" s="206" t="str">
        <f t="shared" si="47"/>
        <v/>
      </c>
      <c r="P204" s="165" t="str">
        <f t="shared" si="48"/>
        <v/>
      </c>
      <c r="Q204" s="207"/>
      <c r="R204" s="141" t="str">
        <f>IF(S204="IN",'BOM_Phan II'!$Y$3,"")</f>
        <v/>
      </c>
      <c r="S204" s="153" t="str">
        <f t="shared" si="49"/>
        <v/>
      </c>
      <c r="T204">
        <f t="shared" si="50"/>
        <v>6</v>
      </c>
      <c r="U204" s="208" t="str">
        <f t="shared" si="58"/>
        <v>KIỆN 9</v>
      </c>
      <c r="V204" s="208" t="str">
        <f t="shared" si="51"/>
        <v/>
      </c>
      <c r="W204" s="240"/>
      <c r="X204" s="240"/>
      <c r="Y204" s="240" t="str">
        <f t="shared" si="52"/>
        <v/>
      </c>
      <c r="Z204" s="240"/>
      <c r="AD204" s="232" t="str">
        <f t="shared" si="53"/>
        <v/>
      </c>
      <c r="AE204" s="204"/>
      <c r="AX204" s="3" t="str">
        <f t="shared" ref="AX204:AX267" si="59">+S204</f>
        <v/>
      </c>
    </row>
    <row r="205" spans="1:50" s="155" customFormat="1" ht="30" hidden="1" customHeight="1">
      <c r="A205" s="141" t="str">
        <f t="shared" si="54"/>
        <v/>
      </c>
      <c r="B205" s="141" t="str">
        <f t="shared" si="55"/>
        <v/>
      </c>
      <c r="C205" s="205" t="str" cm="1">
        <f t="array" ref="C205">IF(D205="","",
    IF(AND(ISNUMBER(D205), D205=INT(D205)),
        $V$6 &amp; " " &amp; (IFERROR(MAX($Y$12:$Y204), 0) + 1),
        IF(ISNUMBER(SEARCH(".", D205)), "", INDEX($C$12:$C205, MATCH(2, 1/($C$12:$C205 &lt;&gt; ""))))
    )
)</f>
        <v/>
      </c>
      <c r="D205" s="206"/>
      <c r="E205" s="206" t="str">
        <f>IF(AA205 = "", "",
    IF(ISNUMBER(SEARCH("Kiện", C205)),
       " GÓI " &amp; COUNTIF($C$13:C205, "*Kiện*") &amp; "/" &amp; COUNTIF($C$13:$C$1000, "*Kiện*") &amp; " " &amp; AA205,
       AA205)
)</f>
        <v/>
      </c>
      <c r="F205" s="206"/>
      <c r="G205" s="206"/>
      <c r="H205" s="206"/>
      <c r="I205" s="206"/>
      <c r="J205" s="206" t="str">
        <f t="shared" si="56"/>
        <v/>
      </c>
      <c r="K205" s="206" t="str">
        <f t="shared" si="44"/>
        <v/>
      </c>
      <c r="L205" s="206" t="str">
        <f t="shared" si="45"/>
        <v/>
      </c>
      <c r="M205" s="206" t="str">
        <f t="shared" si="46"/>
        <v/>
      </c>
      <c r="N205" s="206" t="str">
        <f t="shared" si="57"/>
        <v/>
      </c>
      <c r="O205" s="206" t="str">
        <f t="shared" si="47"/>
        <v/>
      </c>
      <c r="P205" s="165" t="str">
        <f t="shared" si="48"/>
        <v/>
      </c>
      <c r="Q205" s="207"/>
      <c r="R205" s="141" t="str">
        <f>IF(S205="IN",'BOM_Phan II'!$Y$3,"")</f>
        <v/>
      </c>
      <c r="S205" s="153" t="str">
        <f t="shared" si="49"/>
        <v/>
      </c>
      <c r="T205">
        <f t="shared" si="50"/>
        <v>6</v>
      </c>
      <c r="U205" s="208" t="str">
        <f t="shared" si="58"/>
        <v>KIỆN 9</v>
      </c>
      <c r="V205" s="208" t="str">
        <f t="shared" si="51"/>
        <v/>
      </c>
      <c r="W205" s="240"/>
      <c r="X205" s="240"/>
      <c r="Y205" s="240" t="str">
        <f t="shared" si="52"/>
        <v/>
      </c>
      <c r="Z205" s="240"/>
      <c r="AD205" s="232" t="str">
        <f t="shared" si="53"/>
        <v/>
      </c>
      <c r="AE205" s="204"/>
      <c r="AX205" s="3" t="str">
        <f t="shared" si="59"/>
        <v/>
      </c>
    </row>
    <row r="206" spans="1:50" s="155" customFormat="1" ht="30" hidden="1" customHeight="1">
      <c r="A206" s="141" t="str">
        <f t="shared" si="54"/>
        <v/>
      </c>
      <c r="B206" s="141" t="str">
        <f t="shared" si="55"/>
        <v/>
      </c>
      <c r="C206" s="205" t="str" cm="1">
        <f t="array" ref="C206">IF(D206="","",
    IF(AND(ISNUMBER(D206), D206=INT(D206)),
        $V$6 &amp; " " &amp; (IFERROR(MAX($Y$12:$Y205), 0) + 1),
        IF(ISNUMBER(SEARCH(".", D206)), "", INDEX($C$12:$C206, MATCH(2, 1/($C$12:$C206 &lt;&gt; ""))))
    )
)</f>
        <v/>
      </c>
      <c r="D206" s="206"/>
      <c r="E206" s="206" t="str">
        <f>IF(AA206 = "", "",
    IF(ISNUMBER(SEARCH("Kiện", C206)),
       " GÓI " &amp; COUNTIF($C$13:C206, "*Kiện*") &amp; "/" &amp; COUNTIF($C$13:$C$1000, "*Kiện*") &amp; " " &amp; AA206,
       AA206)
)</f>
        <v/>
      </c>
      <c r="F206" s="206"/>
      <c r="G206" s="206"/>
      <c r="H206" s="206"/>
      <c r="I206" s="206"/>
      <c r="J206" s="206" t="str">
        <f t="shared" si="56"/>
        <v/>
      </c>
      <c r="K206" s="206" t="str">
        <f t="shared" ref="K206:K269" si="60">IFERROR(IF($C206&lt;&gt;"",IF($T$13=1,F206+20,IF($T$13=2,F206+20,IF($T$13=3,F206+50,IF($T$13=4,F206+40,IF($T$13=5,F206+50,IF($T$13=51,F206+50,IF($T$13=6,F206+50,IF($T$13=7,F206+50,"")))))))),""),"")</f>
        <v/>
      </c>
      <c r="L206" s="206" t="str">
        <f t="shared" ref="L206:L269" si="61">IFERROR(IF($C206&lt;&gt;"",IF($T$13=1,G206+20,IF($T$13=2,G206+20,IF($T$13=3,G206+50,IF($T$13=4,G206+40,IF($T$13=5,G206+50,IF($T$13=51,G206+50,IF($T$13=6,G206+50,IF($T$13=7,G206+50,"")))))))),""),"")</f>
        <v/>
      </c>
      <c r="M206" s="206" t="str">
        <f t="shared" ref="M206:M269" si="62">IFERROR(IF($C206&lt;&gt;"",IF($T$13=1,H206+20,IF($T$13=2,H206+20,IF($T$13=3,H206+70,IF($T$13=4,H206+40,IF($T$13=5,H206+50,IF($T$13=51,H206+150,IF($T$13=6,H206+50,IF($T$13=7,H206+50,"")))))))),""),"")</f>
        <v/>
      </c>
      <c r="N206" s="206" t="str">
        <f t="shared" si="57"/>
        <v/>
      </c>
      <c r="O206" s="206" t="str">
        <f t="shared" ref="O206:O269" si="63">IF(C206&lt;&gt;"",$O$12,"")</f>
        <v/>
      </c>
      <c r="P206" s="165" t="str">
        <f t="shared" ref="P206:P269" si="64">IFERROR(IF(C206&lt;&gt;"",SUMIFS($V$13:$V$969,$U$13:$U$969,C206)*$S$6,V206*$S$6),"")</f>
        <v/>
      </c>
      <c r="Q206" s="207"/>
      <c r="R206" s="141" t="str">
        <f>IF(S206="IN",'BOM_Phan II'!$Y$3,"")</f>
        <v/>
      </c>
      <c r="S206" s="153" t="str">
        <f t="shared" ref="S206:S269" si="65">IF(OR(E206&lt;&gt;"",D206&lt;&gt;""),"IN","")</f>
        <v/>
      </c>
      <c r="T206">
        <f t="shared" ref="T206:T269" si="66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206" s="208" t="str">
        <f t="shared" si="58"/>
        <v>KIỆN 9</v>
      </c>
      <c r="V206" s="208" t="str">
        <f t="shared" ref="V206:V269" si="67">IFERROR(IF(AND(C206="", OR($W206="1", $W206="2")), IF(I206="", "", F206*G206*H206*I206/10^9), ""), "")</f>
        <v/>
      </c>
      <c r="W206" s="240"/>
      <c r="X206" s="240"/>
      <c r="Y206" s="240" t="str">
        <f t="shared" ref="Y206:Y269" si="68">IFERROR(VALUE(RIGHT(C206,LEN(C206)-5)),"")</f>
        <v/>
      </c>
      <c r="Z206" s="240"/>
      <c r="AD206" s="232" t="str">
        <f t="shared" ref="AD206:AD269" si="69">IFERROR(VALUE(RIGHT(C206,LEN(C206)-5)),"")</f>
        <v/>
      </c>
      <c r="AE206" s="204"/>
      <c r="AX206" s="3" t="str">
        <f t="shared" si="59"/>
        <v/>
      </c>
    </row>
    <row r="207" spans="1:50" s="155" customFormat="1" ht="30" hidden="1" customHeight="1">
      <c r="A207" s="141" t="str">
        <f t="shared" si="54"/>
        <v/>
      </c>
      <c r="B207" s="141" t="str">
        <f t="shared" si="55"/>
        <v/>
      </c>
      <c r="C207" s="205" t="str" cm="1">
        <f t="array" ref="C207">IF(D207="","",
    IF(AND(ISNUMBER(D207), D207=INT(D207)),
        $V$6 &amp; " " &amp; (IFERROR(MAX($Y$12:$Y206), 0) + 1),
        IF(ISNUMBER(SEARCH(".", D207)), "", INDEX($C$12:$C207, MATCH(2, 1/($C$12:$C207 &lt;&gt; ""))))
    )
)</f>
        <v/>
      </c>
      <c r="D207" s="206"/>
      <c r="E207" s="206" t="str">
        <f>IF(AA207 = "", "",
    IF(ISNUMBER(SEARCH("Kiện", C207)),
       " GÓI " &amp; COUNTIF($C$13:C207, "*Kiện*") &amp; "/" &amp; COUNTIF($C$13:$C$1000, "*Kiện*") &amp; " " &amp; AA207,
       AA207)
)</f>
        <v/>
      </c>
      <c r="F207" s="206"/>
      <c r="G207" s="206"/>
      <c r="H207" s="206"/>
      <c r="I207" s="206"/>
      <c r="J207" s="206" t="str">
        <f t="shared" si="56"/>
        <v/>
      </c>
      <c r="K207" s="206" t="str">
        <f t="shared" si="60"/>
        <v/>
      </c>
      <c r="L207" s="206" t="str">
        <f t="shared" si="61"/>
        <v/>
      </c>
      <c r="M207" s="206" t="str">
        <f t="shared" si="62"/>
        <v/>
      </c>
      <c r="N207" s="206" t="str">
        <f t="shared" si="57"/>
        <v/>
      </c>
      <c r="O207" s="206" t="str">
        <f t="shared" si="63"/>
        <v/>
      </c>
      <c r="P207" s="165" t="str">
        <f t="shared" si="64"/>
        <v/>
      </c>
      <c r="Q207" s="207"/>
      <c r="R207" s="141" t="str">
        <f>IF(S207="IN",'BOM_Phan II'!$Y$3,"")</f>
        <v/>
      </c>
      <c r="S207" s="153" t="str">
        <f t="shared" si="65"/>
        <v/>
      </c>
      <c r="T207">
        <f t="shared" si="66"/>
        <v>6</v>
      </c>
      <c r="U207" s="208" t="str">
        <f t="shared" si="58"/>
        <v>KIỆN 9</v>
      </c>
      <c r="V207" s="208" t="str">
        <f t="shared" si="67"/>
        <v/>
      </c>
      <c r="W207" s="240"/>
      <c r="X207" s="240"/>
      <c r="Y207" s="240" t="str">
        <f t="shared" si="68"/>
        <v/>
      </c>
      <c r="Z207" s="240"/>
      <c r="AD207" s="232" t="str">
        <f t="shared" si="69"/>
        <v/>
      </c>
      <c r="AE207" s="204"/>
      <c r="AX207" s="3" t="str">
        <f t="shared" si="59"/>
        <v/>
      </c>
    </row>
    <row r="208" spans="1:50" s="155" customFormat="1" ht="30" hidden="1" customHeight="1">
      <c r="A208" s="141" t="str">
        <f t="shared" ref="A208:A271" si="70">IF(S208="IN",$E$6,"")</f>
        <v/>
      </c>
      <c r="B208" s="141" t="str">
        <f t="shared" ref="B208:B271" si="71">IF(S208="IN","Muc "&amp;$E$7,"")</f>
        <v/>
      </c>
      <c r="C208" s="205" t="str" cm="1">
        <f t="array" ref="C208">IF(D208="","",
    IF(AND(ISNUMBER(D208), D208=INT(D208)),
        $V$6 &amp; " " &amp; (IFERROR(MAX($Y$12:$Y207), 0) + 1),
        IF(ISNUMBER(SEARCH(".", D208)), "", INDEX($C$12:$C208, MATCH(2, 1/($C$12:$C208 &lt;&gt; ""))))
    )
)</f>
        <v/>
      </c>
      <c r="D208" s="206"/>
      <c r="E208" s="206" t="str">
        <f>IF(AA208 = "", "",
    IF(ISNUMBER(SEARCH("Kiện", C208)),
       " GÓI " &amp; COUNTIF($C$13:C208, "*Kiện*") &amp; "/" &amp; COUNTIF($C$13:$C$1000, "*Kiện*") &amp; " " &amp; AA208,
       AA208)
)</f>
        <v/>
      </c>
      <c r="F208" s="206"/>
      <c r="G208" s="206"/>
      <c r="H208" s="206"/>
      <c r="I208" s="206"/>
      <c r="J208" s="206" t="str">
        <f t="shared" ref="J208:J271" si="72">IF(C208&lt;&gt;"",C208&amp;"_"&amp;$E$6,"")</f>
        <v/>
      </c>
      <c r="K208" s="206" t="str">
        <f t="shared" si="60"/>
        <v/>
      </c>
      <c r="L208" s="206" t="str">
        <f t="shared" si="61"/>
        <v/>
      </c>
      <c r="M208" s="206" t="str">
        <f t="shared" si="62"/>
        <v/>
      </c>
      <c r="N208" s="206" t="str">
        <f t="shared" ref="N208:N271" si="73">IF(C208&lt;&gt;"",I208,"")</f>
        <v/>
      </c>
      <c r="O208" s="206" t="str">
        <f t="shared" si="63"/>
        <v/>
      </c>
      <c r="P208" s="165" t="str">
        <f t="shared" si="64"/>
        <v/>
      </c>
      <c r="Q208" s="207"/>
      <c r="R208" s="141" t="str">
        <f>IF(S208="IN",'BOM_Phan II'!$Y$3,"")</f>
        <v/>
      </c>
      <c r="S208" s="153" t="str">
        <f t="shared" si="65"/>
        <v/>
      </c>
      <c r="T208">
        <f t="shared" si="66"/>
        <v>6</v>
      </c>
      <c r="U208" s="208" t="str">
        <f t="shared" ref="U208:U271" si="74">IF(C208="",U207,C208)</f>
        <v>KIỆN 9</v>
      </c>
      <c r="V208" s="208" t="str">
        <f t="shared" si="67"/>
        <v/>
      </c>
      <c r="W208" s="240"/>
      <c r="X208" s="240"/>
      <c r="Y208" s="240" t="str">
        <f t="shared" si="68"/>
        <v/>
      </c>
      <c r="Z208" s="240"/>
      <c r="AD208" s="232" t="str">
        <f t="shared" si="69"/>
        <v/>
      </c>
      <c r="AE208" s="204"/>
      <c r="AX208" s="3" t="str">
        <f t="shared" si="59"/>
        <v/>
      </c>
    </row>
    <row r="209" spans="1:50" s="155" customFormat="1" ht="30" hidden="1" customHeight="1">
      <c r="A209" s="141" t="str">
        <f t="shared" si="70"/>
        <v/>
      </c>
      <c r="B209" s="141" t="str">
        <f t="shared" si="71"/>
        <v/>
      </c>
      <c r="C209" s="205" t="str" cm="1">
        <f t="array" ref="C209">IF(D209="","",
    IF(AND(ISNUMBER(D209), D209=INT(D209)),
        $V$6 &amp; " " &amp; (IFERROR(MAX($Y$12:$Y208), 0) + 1),
        IF(ISNUMBER(SEARCH(".", D209)), "", INDEX($C$12:$C209, MATCH(2, 1/($C$12:$C209 &lt;&gt; ""))))
    )
)</f>
        <v/>
      </c>
      <c r="D209" s="206"/>
      <c r="E209" s="206" t="str">
        <f>IF(AA209 = "", "",
    IF(ISNUMBER(SEARCH("Kiện", C209)),
       " GÓI " &amp; COUNTIF($C$13:C209, "*Kiện*") &amp; "/" &amp; COUNTIF($C$13:$C$1000, "*Kiện*") &amp; " " &amp; AA209,
       AA209)
)</f>
        <v/>
      </c>
      <c r="F209" s="206"/>
      <c r="G209" s="206"/>
      <c r="H209" s="206"/>
      <c r="I209" s="206"/>
      <c r="J209" s="206" t="str">
        <f t="shared" si="72"/>
        <v/>
      </c>
      <c r="K209" s="206" t="str">
        <f t="shared" si="60"/>
        <v/>
      </c>
      <c r="L209" s="206" t="str">
        <f t="shared" si="61"/>
        <v/>
      </c>
      <c r="M209" s="206" t="str">
        <f t="shared" si="62"/>
        <v/>
      </c>
      <c r="N209" s="206" t="str">
        <f t="shared" si="73"/>
        <v/>
      </c>
      <c r="O209" s="206" t="str">
        <f t="shared" si="63"/>
        <v/>
      </c>
      <c r="P209" s="165" t="str">
        <f t="shared" si="64"/>
        <v/>
      </c>
      <c r="Q209" s="207"/>
      <c r="R209" s="141" t="str">
        <f>IF(S209="IN",'BOM_Phan II'!$Y$3,"")</f>
        <v/>
      </c>
      <c r="S209" s="153" t="str">
        <f t="shared" si="65"/>
        <v/>
      </c>
      <c r="T209">
        <f t="shared" si="66"/>
        <v>6</v>
      </c>
      <c r="U209" s="208" t="str">
        <f t="shared" si="74"/>
        <v>KIỆN 9</v>
      </c>
      <c r="V209" s="208" t="str">
        <f t="shared" si="67"/>
        <v/>
      </c>
      <c r="W209" s="240"/>
      <c r="X209" s="240"/>
      <c r="Y209" s="240" t="str">
        <f t="shared" si="68"/>
        <v/>
      </c>
      <c r="Z209" s="240"/>
      <c r="AD209" s="232" t="str">
        <f t="shared" si="69"/>
        <v/>
      </c>
      <c r="AE209" s="204"/>
      <c r="AX209" s="3" t="str">
        <f t="shared" si="59"/>
        <v/>
      </c>
    </row>
    <row r="210" spans="1:50" s="155" customFormat="1" ht="30" hidden="1" customHeight="1">
      <c r="A210" s="141" t="str">
        <f t="shared" si="70"/>
        <v/>
      </c>
      <c r="B210" s="141" t="str">
        <f t="shared" si="71"/>
        <v/>
      </c>
      <c r="C210" s="205" t="str" cm="1">
        <f t="array" ref="C210">IF(D210="","",
    IF(AND(ISNUMBER(D210), D210=INT(D210)),
        $V$6 &amp; " " &amp; (IFERROR(MAX($Y$12:$Y209), 0) + 1),
        IF(ISNUMBER(SEARCH(".", D210)), "", INDEX($C$12:$C210, MATCH(2, 1/($C$12:$C210 &lt;&gt; ""))))
    )
)</f>
        <v/>
      </c>
      <c r="D210" s="206"/>
      <c r="E210" s="206" t="str">
        <f>IF(AA210 = "", "",
    IF(ISNUMBER(SEARCH("Kiện", C210)),
       " GÓI " &amp; COUNTIF($C$13:C210, "*Kiện*") &amp; "/" &amp; COUNTIF($C$13:$C$1000, "*Kiện*") &amp; " " &amp; AA210,
       AA210)
)</f>
        <v/>
      </c>
      <c r="F210" s="206"/>
      <c r="G210" s="206"/>
      <c r="H210" s="206"/>
      <c r="I210" s="206"/>
      <c r="J210" s="206" t="str">
        <f t="shared" si="72"/>
        <v/>
      </c>
      <c r="K210" s="206" t="str">
        <f t="shared" si="60"/>
        <v/>
      </c>
      <c r="L210" s="206" t="str">
        <f t="shared" si="61"/>
        <v/>
      </c>
      <c r="M210" s="206" t="str">
        <f t="shared" si="62"/>
        <v/>
      </c>
      <c r="N210" s="206" t="str">
        <f t="shared" si="73"/>
        <v/>
      </c>
      <c r="O210" s="206" t="str">
        <f t="shared" si="63"/>
        <v/>
      </c>
      <c r="P210" s="165" t="str">
        <f t="shared" si="64"/>
        <v/>
      </c>
      <c r="Q210" s="207"/>
      <c r="R210" s="141" t="str">
        <f>IF(S210="IN",'BOM_Phan II'!$Y$3,"")</f>
        <v/>
      </c>
      <c r="S210" s="153" t="str">
        <f t="shared" si="65"/>
        <v/>
      </c>
      <c r="T210">
        <f t="shared" si="66"/>
        <v>6</v>
      </c>
      <c r="U210" s="208" t="str">
        <f t="shared" si="74"/>
        <v>KIỆN 9</v>
      </c>
      <c r="V210" s="208" t="str">
        <f t="shared" si="67"/>
        <v/>
      </c>
      <c r="W210" s="240"/>
      <c r="X210" s="240"/>
      <c r="Y210" s="240" t="str">
        <f t="shared" si="68"/>
        <v/>
      </c>
      <c r="Z210" s="240"/>
      <c r="AD210" s="232" t="str">
        <f t="shared" si="69"/>
        <v/>
      </c>
      <c r="AE210" s="204"/>
      <c r="AX210" s="3" t="str">
        <f t="shared" si="59"/>
        <v/>
      </c>
    </row>
    <row r="211" spans="1:50" s="155" customFormat="1" ht="30" hidden="1" customHeight="1">
      <c r="A211" s="141" t="str">
        <f t="shared" si="70"/>
        <v/>
      </c>
      <c r="B211" s="141" t="str">
        <f t="shared" si="71"/>
        <v/>
      </c>
      <c r="C211" s="205" t="str" cm="1">
        <f t="array" ref="C211">IF(D211="","",
    IF(AND(ISNUMBER(D211), D211=INT(D211)),
        $V$6 &amp; " " &amp; (IFERROR(MAX($Y$12:$Y210), 0) + 1),
        IF(ISNUMBER(SEARCH(".", D211)), "", INDEX($C$12:$C211, MATCH(2, 1/($C$12:$C211 &lt;&gt; ""))))
    )
)</f>
        <v/>
      </c>
      <c r="D211" s="206"/>
      <c r="E211" s="206" t="str">
        <f>IF(AA211 = "", "",
    IF(ISNUMBER(SEARCH("Kiện", C211)),
       " GÓI " &amp; COUNTIF($C$13:C211, "*Kiện*") &amp; "/" &amp; COUNTIF($C$13:$C$1000, "*Kiện*") &amp; " " &amp; AA211,
       AA211)
)</f>
        <v/>
      </c>
      <c r="F211" s="206"/>
      <c r="G211" s="206"/>
      <c r="H211" s="206"/>
      <c r="I211" s="206"/>
      <c r="J211" s="206" t="str">
        <f t="shared" si="72"/>
        <v/>
      </c>
      <c r="K211" s="206" t="str">
        <f t="shared" si="60"/>
        <v/>
      </c>
      <c r="L211" s="206" t="str">
        <f t="shared" si="61"/>
        <v/>
      </c>
      <c r="M211" s="206" t="str">
        <f t="shared" si="62"/>
        <v/>
      </c>
      <c r="N211" s="206" t="str">
        <f t="shared" si="73"/>
        <v/>
      </c>
      <c r="O211" s="206" t="str">
        <f t="shared" si="63"/>
        <v/>
      </c>
      <c r="P211" s="165" t="str">
        <f t="shared" si="64"/>
        <v/>
      </c>
      <c r="Q211" s="207"/>
      <c r="R211" s="141" t="str">
        <f>IF(S211="IN",'BOM_Phan II'!$Y$3,"")</f>
        <v/>
      </c>
      <c r="S211" s="153" t="str">
        <f t="shared" si="65"/>
        <v/>
      </c>
      <c r="T211">
        <f t="shared" si="66"/>
        <v>6</v>
      </c>
      <c r="U211" s="208" t="str">
        <f t="shared" si="74"/>
        <v>KIỆN 9</v>
      </c>
      <c r="V211" s="208" t="str">
        <f t="shared" si="67"/>
        <v/>
      </c>
      <c r="W211" s="240"/>
      <c r="X211" s="240"/>
      <c r="Y211" s="240" t="str">
        <f t="shared" si="68"/>
        <v/>
      </c>
      <c r="Z211" s="240"/>
      <c r="AD211" s="232" t="str">
        <f t="shared" si="69"/>
        <v/>
      </c>
      <c r="AE211" s="204"/>
      <c r="AX211" s="3" t="str">
        <f t="shared" si="59"/>
        <v/>
      </c>
    </row>
    <row r="212" spans="1:50" s="155" customFormat="1" ht="30" hidden="1" customHeight="1">
      <c r="A212" s="141" t="str">
        <f t="shared" si="70"/>
        <v/>
      </c>
      <c r="B212" s="141" t="str">
        <f t="shared" si="71"/>
        <v/>
      </c>
      <c r="C212" s="205" t="str" cm="1">
        <f t="array" ref="C212">IF(D212="","",
    IF(AND(ISNUMBER(D212), D212=INT(D212)),
        $V$6 &amp; " " &amp; (IFERROR(MAX($Y$12:$Y211), 0) + 1),
        IF(ISNUMBER(SEARCH(".", D212)), "", INDEX($C$12:$C212, MATCH(2, 1/($C$12:$C212 &lt;&gt; ""))))
    )
)</f>
        <v/>
      </c>
      <c r="D212" s="206"/>
      <c r="E212" s="206" t="str">
        <f>IF(AA212 = "", "",
    IF(ISNUMBER(SEARCH("Kiện", C212)),
       " GÓI " &amp; COUNTIF($C$13:C212, "*Kiện*") &amp; "/" &amp; COUNTIF($C$13:$C$1000, "*Kiện*") &amp; " " &amp; AA212,
       AA212)
)</f>
        <v/>
      </c>
      <c r="F212" s="206"/>
      <c r="G212" s="206"/>
      <c r="H212" s="206"/>
      <c r="I212" s="206"/>
      <c r="J212" s="206" t="str">
        <f t="shared" si="72"/>
        <v/>
      </c>
      <c r="K212" s="206" t="str">
        <f t="shared" si="60"/>
        <v/>
      </c>
      <c r="L212" s="206" t="str">
        <f t="shared" si="61"/>
        <v/>
      </c>
      <c r="M212" s="206" t="str">
        <f t="shared" si="62"/>
        <v/>
      </c>
      <c r="N212" s="206" t="str">
        <f t="shared" si="73"/>
        <v/>
      </c>
      <c r="O212" s="206" t="str">
        <f t="shared" si="63"/>
        <v/>
      </c>
      <c r="P212" s="165" t="str">
        <f t="shared" si="64"/>
        <v/>
      </c>
      <c r="Q212" s="207"/>
      <c r="R212" s="141" t="str">
        <f>IF(S212="IN",'BOM_Phan II'!$Y$3,"")</f>
        <v/>
      </c>
      <c r="S212" s="153" t="str">
        <f t="shared" si="65"/>
        <v/>
      </c>
      <c r="T212">
        <f t="shared" si="66"/>
        <v>6</v>
      </c>
      <c r="U212" s="208" t="str">
        <f t="shared" si="74"/>
        <v>KIỆN 9</v>
      </c>
      <c r="V212" s="208" t="str">
        <f t="shared" si="67"/>
        <v/>
      </c>
      <c r="W212" s="240"/>
      <c r="X212" s="240"/>
      <c r="Y212" s="240" t="str">
        <f t="shared" si="68"/>
        <v/>
      </c>
      <c r="Z212" s="240"/>
      <c r="AD212" s="232" t="str">
        <f t="shared" si="69"/>
        <v/>
      </c>
      <c r="AE212" s="204"/>
      <c r="AX212" s="3" t="str">
        <f t="shared" si="59"/>
        <v/>
      </c>
    </row>
    <row r="213" spans="1:50" s="155" customFormat="1" ht="30" hidden="1" customHeight="1">
      <c r="A213" s="141" t="str">
        <f t="shared" si="70"/>
        <v/>
      </c>
      <c r="B213" s="141" t="str">
        <f t="shared" si="71"/>
        <v/>
      </c>
      <c r="C213" s="205" t="str" cm="1">
        <f t="array" ref="C213">IF(D213="","",
    IF(AND(ISNUMBER(D213), D213=INT(D213)),
        $V$6 &amp; " " &amp; (IFERROR(MAX($Y$12:$Y212), 0) + 1),
        IF(ISNUMBER(SEARCH(".", D213)), "", INDEX($C$12:$C213, MATCH(2, 1/($C$12:$C213 &lt;&gt; ""))))
    )
)</f>
        <v/>
      </c>
      <c r="D213" s="206"/>
      <c r="E213" s="206" t="str">
        <f>IF(AA213 = "", "",
    IF(ISNUMBER(SEARCH("Kiện", C213)),
       " GÓI " &amp; COUNTIF($C$13:C213, "*Kiện*") &amp; "/" &amp; COUNTIF($C$13:$C$1000, "*Kiện*") &amp; " " &amp; AA213,
       AA213)
)</f>
        <v/>
      </c>
      <c r="F213" s="206"/>
      <c r="G213" s="206"/>
      <c r="H213" s="206"/>
      <c r="I213" s="206"/>
      <c r="J213" s="206" t="str">
        <f t="shared" si="72"/>
        <v/>
      </c>
      <c r="K213" s="206" t="str">
        <f t="shared" si="60"/>
        <v/>
      </c>
      <c r="L213" s="206" t="str">
        <f t="shared" si="61"/>
        <v/>
      </c>
      <c r="M213" s="206" t="str">
        <f t="shared" si="62"/>
        <v/>
      </c>
      <c r="N213" s="206" t="str">
        <f t="shared" si="73"/>
        <v/>
      </c>
      <c r="O213" s="206" t="str">
        <f t="shared" si="63"/>
        <v/>
      </c>
      <c r="P213" s="165" t="str">
        <f t="shared" si="64"/>
        <v/>
      </c>
      <c r="Q213" s="207"/>
      <c r="R213" s="141" t="str">
        <f>IF(S213="IN",'BOM_Phan II'!$Y$3,"")</f>
        <v/>
      </c>
      <c r="S213" s="153" t="str">
        <f t="shared" si="65"/>
        <v/>
      </c>
      <c r="T213">
        <f t="shared" si="66"/>
        <v>6</v>
      </c>
      <c r="U213" s="208" t="str">
        <f t="shared" si="74"/>
        <v>KIỆN 9</v>
      </c>
      <c r="V213" s="208" t="str">
        <f t="shared" si="67"/>
        <v/>
      </c>
      <c r="W213" s="240"/>
      <c r="X213" s="240"/>
      <c r="Y213" s="240" t="str">
        <f t="shared" si="68"/>
        <v/>
      </c>
      <c r="Z213" s="240"/>
      <c r="AD213" s="232" t="str">
        <f t="shared" si="69"/>
        <v/>
      </c>
      <c r="AE213" s="204"/>
      <c r="AX213" s="3" t="str">
        <f t="shared" si="59"/>
        <v/>
      </c>
    </row>
    <row r="214" spans="1:50" s="155" customFormat="1" ht="30" hidden="1" customHeight="1">
      <c r="A214" s="141" t="str">
        <f t="shared" si="70"/>
        <v/>
      </c>
      <c r="B214" s="141" t="str">
        <f t="shared" si="71"/>
        <v/>
      </c>
      <c r="C214" s="205" t="str" cm="1">
        <f t="array" ref="C214">IF(D214="","",
    IF(AND(ISNUMBER(D214), D214=INT(D214)),
        $V$6 &amp; " " &amp; (IFERROR(MAX($Y$12:$Y213), 0) + 1),
        IF(ISNUMBER(SEARCH(".", D214)), "", INDEX($C$12:$C214, MATCH(2, 1/($C$12:$C214 &lt;&gt; ""))))
    )
)</f>
        <v/>
      </c>
      <c r="D214" s="206"/>
      <c r="E214" s="206" t="str">
        <f>IF(AA214 = "", "",
    IF(ISNUMBER(SEARCH("Kiện", C214)),
       " GÓI " &amp; COUNTIF($C$13:C214, "*Kiện*") &amp; "/" &amp; COUNTIF($C$13:$C$1000, "*Kiện*") &amp; " " &amp; AA214,
       AA214)
)</f>
        <v/>
      </c>
      <c r="F214" s="206"/>
      <c r="G214" s="206"/>
      <c r="H214" s="206"/>
      <c r="I214" s="206"/>
      <c r="J214" s="206" t="str">
        <f t="shared" si="72"/>
        <v/>
      </c>
      <c r="K214" s="206" t="str">
        <f t="shared" si="60"/>
        <v/>
      </c>
      <c r="L214" s="206" t="str">
        <f t="shared" si="61"/>
        <v/>
      </c>
      <c r="M214" s="206" t="str">
        <f t="shared" si="62"/>
        <v/>
      </c>
      <c r="N214" s="206" t="str">
        <f t="shared" si="73"/>
        <v/>
      </c>
      <c r="O214" s="206" t="str">
        <f t="shared" si="63"/>
        <v/>
      </c>
      <c r="P214" s="165" t="str">
        <f t="shared" si="64"/>
        <v/>
      </c>
      <c r="Q214" s="207"/>
      <c r="R214" s="141" t="str">
        <f>IF(S214="IN",'BOM_Phan II'!$Y$3,"")</f>
        <v/>
      </c>
      <c r="S214" s="153" t="str">
        <f t="shared" si="65"/>
        <v/>
      </c>
      <c r="T214">
        <f t="shared" si="66"/>
        <v>6</v>
      </c>
      <c r="U214" s="208" t="str">
        <f t="shared" si="74"/>
        <v>KIỆN 9</v>
      </c>
      <c r="V214" s="208" t="str">
        <f t="shared" si="67"/>
        <v/>
      </c>
      <c r="W214" s="240"/>
      <c r="X214" s="240"/>
      <c r="Y214" s="240" t="str">
        <f t="shared" si="68"/>
        <v/>
      </c>
      <c r="Z214" s="240"/>
      <c r="AD214" s="232" t="str">
        <f t="shared" si="69"/>
        <v/>
      </c>
      <c r="AE214" s="204"/>
      <c r="AX214" s="3" t="str">
        <f t="shared" si="59"/>
        <v/>
      </c>
    </row>
    <row r="215" spans="1:50" s="155" customFormat="1" ht="30" hidden="1" customHeight="1">
      <c r="A215" s="141" t="str">
        <f t="shared" si="70"/>
        <v/>
      </c>
      <c r="B215" s="141" t="str">
        <f t="shared" si="71"/>
        <v/>
      </c>
      <c r="C215" s="205" t="str" cm="1">
        <f t="array" ref="C215">IF(D215="","",
    IF(AND(ISNUMBER(D215), D215=INT(D215)),
        $V$6 &amp; " " &amp; (IFERROR(MAX($Y$12:$Y214), 0) + 1),
        IF(ISNUMBER(SEARCH(".", D215)), "", INDEX($C$12:$C215, MATCH(2, 1/($C$12:$C215 &lt;&gt; ""))))
    )
)</f>
        <v/>
      </c>
      <c r="D215" s="206"/>
      <c r="E215" s="206" t="str">
        <f>IF(AA215 = "", "",
    IF(ISNUMBER(SEARCH("Kiện", C215)),
       " GÓI " &amp; COUNTIF($C$13:C215, "*Kiện*") &amp; "/" &amp; COUNTIF($C$13:$C$1000, "*Kiện*") &amp; " " &amp; AA215,
       AA215)
)</f>
        <v/>
      </c>
      <c r="F215" s="206"/>
      <c r="G215" s="206"/>
      <c r="H215" s="206"/>
      <c r="I215" s="206"/>
      <c r="J215" s="206" t="str">
        <f t="shared" si="72"/>
        <v/>
      </c>
      <c r="K215" s="206" t="str">
        <f t="shared" si="60"/>
        <v/>
      </c>
      <c r="L215" s="206" t="str">
        <f t="shared" si="61"/>
        <v/>
      </c>
      <c r="M215" s="206" t="str">
        <f t="shared" si="62"/>
        <v/>
      </c>
      <c r="N215" s="206" t="str">
        <f t="shared" si="73"/>
        <v/>
      </c>
      <c r="O215" s="206" t="str">
        <f t="shared" si="63"/>
        <v/>
      </c>
      <c r="P215" s="165" t="str">
        <f t="shared" si="64"/>
        <v/>
      </c>
      <c r="Q215" s="207"/>
      <c r="R215" s="141" t="str">
        <f>IF(S215="IN",'BOM_Phan II'!$Y$3,"")</f>
        <v/>
      </c>
      <c r="S215" s="153" t="str">
        <f t="shared" si="65"/>
        <v/>
      </c>
      <c r="T215">
        <f t="shared" si="66"/>
        <v>6</v>
      </c>
      <c r="U215" s="208" t="str">
        <f t="shared" si="74"/>
        <v>KIỆN 9</v>
      </c>
      <c r="V215" s="208" t="str">
        <f t="shared" si="67"/>
        <v/>
      </c>
      <c r="W215" s="240"/>
      <c r="X215" s="240"/>
      <c r="Y215" s="240" t="str">
        <f t="shared" si="68"/>
        <v/>
      </c>
      <c r="Z215" s="240"/>
      <c r="AD215" s="232" t="str">
        <f t="shared" si="69"/>
        <v/>
      </c>
      <c r="AE215" s="204"/>
      <c r="AX215" s="3" t="str">
        <f t="shared" si="59"/>
        <v/>
      </c>
    </row>
    <row r="216" spans="1:50" s="155" customFormat="1" ht="30" hidden="1" customHeight="1">
      <c r="A216" s="141" t="str">
        <f t="shared" si="70"/>
        <v/>
      </c>
      <c r="B216" s="141" t="str">
        <f t="shared" si="71"/>
        <v/>
      </c>
      <c r="C216" s="205" t="str" cm="1">
        <f t="array" ref="C216">IF(D216="","",
    IF(AND(ISNUMBER(D216), D216=INT(D216)),
        $V$6 &amp; " " &amp; (IFERROR(MAX($Y$12:$Y215), 0) + 1),
        IF(ISNUMBER(SEARCH(".", D216)), "", INDEX($C$12:$C216, MATCH(2, 1/($C$12:$C216 &lt;&gt; ""))))
    )
)</f>
        <v/>
      </c>
      <c r="D216" s="206"/>
      <c r="E216" s="206" t="str">
        <f>IF(AA216 = "", "",
    IF(ISNUMBER(SEARCH("Kiện", C216)),
       " GÓI " &amp; COUNTIF($C$13:C216, "*Kiện*") &amp; "/" &amp; COUNTIF($C$13:$C$1000, "*Kiện*") &amp; " " &amp; AA216,
       AA216)
)</f>
        <v/>
      </c>
      <c r="F216" s="206"/>
      <c r="G216" s="206"/>
      <c r="H216" s="206"/>
      <c r="I216" s="206"/>
      <c r="J216" s="206" t="str">
        <f t="shared" si="72"/>
        <v/>
      </c>
      <c r="K216" s="206" t="str">
        <f t="shared" si="60"/>
        <v/>
      </c>
      <c r="L216" s="206" t="str">
        <f t="shared" si="61"/>
        <v/>
      </c>
      <c r="M216" s="206" t="str">
        <f t="shared" si="62"/>
        <v/>
      </c>
      <c r="N216" s="206" t="str">
        <f t="shared" si="73"/>
        <v/>
      </c>
      <c r="O216" s="206" t="str">
        <f t="shared" si="63"/>
        <v/>
      </c>
      <c r="P216" s="165" t="str">
        <f t="shared" si="64"/>
        <v/>
      </c>
      <c r="Q216" s="207"/>
      <c r="R216" s="141" t="str">
        <f>IF(S216="IN",'BOM_Phan II'!$Y$3,"")</f>
        <v/>
      </c>
      <c r="S216" s="153" t="str">
        <f t="shared" si="65"/>
        <v/>
      </c>
      <c r="T216">
        <f t="shared" si="66"/>
        <v>6</v>
      </c>
      <c r="U216" s="208" t="str">
        <f t="shared" si="74"/>
        <v>KIỆN 9</v>
      </c>
      <c r="V216" s="208" t="str">
        <f t="shared" si="67"/>
        <v/>
      </c>
      <c r="W216" s="240"/>
      <c r="X216" s="240"/>
      <c r="Y216" s="240" t="str">
        <f t="shared" si="68"/>
        <v/>
      </c>
      <c r="Z216" s="240"/>
      <c r="AD216" s="232" t="str">
        <f t="shared" si="69"/>
        <v/>
      </c>
      <c r="AE216" s="204"/>
      <c r="AX216" s="3" t="str">
        <f t="shared" si="59"/>
        <v/>
      </c>
    </row>
    <row r="217" spans="1:50" s="155" customFormat="1" ht="30" hidden="1" customHeight="1">
      <c r="A217" s="141" t="str">
        <f t="shared" si="70"/>
        <v/>
      </c>
      <c r="B217" s="141" t="str">
        <f t="shared" si="71"/>
        <v/>
      </c>
      <c r="C217" s="205" t="str" cm="1">
        <f t="array" ref="C217">IF(D217="","",
    IF(AND(ISNUMBER(D217), D217=INT(D217)),
        $V$6 &amp; " " &amp; (IFERROR(MAX($Y$12:$Y216), 0) + 1),
        IF(ISNUMBER(SEARCH(".", D217)), "", INDEX($C$12:$C217, MATCH(2, 1/($C$12:$C217 &lt;&gt; ""))))
    )
)</f>
        <v/>
      </c>
      <c r="D217" s="206"/>
      <c r="E217" s="206" t="str">
        <f>IF(AA217 = "", "",
    IF(ISNUMBER(SEARCH("Kiện", C217)),
       " GÓI " &amp; COUNTIF($C$13:C217, "*Kiện*") &amp; "/" &amp; COUNTIF($C$13:$C$1000, "*Kiện*") &amp; " " &amp; AA217,
       AA217)
)</f>
        <v/>
      </c>
      <c r="F217" s="206"/>
      <c r="G217" s="206"/>
      <c r="H217" s="206"/>
      <c r="I217" s="206"/>
      <c r="J217" s="206" t="str">
        <f t="shared" si="72"/>
        <v/>
      </c>
      <c r="K217" s="206" t="str">
        <f t="shared" si="60"/>
        <v/>
      </c>
      <c r="L217" s="206" t="str">
        <f t="shared" si="61"/>
        <v/>
      </c>
      <c r="M217" s="206" t="str">
        <f t="shared" si="62"/>
        <v/>
      </c>
      <c r="N217" s="206" t="str">
        <f t="shared" si="73"/>
        <v/>
      </c>
      <c r="O217" s="206" t="str">
        <f t="shared" si="63"/>
        <v/>
      </c>
      <c r="P217" s="165" t="str">
        <f t="shared" si="64"/>
        <v/>
      </c>
      <c r="Q217" s="207"/>
      <c r="R217" s="141" t="str">
        <f>IF(S217="IN",'BOM_Phan II'!$Y$3,"")</f>
        <v/>
      </c>
      <c r="S217" s="153" t="str">
        <f t="shared" si="65"/>
        <v/>
      </c>
      <c r="T217">
        <f t="shared" si="66"/>
        <v>6</v>
      </c>
      <c r="U217" s="208" t="str">
        <f t="shared" si="74"/>
        <v>KIỆN 9</v>
      </c>
      <c r="V217" s="208" t="str">
        <f t="shared" si="67"/>
        <v/>
      </c>
      <c r="W217" s="240"/>
      <c r="X217" s="240"/>
      <c r="Y217" s="240" t="str">
        <f t="shared" si="68"/>
        <v/>
      </c>
      <c r="Z217" s="240"/>
      <c r="AD217" s="232" t="str">
        <f t="shared" si="69"/>
        <v/>
      </c>
      <c r="AE217" s="204"/>
      <c r="AX217" s="3" t="str">
        <f t="shared" si="59"/>
        <v/>
      </c>
    </row>
    <row r="218" spans="1:50" s="155" customFormat="1" ht="30" hidden="1" customHeight="1">
      <c r="A218" s="141" t="str">
        <f t="shared" si="70"/>
        <v/>
      </c>
      <c r="B218" s="141" t="str">
        <f t="shared" si="71"/>
        <v/>
      </c>
      <c r="C218" s="205" t="str" cm="1">
        <f t="array" ref="C218">IF(D218="","",
    IF(AND(ISNUMBER(D218), D218=INT(D218)),
        $V$6 &amp; " " &amp; (IFERROR(MAX($Y$12:$Y217), 0) + 1),
        IF(ISNUMBER(SEARCH(".", D218)), "", INDEX($C$12:$C218, MATCH(2, 1/($C$12:$C218 &lt;&gt; ""))))
    )
)</f>
        <v/>
      </c>
      <c r="D218" s="206"/>
      <c r="E218" s="206" t="str">
        <f>IF(AA218 = "", "",
    IF(ISNUMBER(SEARCH("Kiện", C218)),
       " GÓI " &amp; COUNTIF($C$13:C218, "*Kiện*") &amp; "/" &amp; COUNTIF($C$13:$C$1000, "*Kiện*") &amp; " " &amp; AA218,
       AA218)
)</f>
        <v/>
      </c>
      <c r="F218" s="206"/>
      <c r="G218" s="206"/>
      <c r="H218" s="206"/>
      <c r="I218" s="206"/>
      <c r="J218" s="206" t="str">
        <f t="shared" si="72"/>
        <v/>
      </c>
      <c r="K218" s="206" t="str">
        <f t="shared" si="60"/>
        <v/>
      </c>
      <c r="L218" s="206" t="str">
        <f t="shared" si="61"/>
        <v/>
      </c>
      <c r="M218" s="206" t="str">
        <f t="shared" si="62"/>
        <v/>
      </c>
      <c r="N218" s="206" t="str">
        <f t="shared" si="73"/>
        <v/>
      </c>
      <c r="O218" s="206" t="str">
        <f t="shared" si="63"/>
        <v/>
      </c>
      <c r="P218" s="165" t="str">
        <f t="shared" si="64"/>
        <v/>
      </c>
      <c r="Q218" s="207"/>
      <c r="R218" s="141" t="str">
        <f>IF(S218="IN",'BOM_Phan II'!$Y$3,"")</f>
        <v/>
      </c>
      <c r="S218" s="153" t="str">
        <f t="shared" si="65"/>
        <v/>
      </c>
      <c r="T218">
        <f t="shared" si="66"/>
        <v>6</v>
      </c>
      <c r="U218" s="208" t="str">
        <f t="shared" si="74"/>
        <v>KIỆN 9</v>
      </c>
      <c r="V218" s="208" t="str">
        <f t="shared" si="67"/>
        <v/>
      </c>
      <c r="W218" s="240"/>
      <c r="X218" s="240"/>
      <c r="Y218" s="240" t="str">
        <f t="shared" si="68"/>
        <v/>
      </c>
      <c r="Z218" s="240"/>
      <c r="AD218" s="232" t="str">
        <f t="shared" si="69"/>
        <v/>
      </c>
      <c r="AE218" s="204"/>
      <c r="AX218" s="3" t="str">
        <f t="shared" si="59"/>
        <v/>
      </c>
    </row>
    <row r="219" spans="1:50" s="155" customFormat="1" ht="30" hidden="1" customHeight="1">
      <c r="A219" s="141" t="str">
        <f t="shared" si="70"/>
        <v/>
      </c>
      <c r="B219" s="141" t="str">
        <f t="shared" si="71"/>
        <v/>
      </c>
      <c r="C219" s="205" t="str" cm="1">
        <f t="array" ref="C219">IF(D219="","",
    IF(AND(ISNUMBER(D219), D219=INT(D219)),
        $V$6 &amp; " " &amp; (IFERROR(MAX($Y$12:$Y218), 0) + 1),
        IF(ISNUMBER(SEARCH(".", D219)), "", INDEX($C$12:$C219, MATCH(2, 1/($C$12:$C219 &lt;&gt; ""))))
    )
)</f>
        <v/>
      </c>
      <c r="D219" s="206"/>
      <c r="E219" s="206" t="str">
        <f>IF(AA219 = "", "",
    IF(ISNUMBER(SEARCH("Kiện", C219)),
       " GÓI " &amp; COUNTIF($C$13:C219, "*Kiện*") &amp; "/" &amp; COUNTIF($C$13:$C$1000, "*Kiện*") &amp; " " &amp; AA219,
       AA219)
)</f>
        <v/>
      </c>
      <c r="F219" s="206"/>
      <c r="G219" s="206"/>
      <c r="H219" s="206"/>
      <c r="I219" s="206"/>
      <c r="J219" s="206" t="str">
        <f t="shared" si="72"/>
        <v/>
      </c>
      <c r="K219" s="206" t="str">
        <f t="shared" si="60"/>
        <v/>
      </c>
      <c r="L219" s="206" t="str">
        <f t="shared" si="61"/>
        <v/>
      </c>
      <c r="M219" s="206" t="str">
        <f t="shared" si="62"/>
        <v/>
      </c>
      <c r="N219" s="206" t="str">
        <f t="shared" si="73"/>
        <v/>
      </c>
      <c r="O219" s="206" t="str">
        <f t="shared" si="63"/>
        <v/>
      </c>
      <c r="P219" s="165" t="str">
        <f t="shared" si="64"/>
        <v/>
      </c>
      <c r="Q219" s="207"/>
      <c r="R219" s="141" t="str">
        <f>IF(S219="IN",'BOM_Phan II'!$Y$3,"")</f>
        <v/>
      </c>
      <c r="S219" s="153" t="str">
        <f t="shared" si="65"/>
        <v/>
      </c>
      <c r="T219">
        <f t="shared" si="66"/>
        <v>6</v>
      </c>
      <c r="U219" s="208" t="str">
        <f t="shared" si="74"/>
        <v>KIỆN 9</v>
      </c>
      <c r="V219" s="208" t="str">
        <f t="shared" si="67"/>
        <v/>
      </c>
      <c r="W219" s="240"/>
      <c r="X219" s="240"/>
      <c r="Y219" s="240" t="str">
        <f t="shared" si="68"/>
        <v/>
      </c>
      <c r="Z219" s="240"/>
      <c r="AD219" s="232" t="str">
        <f t="shared" si="69"/>
        <v/>
      </c>
      <c r="AE219" s="204"/>
      <c r="AX219" s="3" t="str">
        <f t="shared" si="59"/>
        <v/>
      </c>
    </row>
    <row r="220" spans="1:50" s="155" customFormat="1" ht="30" hidden="1" customHeight="1">
      <c r="A220" s="141" t="str">
        <f t="shared" si="70"/>
        <v/>
      </c>
      <c r="B220" s="141" t="str">
        <f t="shared" si="71"/>
        <v/>
      </c>
      <c r="C220" s="205" t="str" cm="1">
        <f t="array" ref="C220">IF(D220="","",
    IF(AND(ISNUMBER(D220), D220=INT(D220)),
        $V$6 &amp; " " &amp; (IFERROR(MAX($Y$12:$Y219), 0) + 1),
        IF(ISNUMBER(SEARCH(".", D220)), "", INDEX($C$12:$C220, MATCH(2, 1/($C$12:$C220 &lt;&gt; ""))))
    )
)</f>
        <v/>
      </c>
      <c r="D220" s="206"/>
      <c r="E220" s="206" t="str">
        <f>IF(AA220 = "", "",
    IF(ISNUMBER(SEARCH("Kiện", C220)),
       " GÓI " &amp; COUNTIF($C$13:C220, "*Kiện*") &amp; "/" &amp; COUNTIF($C$13:$C$1000, "*Kiện*") &amp; " " &amp; AA220,
       AA220)
)</f>
        <v/>
      </c>
      <c r="F220" s="206"/>
      <c r="G220" s="206"/>
      <c r="H220" s="206"/>
      <c r="I220" s="206"/>
      <c r="J220" s="206" t="str">
        <f t="shared" si="72"/>
        <v/>
      </c>
      <c r="K220" s="206" t="str">
        <f t="shared" si="60"/>
        <v/>
      </c>
      <c r="L220" s="206" t="str">
        <f t="shared" si="61"/>
        <v/>
      </c>
      <c r="M220" s="206" t="str">
        <f t="shared" si="62"/>
        <v/>
      </c>
      <c r="N220" s="206" t="str">
        <f t="shared" si="73"/>
        <v/>
      </c>
      <c r="O220" s="206" t="str">
        <f t="shared" si="63"/>
        <v/>
      </c>
      <c r="P220" s="165" t="str">
        <f t="shared" si="64"/>
        <v/>
      </c>
      <c r="Q220" s="207"/>
      <c r="R220" s="141" t="str">
        <f>IF(S220="IN",'BOM_Phan II'!$Y$3,"")</f>
        <v/>
      </c>
      <c r="S220" s="153" t="str">
        <f t="shared" si="65"/>
        <v/>
      </c>
      <c r="T220">
        <f t="shared" si="66"/>
        <v>6</v>
      </c>
      <c r="U220" s="208" t="str">
        <f t="shared" si="74"/>
        <v>KIỆN 9</v>
      </c>
      <c r="V220" s="208" t="str">
        <f t="shared" si="67"/>
        <v/>
      </c>
      <c r="W220" s="240"/>
      <c r="X220" s="240"/>
      <c r="Y220" s="240" t="str">
        <f t="shared" si="68"/>
        <v/>
      </c>
      <c r="Z220" s="240"/>
      <c r="AD220" s="232" t="str">
        <f t="shared" si="69"/>
        <v/>
      </c>
      <c r="AE220" s="204"/>
      <c r="AX220" s="3" t="str">
        <f t="shared" si="59"/>
        <v/>
      </c>
    </row>
    <row r="221" spans="1:50" s="155" customFormat="1" ht="30" hidden="1" customHeight="1">
      <c r="A221" s="141" t="str">
        <f t="shared" si="70"/>
        <v/>
      </c>
      <c r="B221" s="141" t="str">
        <f t="shared" si="71"/>
        <v/>
      </c>
      <c r="C221" s="205" t="str" cm="1">
        <f t="array" ref="C221">IF(D221="","",
    IF(AND(ISNUMBER(D221), D221=INT(D221)),
        $V$6 &amp; " " &amp; (IFERROR(MAX($Y$12:$Y220), 0) + 1),
        IF(ISNUMBER(SEARCH(".", D221)), "", INDEX($C$12:$C221, MATCH(2, 1/($C$12:$C221 &lt;&gt; ""))))
    )
)</f>
        <v/>
      </c>
      <c r="D221" s="206"/>
      <c r="E221" s="206" t="str">
        <f>IF(AA221 = "", "",
    IF(ISNUMBER(SEARCH("Kiện", C221)),
       " GÓI " &amp; COUNTIF($C$13:C221, "*Kiện*") &amp; "/" &amp; COUNTIF($C$13:$C$1000, "*Kiện*") &amp; " " &amp; AA221,
       AA221)
)</f>
        <v/>
      </c>
      <c r="F221" s="206"/>
      <c r="G221" s="206"/>
      <c r="H221" s="206"/>
      <c r="I221" s="206"/>
      <c r="J221" s="206" t="str">
        <f t="shared" si="72"/>
        <v/>
      </c>
      <c r="K221" s="206" t="str">
        <f t="shared" si="60"/>
        <v/>
      </c>
      <c r="L221" s="206" t="str">
        <f t="shared" si="61"/>
        <v/>
      </c>
      <c r="M221" s="206" t="str">
        <f t="shared" si="62"/>
        <v/>
      </c>
      <c r="N221" s="206" t="str">
        <f t="shared" si="73"/>
        <v/>
      </c>
      <c r="O221" s="206" t="str">
        <f t="shared" si="63"/>
        <v/>
      </c>
      <c r="P221" s="165" t="str">
        <f t="shared" si="64"/>
        <v/>
      </c>
      <c r="Q221" s="207"/>
      <c r="R221" s="141" t="str">
        <f>IF(S221="IN",'BOM_Phan II'!$Y$3,"")</f>
        <v/>
      </c>
      <c r="S221" s="153" t="str">
        <f t="shared" si="65"/>
        <v/>
      </c>
      <c r="T221">
        <f t="shared" si="66"/>
        <v>6</v>
      </c>
      <c r="U221" s="208" t="str">
        <f t="shared" si="74"/>
        <v>KIỆN 9</v>
      </c>
      <c r="V221" s="208" t="str">
        <f t="shared" si="67"/>
        <v/>
      </c>
      <c r="W221" s="240"/>
      <c r="X221" s="240"/>
      <c r="Y221" s="240" t="str">
        <f t="shared" si="68"/>
        <v/>
      </c>
      <c r="Z221" s="240"/>
      <c r="AD221" s="232" t="str">
        <f t="shared" si="69"/>
        <v/>
      </c>
      <c r="AE221" s="204"/>
      <c r="AX221" s="3" t="str">
        <f t="shared" si="59"/>
        <v/>
      </c>
    </row>
    <row r="222" spans="1:50" s="155" customFormat="1" ht="30" hidden="1" customHeight="1">
      <c r="A222" s="141" t="str">
        <f t="shared" si="70"/>
        <v/>
      </c>
      <c r="B222" s="141" t="str">
        <f t="shared" si="71"/>
        <v/>
      </c>
      <c r="C222" s="205" t="str" cm="1">
        <f t="array" ref="C222">IF(D222="","",
    IF(AND(ISNUMBER(D222), D222=INT(D222)),
        $V$6 &amp; " " &amp; (IFERROR(MAX($Y$12:$Y221), 0) + 1),
        IF(ISNUMBER(SEARCH(".", D222)), "", INDEX($C$12:$C222, MATCH(2, 1/($C$12:$C222 &lt;&gt; ""))))
    )
)</f>
        <v/>
      </c>
      <c r="D222" s="206"/>
      <c r="E222" s="206" t="str">
        <f>IF(AA222 = "", "",
    IF(ISNUMBER(SEARCH("Kiện", C222)),
       " GÓI " &amp; COUNTIF($C$13:C222, "*Kiện*") &amp; "/" &amp; COUNTIF($C$13:$C$1000, "*Kiện*") &amp; " " &amp; AA222,
       AA222)
)</f>
        <v/>
      </c>
      <c r="F222" s="206"/>
      <c r="G222" s="206"/>
      <c r="H222" s="206"/>
      <c r="I222" s="206"/>
      <c r="J222" s="206" t="str">
        <f t="shared" si="72"/>
        <v/>
      </c>
      <c r="K222" s="206" t="str">
        <f t="shared" si="60"/>
        <v/>
      </c>
      <c r="L222" s="206" t="str">
        <f t="shared" si="61"/>
        <v/>
      </c>
      <c r="M222" s="206" t="str">
        <f t="shared" si="62"/>
        <v/>
      </c>
      <c r="N222" s="206" t="str">
        <f t="shared" si="73"/>
        <v/>
      </c>
      <c r="O222" s="206" t="str">
        <f t="shared" si="63"/>
        <v/>
      </c>
      <c r="P222" s="165" t="str">
        <f t="shared" si="64"/>
        <v/>
      </c>
      <c r="Q222" s="207"/>
      <c r="R222" s="141" t="str">
        <f>IF(S222="IN",'BOM_Phan II'!$Y$3,"")</f>
        <v/>
      </c>
      <c r="S222" s="153" t="str">
        <f t="shared" si="65"/>
        <v/>
      </c>
      <c r="T222">
        <f t="shared" si="66"/>
        <v>6</v>
      </c>
      <c r="U222" s="208" t="str">
        <f t="shared" si="74"/>
        <v>KIỆN 9</v>
      </c>
      <c r="V222" s="208" t="str">
        <f t="shared" si="67"/>
        <v/>
      </c>
      <c r="W222" s="240"/>
      <c r="X222" s="240"/>
      <c r="Y222" s="240" t="str">
        <f t="shared" si="68"/>
        <v/>
      </c>
      <c r="Z222" s="240"/>
      <c r="AD222" s="232" t="str">
        <f t="shared" si="69"/>
        <v/>
      </c>
      <c r="AE222" s="204"/>
      <c r="AX222" s="3" t="str">
        <f t="shared" si="59"/>
        <v/>
      </c>
    </row>
    <row r="223" spans="1:50" s="155" customFormat="1" ht="30" hidden="1" customHeight="1">
      <c r="A223" s="141" t="str">
        <f t="shared" si="70"/>
        <v/>
      </c>
      <c r="B223" s="141" t="str">
        <f t="shared" si="71"/>
        <v/>
      </c>
      <c r="C223" s="205" t="str" cm="1">
        <f t="array" ref="C223">IF(D223="","",
    IF(AND(ISNUMBER(D223), D223=INT(D223)),
        $V$6 &amp; " " &amp; (IFERROR(MAX($Y$12:$Y222), 0) + 1),
        IF(ISNUMBER(SEARCH(".", D223)), "", INDEX($C$12:$C223, MATCH(2, 1/($C$12:$C223 &lt;&gt; ""))))
    )
)</f>
        <v/>
      </c>
      <c r="D223" s="206"/>
      <c r="E223" s="206" t="str">
        <f>IF(AA223 = "", "",
    IF(ISNUMBER(SEARCH("Kiện", C223)),
       " GÓI " &amp; COUNTIF($C$13:C223, "*Kiện*") &amp; "/" &amp; COUNTIF($C$13:$C$1000, "*Kiện*") &amp; " " &amp; AA223,
       AA223)
)</f>
        <v/>
      </c>
      <c r="F223" s="206"/>
      <c r="G223" s="206"/>
      <c r="H223" s="206"/>
      <c r="I223" s="206"/>
      <c r="J223" s="206" t="str">
        <f t="shared" si="72"/>
        <v/>
      </c>
      <c r="K223" s="206" t="str">
        <f t="shared" si="60"/>
        <v/>
      </c>
      <c r="L223" s="206" t="str">
        <f t="shared" si="61"/>
        <v/>
      </c>
      <c r="M223" s="206" t="str">
        <f t="shared" si="62"/>
        <v/>
      </c>
      <c r="N223" s="206" t="str">
        <f t="shared" si="73"/>
        <v/>
      </c>
      <c r="O223" s="206" t="str">
        <f t="shared" si="63"/>
        <v/>
      </c>
      <c r="P223" s="165" t="str">
        <f t="shared" si="64"/>
        <v/>
      </c>
      <c r="Q223" s="207"/>
      <c r="R223" s="141" t="str">
        <f>IF(S223="IN",'BOM_Phan II'!$Y$3,"")</f>
        <v/>
      </c>
      <c r="S223" s="153" t="str">
        <f t="shared" si="65"/>
        <v/>
      </c>
      <c r="T223">
        <f t="shared" si="66"/>
        <v>6</v>
      </c>
      <c r="U223" s="208" t="str">
        <f t="shared" si="74"/>
        <v>KIỆN 9</v>
      </c>
      <c r="V223" s="208" t="str">
        <f t="shared" si="67"/>
        <v/>
      </c>
      <c r="W223" s="240"/>
      <c r="X223" s="240"/>
      <c r="Y223" s="240" t="str">
        <f t="shared" si="68"/>
        <v/>
      </c>
      <c r="Z223" s="240"/>
      <c r="AD223" s="232" t="str">
        <f t="shared" si="69"/>
        <v/>
      </c>
      <c r="AE223" s="204"/>
      <c r="AX223" s="3" t="str">
        <f t="shared" si="59"/>
        <v/>
      </c>
    </row>
    <row r="224" spans="1:50" s="155" customFormat="1" ht="30" hidden="1" customHeight="1">
      <c r="A224" s="141" t="str">
        <f t="shared" si="70"/>
        <v/>
      </c>
      <c r="B224" s="141" t="str">
        <f t="shared" si="71"/>
        <v/>
      </c>
      <c r="C224" s="205" t="str" cm="1">
        <f t="array" ref="C224">IF(D224="","",
    IF(AND(ISNUMBER(D224), D224=INT(D224)),
        $V$6 &amp; " " &amp; (IFERROR(MAX($Y$12:$Y223), 0) + 1),
        IF(ISNUMBER(SEARCH(".", D224)), "", INDEX($C$12:$C224, MATCH(2, 1/($C$12:$C224 &lt;&gt; ""))))
    )
)</f>
        <v/>
      </c>
      <c r="D224" s="206"/>
      <c r="E224" s="206" t="str">
        <f>IF(AA224 = "", "",
    IF(ISNUMBER(SEARCH("Kiện", C224)),
       " GÓI " &amp; COUNTIF($C$13:C224, "*Kiện*") &amp; "/" &amp; COUNTIF($C$13:$C$1000, "*Kiện*") &amp; " " &amp; AA224,
       AA224)
)</f>
        <v/>
      </c>
      <c r="F224" s="206"/>
      <c r="G224" s="206"/>
      <c r="H224" s="206"/>
      <c r="I224" s="206"/>
      <c r="J224" s="206" t="str">
        <f t="shared" si="72"/>
        <v/>
      </c>
      <c r="K224" s="206" t="str">
        <f t="shared" si="60"/>
        <v/>
      </c>
      <c r="L224" s="206" t="str">
        <f t="shared" si="61"/>
        <v/>
      </c>
      <c r="M224" s="206" t="str">
        <f t="shared" si="62"/>
        <v/>
      </c>
      <c r="N224" s="206" t="str">
        <f t="shared" si="73"/>
        <v/>
      </c>
      <c r="O224" s="206" t="str">
        <f t="shared" si="63"/>
        <v/>
      </c>
      <c r="P224" s="165" t="str">
        <f t="shared" si="64"/>
        <v/>
      </c>
      <c r="Q224" s="207"/>
      <c r="R224" s="141" t="str">
        <f>IF(S224="IN",'BOM_Phan II'!$Y$3,"")</f>
        <v/>
      </c>
      <c r="S224" s="153" t="str">
        <f t="shared" si="65"/>
        <v/>
      </c>
      <c r="T224">
        <f t="shared" si="66"/>
        <v>6</v>
      </c>
      <c r="U224" s="208" t="str">
        <f t="shared" si="74"/>
        <v>KIỆN 9</v>
      </c>
      <c r="V224" s="208" t="str">
        <f t="shared" si="67"/>
        <v/>
      </c>
      <c r="W224" s="240"/>
      <c r="X224" s="240"/>
      <c r="Y224" s="240" t="str">
        <f t="shared" si="68"/>
        <v/>
      </c>
      <c r="Z224" s="240"/>
      <c r="AD224" s="232" t="str">
        <f t="shared" si="69"/>
        <v/>
      </c>
      <c r="AE224" s="204"/>
      <c r="AX224" s="3" t="str">
        <f t="shared" si="59"/>
        <v/>
      </c>
    </row>
    <row r="225" spans="1:50" s="155" customFormat="1" ht="30" hidden="1" customHeight="1">
      <c r="A225" s="141" t="str">
        <f t="shared" si="70"/>
        <v/>
      </c>
      <c r="B225" s="141" t="str">
        <f t="shared" si="71"/>
        <v/>
      </c>
      <c r="C225" s="205" t="str" cm="1">
        <f t="array" ref="C225">IF(D225="","",
    IF(AND(ISNUMBER(D225), D225=INT(D225)),
        $V$6 &amp; " " &amp; (IFERROR(MAX($Y$12:$Y224), 0) + 1),
        IF(ISNUMBER(SEARCH(".", D225)), "", INDEX($C$12:$C225, MATCH(2, 1/($C$12:$C225 &lt;&gt; ""))))
    )
)</f>
        <v/>
      </c>
      <c r="D225" s="206"/>
      <c r="E225" s="206" t="str">
        <f>IF(AA225 = "", "",
    IF(ISNUMBER(SEARCH("Kiện", C225)),
       " GÓI " &amp; COUNTIF($C$13:C225, "*Kiện*") &amp; "/" &amp; COUNTIF($C$13:$C$1000, "*Kiện*") &amp; " " &amp; AA225,
       AA225)
)</f>
        <v/>
      </c>
      <c r="F225" s="206"/>
      <c r="G225" s="206"/>
      <c r="H225" s="206"/>
      <c r="I225" s="206"/>
      <c r="J225" s="206" t="str">
        <f t="shared" si="72"/>
        <v/>
      </c>
      <c r="K225" s="206" t="str">
        <f t="shared" si="60"/>
        <v/>
      </c>
      <c r="L225" s="206" t="str">
        <f t="shared" si="61"/>
        <v/>
      </c>
      <c r="M225" s="206" t="str">
        <f t="shared" si="62"/>
        <v/>
      </c>
      <c r="N225" s="206" t="str">
        <f t="shared" si="73"/>
        <v/>
      </c>
      <c r="O225" s="206" t="str">
        <f t="shared" si="63"/>
        <v/>
      </c>
      <c r="P225" s="165" t="str">
        <f t="shared" si="64"/>
        <v/>
      </c>
      <c r="Q225" s="207"/>
      <c r="R225" s="141" t="str">
        <f>IF(S225="IN",'BOM_Phan II'!$Y$3,"")</f>
        <v/>
      </c>
      <c r="S225" s="153" t="str">
        <f t="shared" si="65"/>
        <v/>
      </c>
      <c r="T225">
        <f t="shared" si="66"/>
        <v>6</v>
      </c>
      <c r="U225" s="208" t="str">
        <f t="shared" si="74"/>
        <v>KIỆN 9</v>
      </c>
      <c r="V225" s="208" t="str">
        <f t="shared" si="67"/>
        <v/>
      </c>
      <c r="W225" s="240"/>
      <c r="X225" s="240"/>
      <c r="Y225" s="240" t="str">
        <f t="shared" si="68"/>
        <v/>
      </c>
      <c r="Z225" s="240"/>
      <c r="AD225" s="232" t="str">
        <f t="shared" si="69"/>
        <v/>
      </c>
      <c r="AE225" s="204"/>
      <c r="AX225" s="3" t="str">
        <f t="shared" si="59"/>
        <v/>
      </c>
    </row>
    <row r="226" spans="1:50" s="155" customFormat="1" ht="30" hidden="1" customHeight="1">
      <c r="A226" s="141" t="str">
        <f t="shared" si="70"/>
        <v/>
      </c>
      <c r="B226" s="141" t="str">
        <f t="shared" si="71"/>
        <v/>
      </c>
      <c r="C226" s="205" t="str" cm="1">
        <f t="array" ref="C226">IF(D226="","",
    IF(AND(ISNUMBER(D226), D226=INT(D226)),
        $V$6 &amp; " " &amp; (IFERROR(MAX($Y$12:$Y225), 0) + 1),
        IF(ISNUMBER(SEARCH(".", D226)), "", INDEX($C$12:$C226, MATCH(2, 1/($C$12:$C226 &lt;&gt; ""))))
    )
)</f>
        <v/>
      </c>
      <c r="D226" s="206"/>
      <c r="E226" s="206" t="str">
        <f>IF(AA226 = "", "",
    IF(ISNUMBER(SEARCH("Kiện", C226)),
       " GÓI " &amp; COUNTIF($C$13:C226, "*Kiện*") &amp; "/" &amp; COUNTIF($C$13:$C$1000, "*Kiện*") &amp; " " &amp; AA226,
       AA226)
)</f>
        <v/>
      </c>
      <c r="F226" s="206"/>
      <c r="G226" s="206"/>
      <c r="H226" s="206"/>
      <c r="I226" s="206"/>
      <c r="J226" s="206" t="str">
        <f t="shared" si="72"/>
        <v/>
      </c>
      <c r="K226" s="206" t="str">
        <f t="shared" si="60"/>
        <v/>
      </c>
      <c r="L226" s="206" t="str">
        <f t="shared" si="61"/>
        <v/>
      </c>
      <c r="M226" s="206" t="str">
        <f t="shared" si="62"/>
        <v/>
      </c>
      <c r="N226" s="206" t="str">
        <f t="shared" si="73"/>
        <v/>
      </c>
      <c r="O226" s="206" t="str">
        <f t="shared" si="63"/>
        <v/>
      </c>
      <c r="P226" s="165" t="str">
        <f t="shared" si="64"/>
        <v/>
      </c>
      <c r="Q226" s="207"/>
      <c r="R226" s="141" t="str">
        <f>IF(S226="IN",'BOM_Phan II'!$Y$3,"")</f>
        <v/>
      </c>
      <c r="S226" s="153" t="str">
        <f t="shared" si="65"/>
        <v/>
      </c>
      <c r="T226">
        <f t="shared" si="66"/>
        <v>6</v>
      </c>
      <c r="U226" s="208" t="str">
        <f t="shared" si="74"/>
        <v>KIỆN 9</v>
      </c>
      <c r="V226" s="208" t="str">
        <f t="shared" si="67"/>
        <v/>
      </c>
      <c r="W226" s="240"/>
      <c r="X226" s="240"/>
      <c r="Y226" s="240" t="str">
        <f t="shared" si="68"/>
        <v/>
      </c>
      <c r="Z226" s="240"/>
      <c r="AD226" s="232" t="str">
        <f t="shared" si="69"/>
        <v/>
      </c>
      <c r="AE226" s="204"/>
      <c r="AX226" s="3" t="str">
        <f t="shared" si="59"/>
        <v/>
      </c>
    </row>
    <row r="227" spans="1:50" s="155" customFormat="1" ht="30" hidden="1" customHeight="1">
      <c r="A227" s="141" t="str">
        <f t="shared" si="70"/>
        <v/>
      </c>
      <c r="B227" s="141" t="str">
        <f t="shared" si="71"/>
        <v/>
      </c>
      <c r="C227" s="205" t="str" cm="1">
        <f t="array" ref="C227">IF(D227="","",
    IF(AND(ISNUMBER(D227), D227=INT(D227)),
        $V$6 &amp; " " &amp; (IFERROR(MAX($Y$12:$Y226), 0) + 1),
        IF(ISNUMBER(SEARCH(".", D227)), "", INDEX($C$12:$C227, MATCH(2, 1/($C$12:$C227 &lt;&gt; ""))))
    )
)</f>
        <v/>
      </c>
      <c r="D227" s="206"/>
      <c r="E227" s="206" t="str">
        <f>IF(AA227 = "", "",
    IF(ISNUMBER(SEARCH("Kiện", C227)),
       " GÓI " &amp; COUNTIF($C$13:C227, "*Kiện*") &amp; "/" &amp; COUNTIF($C$13:$C$1000, "*Kiện*") &amp; " " &amp; AA227,
       AA227)
)</f>
        <v/>
      </c>
      <c r="F227" s="206"/>
      <c r="G227" s="206"/>
      <c r="H227" s="206"/>
      <c r="I227" s="206"/>
      <c r="J227" s="206" t="str">
        <f t="shared" si="72"/>
        <v/>
      </c>
      <c r="K227" s="206" t="str">
        <f t="shared" si="60"/>
        <v/>
      </c>
      <c r="L227" s="206" t="str">
        <f t="shared" si="61"/>
        <v/>
      </c>
      <c r="M227" s="206" t="str">
        <f t="shared" si="62"/>
        <v/>
      </c>
      <c r="N227" s="206" t="str">
        <f t="shared" si="73"/>
        <v/>
      </c>
      <c r="O227" s="206" t="str">
        <f t="shared" si="63"/>
        <v/>
      </c>
      <c r="P227" s="165" t="str">
        <f t="shared" si="64"/>
        <v/>
      </c>
      <c r="Q227" s="207"/>
      <c r="R227" s="141" t="str">
        <f>IF(S227="IN",'BOM_Phan II'!$Y$3,"")</f>
        <v/>
      </c>
      <c r="S227" s="153" t="str">
        <f t="shared" si="65"/>
        <v/>
      </c>
      <c r="T227">
        <f t="shared" si="66"/>
        <v>6</v>
      </c>
      <c r="U227" s="208" t="str">
        <f t="shared" si="74"/>
        <v>KIỆN 9</v>
      </c>
      <c r="V227" s="208" t="str">
        <f t="shared" si="67"/>
        <v/>
      </c>
      <c r="W227" s="240"/>
      <c r="X227" s="240"/>
      <c r="Y227" s="240" t="str">
        <f t="shared" si="68"/>
        <v/>
      </c>
      <c r="Z227" s="240"/>
      <c r="AD227" s="232" t="str">
        <f t="shared" si="69"/>
        <v/>
      </c>
      <c r="AE227" s="204"/>
      <c r="AX227" s="3" t="str">
        <f t="shared" si="59"/>
        <v/>
      </c>
    </row>
    <row r="228" spans="1:50" s="155" customFormat="1" ht="30" hidden="1" customHeight="1">
      <c r="A228" s="141" t="str">
        <f t="shared" si="70"/>
        <v/>
      </c>
      <c r="B228" s="141" t="str">
        <f t="shared" si="71"/>
        <v/>
      </c>
      <c r="C228" s="205" t="str" cm="1">
        <f t="array" ref="C228">IF(D228="","",
    IF(AND(ISNUMBER(D228), D228=INT(D228)),
        $V$6 &amp; " " &amp; (IFERROR(MAX($Y$12:$Y227), 0) + 1),
        IF(ISNUMBER(SEARCH(".", D228)), "", INDEX($C$12:$C228, MATCH(2, 1/($C$12:$C228 &lt;&gt; ""))))
    )
)</f>
        <v/>
      </c>
      <c r="D228" s="206"/>
      <c r="E228" s="206" t="str">
        <f>IF(AA228 = "", "",
    IF(ISNUMBER(SEARCH("Kiện", C228)),
       " GÓI " &amp; COUNTIF($C$13:C228, "*Kiện*") &amp; "/" &amp; COUNTIF($C$13:$C$1000, "*Kiện*") &amp; " " &amp; AA228,
       AA228)
)</f>
        <v/>
      </c>
      <c r="F228" s="206"/>
      <c r="G228" s="206"/>
      <c r="H228" s="206"/>
      <c r="I228" s="206"/>
      <c r="J228" s="206" t="str">
        <f t="shared" si="72"/>
        <v/>
      </c>
      <c r="K228" s="206" t="str">
        <f t="shared" si="60"/>
        <v/>
      </c>
      <c r="L228" s="206" t="str">
        <f t="shared" si="61"/>
        <v/>
      </c>
      <c r="M228" s="206" t="str">
        <f t="shared" si="62"/>
        <v/>
      </c>
      <c r="N228" s="206" t="str">
        <f t="shared" si="73"/>
        <v/>
      </c>
      <c r="O228" s="206" t="str">
        <f t="shared" si="63"/>
        <v/>
      </c>
      <c r="P228" s="165" t="str">
        <f t="shared" si="64"/>
        <v/>
      </c>
      <c r="Q228" s="207"/>
      <c r="R228" s="141" t="str">
        <f>IF(S228="IN",'BOM_Phan II'!$Y$3,"")</f>
        <v/>
      </c>
      <c r="S228" s="153" t="str">
        <f t="shared" si="65"/>
        <v/>
      </c>
      <c r="T228">
        <f t="shared" si="66"/>
        <v>6</v>
      </c>
      <c r="U228" s="208" t="str">
        <f t="shared" si="74"/>
        <v>KIỆN 9</v>
      </c>
      <c r="V228" s="208" t="str">
        <f t="shared" si="67"/>
        <v/>
      </c>
      <c r="W228" s="240"/>
      <c r="X228" s="240"/>
      <c r="Y228" s="240" t="str">
        <f t="shared" si="68"/>
        <v/>
      </c>
      <c r="Z228" s="240"/>
      <c r="AD228" s="232" t="str">
        <f t="shared" si="69"/>
        <v/>
      </c>
      <c r="AE228" s="204"/>
      <c r="AX228" s="3" t="str">
        <f t="shared" si="59"/>
        <v/>
      </c>
    </row>
    <row r="229" spans="1:50" s="155" customFormat="1" ht="30" hidden="1" customHeight="1">
      <c r="A229" s="141" t="str">
        <f t="shared" si="70"/>
        <v/>
      </c>
      <c r="B229" s="141" t="str">
        <f t="shared" si="71"/>
        <v/>
      </c>
      <c r="C229" s="205" t="str" cm="1">
        <f t="array" ref="C229">IF(D229="","",
    IF(AND(ISNUMBER(D229), D229=INT(D229)),
        $V$6 &amp; " " &amp; (IFERROR(MAX($Y$12:$Y228), 0) + 1),
        IF(ISNUMBER(SEARCH(".", D229)), "", INDEX($C$12:$C229, MATCH(2, 1/($C$12:$C229 &lt;&gt; ""))))
    )
)</f>
        <v/>
      </c>
      <c r="D229" s="206"/>
      <c r="E229" s="206" t="str">
        <f>IF(AA229 = "", "",
    IF(ISNUMBER(SEARCH("Kiện", C229)),
       " GÓI " &amp; COUNTIF($C$13:C229, "*Kiện*") &amp; "/" &amp; COUNTIF($C$13:$C$1000, "*Kiện*") &amp; " " &amp; AA229,
       AA229)
)</f>
        <v/>
      </c>
      <c r="F229" s="206"/>
      <c r="G229" s="206"/>
      <c r="H229" s="206"/>
      <c r="I229" s="206"/>
      <c r="J229" s="206" t="str">
        <f t="shared" si="72"/>
        <v/>
      </c>
      <c r="K229" s="206" t="str">
        <f t="shared" si="60"/>
        <v/>
      </c>
      <c r="L229" s="206" t="str">
        <f t="shared" si="61"/>
        <v/>
      </c>
      <c r="M229" s="206" t="str">
        <f t="shared" si="62"/>
        <v/>
      </c>
      <c r="N229" s="206" t="str">
        <f t="shared" si="73"/>
        <v/>
      </c>
      <c r="O229" s="206" t="str">
        <f t="shared" si="63"/>
        <v/>
      </c>
      <c r="P229" s="165" t="str">
        <f t="shared" si="64"/>
        <v/>
      </c>
      <c r="Q229" s="207"/>
      <c r="R229" s="141" t="str">
        <f>IF(S229="IN",'BOM_Phan II'!$Y$3,"")</f>
        <v/>
      </c>
      <c r="S229" s="153" t="str">
        <f t="shared" si="65"/>
        <v/>
      </c>
      <c r="T229">
        <f t="shared" si="66"/>
        <v>6</v>
      </c>
      <c r="U229" s="208" t="str">
        <f t="shared" si="74"/>
        <v>KIỆN 9</v>
      </c>
      <c r="V229" s="208" t="str">
        <f t="shared" si="67"/>
        <v/>
      </c>
      <c r="W229" s="240"/>
      <c r="X229" s="240"/>
      <c r="Y229" s="240" t="str">
        <f t="shared" si="68"/>
        <v/>
      </c>
      <c r="Z229" s="240"/>
      <c r="AD229" s="232" t="str">
        <f t="shared" si="69"/>
        <v/>
      </c>
      <c r="AE229" s="204"/>
      <c r="AX229" s="3" t="str">
        <f t="shared" si="59"/>
        <v/>
      </c>
    </row>
    <row r="230" spans="1:50" s="155" customFormat="1" ht="30" hidden="1" customHeight="1">
      <c r="A230" s="141" t="str">
        <f t="shared" si="70"/>
        <v/>
      </c>
      <c r="B230" s="141" t="str">
        <f t="shared" si="71"/>
        <v/>
      </c>
      <c r="C230" s="205" t="str" cm="1">
        <f t="array" ref="C230">IF(D230="","",
    IF(AND(ISNUMBER(D230), D230=INT(D230)),
        $V$6 &amp; " " &amp; (IFERROR(MAX($Y$12:$Y229), 0) + 1),
        IF(ISNUMBER(SEARCH(".", D230)), "", INDEX($C$12:$C230, MATCH(2, 1/($C$12:$C230 &lt;&gt; ""))))
    )
)</f>
        <v/>
      </c>
      <c r="D230" s="206"/>
      <c r="E230" s="206" t="str">
        <f>IF(AA230 = "", "",
    IF(ISNUMBER(SEARCH("Kiện", C230)),
       " GÓI " &amp; COUNTIF($C$13:C230, "*Kiện*") &amp; "/" &amp; COUNTIF($C$13:$C$1000, "*Kiện*") &amp; " " &amp; AA230,
       AA230)
)</f>
        <v/>
      </c>
      <c r="F230" s="206"/>
      <c r="G230" s="206"/>
      <c r="H230" s="206"/>
      <c r="I230" s="206"/>
      <c r="J230" s="206" t="str">
        <f t="shared" si="72"/>
        <v/>
      </c>
      <c r="K230" s="206" t="str">
        <f t="shared" si="60"/>
        <v/>
      </c>
      <c r="L230" s="206" t="str">
        <f t="shared" si="61"/>
        <v/>
      </c>
      <c r="M230" s="206" t="str">
        <f t="shared" si="62"/>
        <v/>
      </c>
      <c r="N230" s="206" t="str">
        <f t="shared" si="73"/>
        <v/>
      </c>
      <c r="O230" s="206" t="str">
        <f t="shared" si="63"/>
        <v/>
      </c>
      <c r="P230" s="165" t="str">
        <f t="shared" si="64"/>
        <v/>
      </c>
      <c r="Q230" s="207"/>
      <c r="R230" s="141" t="str">
        <f>IF(S230="IN",'BOM_Phan II'!$Y$3,"")</f>
        <v/>
      </c>
      <c r="S230" s="153" t="str">
        <f t="shared" si="65"/>
        <v/>
      </c>
      <c r="T230">
        <f t="shared" si="66"/>
        <v>6</v>
      </c>
      <c r="U230" s="208" t="str">
        <f t="shared" si="74"/>
        <v>KIỆN 9</v>
      </c>
      <c r="V230" s="208" t="str">
        <f t="shared" si="67"/>
        <v/>
      </c>
      <c r="W230" s="240"/>
      <c r="X230" s="240"/>
      <c r="Y230" s="240" t="str">
        <f t="shared" si="68"/>
        <v/>
      </c>
      <c r="Z230" s="240"/>
      <c r="AD230" s="232" t="str">
        <f t="shared" si="69"/>
        <v/>
      </c>
      <c r="AE230" s="204"/>
      <c r="AX230" s="3" t="str">
        <f t="shared" si="59"/>
        <v/>
      </c>
    </row>
    <row r="231" spans="1:50" s="155" customFormat="1" ht="30" hidden="1" customHeight="1">
      <c r="A231" s="141" t="str">
        <f t="shared" si="70"/>
        <v/>
      </c>
      <c r="B231" s="141" t="str">
        <f t="shared" si="71"/>
        <v/>
      </c>
      <c r="C231" s="205" t="str" cm="1">
        <f t="array" ref="C231">IF(D231="","",
    IF(AND(ISNUMBER(D231), D231=INT(D231)),
        $V$6 &amp; " " &amp; (IFERROR(MAX($Y$12:$Y230), 0) + 1),
        IF(ISNUMBER(SEARCH(".", D231)), "", INDEX($C$12:$C231, MATCH(2, 1/($C$12:$C231 &lt;&gt; ""))))
    )
)</f>
        <v/>
      </c>
      <c r="D231" s="206"/>
      <c r="E231" s="206" t="str">
        <f>IF(AA231 = "", "",
    IF(ISNUMBER(SEARCH("Kiện", C231)),
       " GÓI " &amp; COUNTIF($C$13:C231, "*Kiện*") &amp; "/" &amp; COUNTIF($C$13:$C$1000, "*Kiện*") &amp; " " &amp; AA231,
       AA231)
)</f>
        <v/>
      </c>
      <c r="F231" s="206"/>
      <c r="G231" s="206"/>
      <c r="H231" s="206"/>
      <c r="I231" s="206"/>
      <c r="J231" s="206" t="str">
        <f t="shared" si="72"/>
        <v/>
      </c>
      <c r="K231" s="206" t="str">
        <f t="shared" si="60"/>
        <v/>
      </c>
      <c r="L231" s="206" t="str">
        <f t="shared" si="61"/>
        <v/>
      </c>
      <c r="M231" s="206" t="str">
        <f t="shared" si="62"/>
        <v/>
      </c>
      <c r="N231" s="206" t="str">
        <f t="shared" si="73"/>
        <v/>
      </c>
      <c r="O231" s="206" t="str">
        <f t="shared" si="63"/>
        <v/>
      </c>
      <c r="P231" s="165" t="str">
        <f t="shared" si="64"/>
        <v/>
      </c>
      <c r="Q231" s="207"/>
      <c r="R231" s="141" t="str">
        <f>IF(S231="IN",'BOM_Phan II'!$Y$3,"")</f>
        <v/>
      </c>
      <c r="S231" s="153" t="str">
        <f t="shared" si="65"/>
        <v/>
      </c>
      <c r="T231">
        <f t="shared" si="66"/>
        <v>6</v>
      </c>
      <c r="U231" s="208" t="str">
        <f t="shared" si="74"/>
        <v>KIỆN 9</v>
      </c>
      <c r="V231" s="208" t="str">
        <f t="shared" si="67"/>
        <v/>
      </c>
      <c r="W231" s="240"/>
      <c r="X231" s="240"/>
      <c r="Y231" s="240" t="str">
        <f t="shared" si="68"/>
        <v/>
      </c>
      <c r="Z231" s="240"/>
      <c r="AD231" s="232" t="str">
        <f t="shared" si="69"/>
        <v/>
      </c>
      <c r="AE231" s="204"/>
      <c r="AX231" s="3" t="str">
        <f t="shared" si="59"/>
        <v/>
      </c>
    </row>
    <row r="232" spans="1:50" s="155" customFormat="1" ht="30" hidden="1" customHeight="1">
      <c r="A232" s="141" t="str">
        <f t="shared" si="70"/>
        <v/>
      </c>
      <c r="B232" s="141" t="str">
        <f t="shared" si="71"/>
        <v/>
      </c>
      <c r="C232" s="205" t="str" cm="1">
        <f t="array" ref="C232">IF(D232="","",
    IF(AND(ISNUMBER(D232), D232=INT(D232)),
        $V$6 &amp; " " &amp; (IFERROR(MAX($Y$12:$Y231), 0) + 1),
        IF(ISNUMBER(SEARCH(".", D232)), "", INDEX($C$12:$C232, MATCH(2, 1/($C$12:$C232 &lt;&gt; ""))))
    )
)</f>
        <v/>
      </c>
      <c r="D232" s="206"/>
      <c r="E232" s="206" t="str">
        <f>IF(AA232 = "", "",
    IF(ISNUMBER(SEARCH("Kiện", C232)),
       " GÓI " &amp; COUNTIF($C$13:C232, "*Kiện*") &amp; "/" &amp; COUNTIF($C$13:$C$1000, "*Kiện*") &amp; " " &amp; AA232,
       AA232)
)</f>
        <v/>
      </c>
      <c r="F232" s="206"/>
      <c r="G232" s="206"/>
      <c r="H232" s="206"/>
      <c r="I232" s="206"/>
      <c r="J232" s="206" t="str">
        <f t="shared" si="72"/>
        <v/>
      </c>
      <c r="K232" s="206" t="str">
        <f t="shared" si="60"/>
        <v/>
      </c>
      <c r="L232" s="206" t="str">
        <f t="shared" si="61"/>
        <v/>
      </c>
      <c r="M232" s="206" t="str">
        <f t="shared" si="62"/>
        <v/>
      </c>
      <c r="N232" s="206" t="str">
        <f t="shared" si="73"/>
        <v/>
      </c>
      <c r="O232" s="206" t="str">
        <f t="shared" si="63"/>
        <v/>
      </c>
      <c r="P232" s="165" t="str">
        <f t="shared" si="64"/>
        <v/>
      </c>
      <c r="Q232" s="207"/>
      <c r="R232" s="141" t="str">
        <f>IF(S232="IN",'BOM_Phan II'!$Y$3,"")</f>
        <v/>
      </c>
      <c r="S232" s="153" t="str">
        <f t="shared" si="65"/>
        <v/>
      </c>
      <c r="T232">
        <f t="shared" si="66"/>
        <v>6</v>
      </c>
      <c r="U232" s="208" t="str">
        <f t="shared" si="74"/>
        <v>KIỆN 9</v>
      </c>
      <c r="V232" s="208" t="str">
        <f t="shared" si="67"/>
        <v/>
      </c>
      <c r="W232" s="240"/>
      <c r="X232" s="240"/>
      <c r="Y232" s="240" t="str">
        <f t="shared" si="68"/>
        <v/>
      </c>
      <c r="Z232" s="240"/>
      <c r="AD232" s="232" t="str">
        <f t="shared" si="69"/>
        <v/>
      </c>
      <c r="AE232" s="204"/>
      <c r="AX232" s="3" t="str">
        <f t="shared" si="59"/>
        <v/>
      </c>
    </row>
    <row r="233" spans="1:50" s="155" customFormat="1" ht="30" hidden="1" customHeight="1">
      <c r="A233" s="141" t="str">
        <f t="shared" si="70"/>
        <v/>
      </c>
      <c r="B233" s="141" t="str">
        <f t="shared" si="71"/>
        <v/>
      </c>
      <c r="C233" s="205" t="str" cm="1">
        <f t="array" ref="C233">IF(D233="","",
    IF(AND(ISNUMBER(D233), D233=INT(D233)),
        $V$6 &amp; " " &amp; (IFERROR(MAX($Y$12:$Y232), 0) + 1),
        IF(ISNUMBER(SEARCH(".", D233)), "", INDEX($C$12:$C233, MATCH(2, 1/($C$12:$C233 &lt;&gt; ""))))
    )
)</f>
        <v/>
      </c>
      <c r="D233" s="206"/>
      <c r="E233" s="206" t="str">
        <f>IF(AA233 = "", "",
    IF(ISNUMBER(SEARCH("Kiện", C233)),
       " GÓI " &amp; COUNTIF($C$13:C233, "*Kiện*") &amp; "/" &amp; COUNTIF($C$13:$C$1000, "*Kiện*") &amp; " " &amp; AA233,
       AA233)
)</f>
        <v/>
      </c>
      <c r="F233" s="206"/>
      <c r="G233" s="206"/>
      <c r="H233" s="206"/>
      <c r="I233" s="206"/>
      <c r="J233" s="206" t="str">
        <f t="shared" si="72"/>
        <v/>
      </c>
      <c r="K233" s="206" t="str">
        <f t="shared" si="60"/>
        <v/>
      </c>
      <c r="L233" s="206" t="str">
        <f t="shared" si="61"/>
        <v/>
      </c>
      <c r="M233" s="206" t="str">
        <f t="shared" si="62"/>
        <v/>
      </c>
      <c r="N233" s="206" t="str">
        <f t="shared" si="73"/>
        <v/>
      </c>
      <c r="O233" s="206" t="str">
        <f t="shared" si="63"/>
        <v/>
      </c>
      <c r="P233" s="165" t="str">
        <f t="shared" si="64"/>
        <v/>
      </c>
      <c r="Q233" s="207"/>
      <c r="R233" s="141" t="str">
        <f>IF(S233="IN",'BOM_Phan II'!$Y$3,"")</f>
        <v/>
      </c>
      <c r="S233" s="153" t="str">
        <f t="shared" si="65"/>
        <v/>
      </c>
      <c r="T233">
        <f t="shared" si="66"/>
        <v>6</v>
      </c>
      <c r="U233" s="208" t="str">
        <f t="shared" si="74"/>
        <v>KIỆN 9</v>
      </c>
      <c r="V233" s="208" t="str">
        <f t="shared" si="67"/>
        <v/>
      </c>
      <c r="W233" s="240"/>
      <c r="X233" s="240"/>
      <c r="Y233" s="240" t="str">
        <f t="shared" si="68"/>
        <v/>
      </c>
      <c r="Z233" s="240"/>
      <c r="AD233" s="232" t="str">
        <f t="shared" si="69"/>
        <v/>
      </c>
      <c r="AE233" s="204"/>
      <c r="AX233" s="3" t="str">
        <f t="shared" si="59"/>
        <v/>
      </c>
    </row>
    <row r="234" spans="1:50" s="155" customFormat="1" ht="30" hidden="1" customHeight="1">
      <c r="A234" s="141" t="str">
        <f t="shared" si="70"/>
        <v/>
      </c>
      <c r="B234" s="141" t="str">
        <f t="shared" si="71"/>
        <v/>
      </c>
      <c r="C234" s="205" t="str" cm="1">
        <f t="array" ref="C234">IF(D234="","",
    IF(AND(ISNUMBER(D234), D234=INT(D234)),
        $V$6 &amp; " " &amp; (IFERROR(MAX($Y$12:$Y233), 0) + 1),
        IF(ISNUMBER(SEARCH(".", D234)), "", INDEX($C$12:$C234, MATCH(2, 1/($C$12:$C234 &lt;&gt; ""))))
    )
)</f>
        <v/>
      </c>
      <c r="D234" s="206"/>
      <c r="E234" s="206" t="str">
        <f>IF(AA234 = "", "",
    IF(ISNUMBER(SEARCH("Kiện", C234)),
       " GÓI " &amp; COUNTIF($C$13:C234, "*Kiện*") &amp; "/" &amp; COUNTIF($C$13:$C$1000, "*Kiện*") &amp; " " &amp; AA234,
       AA234)
)</f>
        <v/>
      </c>
      <c r="F234" s="206"/>
      <c r="G234" s="206"/>
      <c r="H234" s="206"/>
      <c r="I234" s="206"/>
      <c r="J234" s="206" t="str">
        <f t="shared" si="72"/>
        <v/>
      </c>
      <c r="K234" s="206" t="str">
        <f t="shared" si="60"/>
        <v/>
      </c>
      <c r="L234" s="206" t="str">
        <f t="shared" si="61"/>
        <v/>
      </c>
      <c r="M234" s="206" t="str">
        <f t="shared" si="62"/>
        <v/>
      </c>
      <c r="N234" s="206" t="str">
        <f t="shared" si="73"/>
        <v/>
      </c>
      <c r="O234" s="206" t="str">
        <f t="shared" si="63"/>
        <v/>
      </c>
      <c r="P234" s="165" t="str">
        <f t="shared" si="64"/>
        <v/>
      </c>
      <c r="Q234" s="207"/>
      <c r="R234" s="141" t="str">
        <f>IF(S234="IN",'BOM_Phan II'!$Y$3,"")</f>
        <v/>
      </c>
      <c r="S234" s="153" t="str">
        <f t="shared" si="65"/>
        <v/>
      </c>
      <c r="T234">
        <f t="shared" si="66"/>
        <v>6</v>
      </c>
      <c r="U234" s="208" t="str">
        <f t="shared" si="74"/>
        <v>KIỆN 9</v>
      </c>
      <c r="V234" s="208" t="str">
        <f t="shared" si="67"/>
        <v/>
      </c>
      <c r="W234" s="240"/>
      <c r="X234" s="240"/>
      <c r="Y234" s="240" t="str">
        <f t="shared" si="68"/>
        <v/>
      </c>
      <c r="Z234" s="240"/>
      <c r="AD234" s="232" t="str">
        <f t="shared" si="69"/>
        <v/>
      </c>
      <c r="AE234" s="204"/>
      <c r="AX234" s="3" t="str">
        <f t="shared" si="59"/>
        <v/>
      </c>
    </row>
    <row r="235" spans="1:50" s="155" customFormat="1" ht="30" hidden="1" customHeight="1">
      <c r="A235" s="141" t="str">
        <f t="shared" si="70"/>
        <v/>
      </c>
      <c r="B235" s="141" t="str">
        <f t="shared" si="71"/>
        <v/>
      </c>
      <c r="C235" s="205" t="str" cm="1">
        <f t="array" ref="C235">IF(D235="","",
    IF(AND(ISNUMBER(D235), D235=INT(D235)),
        $V$6 &amp; " " &amp; (IFERROR(MAX($Y$12:$Y234), 0) + 1),
        IF(ISNUMBER(SEARCH(".", D235)), "", INDEX($C$12:$C235, MATCH(2, 1/($C$12:$C235 &lt;&gt; ""))))
    )
)</f>
        <v/>
      </c>
      <c r="D235" s="206"/>
      <c r="E235" s="206" t="str">
        <f>IF(AA235 = "", "",
    IF(ISNUMBER(SEARCH("Kiện", C235)),
       " GÓI " &amp; COUNTIF($C$13:C235, "*Kiện*") &amp; "/" &amp; COUNTIF($C$13:$C$1000, "*Kiện*") &amp; " " &amp; AA235,
       AA235)
)</f>
        <v/>
      </c>
      <c r="F235" s="206"/>
      <c r="G235" s="206"/>
      <c r="H235" s="206"/>
      <c r="I235" s="206"/>
      <c r="J235" s="206" t="str">
        <f t="shared" si="72"/>
        <v/>
      </c>
      <c r="K235" s="206" t="str">
        <f t="shared" si="60"/>
        <v/>
      </c>
      <c r="L235" s="206" t="str">
        <f t="shared" si="61"/>
        <v/>
      </c>
      <c r="M235" s="206" t="str">
        <f t="shared" si="62"/>
        <v/>
      </c>
      <c r="N235" s="206" t="str">
        <f t="shared" si="73"/>
        <v/>
      </c>
      <c r="O235" s="206" t="str">
        <f t="shared" si="63"/>
        <v/>
      </c>
      <c r="P235" s="165" t="str">
        <f t="shared" si="64"/>
        <v/>
      </c>
      <c r="Q235" s="207"/>
      <c r="R235" s="141" t="str">
        <f>IF(S235="IN",'BOM_Phan II'!$Y$3,"")</f>
        <v/>
      </c>
      <c r="S235" s="153" t="str">
        <f t="shared" si="65"/>
        <v/>
      </c>
      <c r="T235">
        <f t="shared" si="66"/>
        <v>6</v>
      </c>
      <c r="U235" s="208" t="str">
        <f t="shared" si="74"/>
        <v>KIỆN 9</v>
      </c>
      <c r="V235" s="208" t="str">
        <f t="shared" si="67"/>
        <v/>
      </c>
      <c r="W235" s="240"/>
      <c r="X235" s="240"/>
      <c r="Y235" s="240" t="str">
        <f t="shared" si="68"/>
        <v/>
      </c>
      <c r="Z235" s="240"/>
      <c r="AD235" s="232" t="str">
        <f t="shared" si="69"/>
        <v/>
      </c>
      <c r="AE235" s="204"/>
      <c r="AX235" s="3" t="str">
        <f t="shared" si="59"/>
        <v/>
      </c>
    </row>
    <row r="236" spans="1:50" s="155" customFormat="1" ht="30" hidden="1" customHeight="1">
      <c r="A236" s="141" t="str">
        <f t="shared" si="70"/>
        <v/>
      </c>
      <c r="B236" s="141" t="str">
        <f t="shared" si="71"/>
        <v/>
      </c>
      <c r="C236" s="205" t="str" cm="1">
        <f t="array" ref="C236">IF(D236="","",
    IF(AND(ISNUMBER(D236), D236=INT(D236)),
        $V$6 &amp; " " &amp; (IFERROR(MAX($Y$12:$Y235), 0) + 1),
        IF(ISNUMBER(SEARCH(".", D236)), "", INDEX($C$12:$C236, MATCH(2, 1/($C$12:$C236 &lt;&gt; ""))))
    )
)</f>
        <v/>
      </c>
      <c r="D236" s="206"/>
      <c r="E236" s="206" t="str">
        <f>IF(AA236 = "", "",
    IF(ISNUMBER(SEARCH("Kiện", C236)),
       " GÓI " &amp; COUNTIF($C$13:C236, "*Kiện*") &amp; "/" &amp; COUNTIF($C$13:$C$1000, "*Kiện*") &amp; " " &amp; AA236,
       AA236)
)</f>
        <v/>
      </c>
      <c r="F236" s="206"/>
      <c r="G236" s="206"/>
      <c r="H236" s="206"/>
      <c r="I236" s="206"/>
      <c r="J236" s="206" t="str">
        <f t="shared" si="72"/>
        <v/>
      </c>
      <c r="K236" s="206" t="str">
        <f t="shared" si="60"/>
        <v/>
      </c>
      <c r="L236" s="206" t="str">
        <f t="shared" si="61"/>
        <v/>
      </c>
      <c r="M236" s="206" t="str">
        <f t="shared" si="62"/>
        <v/>
      </c>
      <c r="N236" s="206" t="str">
        <f t="shared" si="73"/>
        <v/>
      </c>
      <c r="O236" s="206" t="str">
        <f t="shared" si="63"/>
        <v/>
      </c>
      <c r="P236" s="165" t="str">
        <f t="shared" si="64"/>
        <v/>
      </c>
      <c r="Q236" s="207"/>
      <c r="R236" s="141" t="str">
        <f>IF(S236="IN",'BOM_Phan II'!$Y$3,"")</f>
        <v/>
      </c>
      <c r="S236" s="153" t="str">
        <f t="shared" si="65"/>
        <v/>
      </c>
      <c r="T236">
        <f t="shared" si="66"/>
        <v>6</v>
      </c>
      <c r="U236" s="208" t="str">
        <f t="shared" si="74"/>
        <v>KIỆN 9</v>
      </c>
      <c r="V236" s="208" t="str">
        <f t="shared" si="67"/>
        <v/>
      </c>
      <c r="W236" s="240"/>
      <c r="X236" s="240"/>
      <c r="Y236" s="240" t="str">
        <f t="shared" si="68"/>
        <v/>
      </c>
      <c r="Z236" s="240"/>
      <c r="AD236" s="232" t="str">
        <f t="shared" si="69"/>
        <v/>
      </c>
      <c r="AE236" s="204"/>
      <c r="AX236" s="3" t="str">
        <f t="shared" si="59"/>
        <v/>
      </c>
    </row>
    <row r="237" spans="1:50" s="155" customFormat="1" ht="30" hidden="1" customHeight="1">
      <c r="A237" s="141" t="str">
        <f t="shared" si="70"/>
        <v/>
      </c>
      <c r="B237" s="141" t="str">
        <f t="shared" si="71"/>
        <v/>
      </c>
      <c r="C237" s="205" t="str" cm="1">
        <f t="array" ref="C237">IF(D237="","",
    IF(AND(ISNUMBER(D237), D237=INT(D237)),
        $V$6 &amp; " " &amp; (IFERROR(MAX($Y$12:$Y236), 0) + 1),
        IF(ISNUMBER(SEARCH(".", D237)), "", INDEX($C$12:$C237, MATCH(2, 1/($C$12:$C237 &lt;&gt; ""))))
    )
)</f>
        <v/>
      </c>
      <c r="D237" s="206"/>
      <c r="E237" s="206" t="str">
        <f>IF(AA237 = "", "",
    IF(ISNUMBER(SEARCH("Kiện", C237)),
       " GÓI " &amp; COUNTIF($C$13:C237, "*Kiện*") &amp; "/" &amp; COUNTIF($C$13:$C$1000, "*Kiện*") &amp; " " &amp; AA237,
       AA237)
)</f>
        <v/>
      </c>
      <c r="F237" s="206"/>
      <c r="G237" s="206"/>
      <c r="H237" s="206"/>
      <c r="I237" s="206"/>
      <c r="J237" s="206" t="str">
        <f t="shared" si="72"/>
        <v/>
      </c>
      <c r="K237" s="206" t="str">
        <f t="shared" si="60"/>
        <v/>
      </c>
      <c r="L237" s="206" t="str">
        <f t="shared" si="61"/>
        <v/>
      </c>
      <c r="M237" s="206" t="str">
        <f t="shared" si="62"/>
        <v/>
      </c>
      <c r="N237" s="206" t="str">
        <f t="shared" si="73"/>
        <v/>
      </c>
      <c r="O237" s="206" t="str">
        <f t="shared" si="63"/>
        <v/>
      </c>
      <c r="P237" s="165" t="str">
        <f t="shared" si="64"/>
        <v/>
      </c>
      <c r="Q237" s="207"/>
      <c r="R237" s="141" t="str">
        <f>IF(S237="IN",'BOM_Phan II'!$Y$3,"")</f>
        <v/>
      </c>
      <c r="S237" s="153" t="str">
        <f t="shared" si="65"/>
        <v/>
      </c>
      <c r="T237">
        <f t="shared" si="66"/>
        <v>6</v>
      </c>
      <c r="U237" s="208" t="str">
        <f t="shared" si="74"/>
        <v>KIỆN 9</v>
      </c>
      <c r="V237" s="208" t="str">
        <f t="shared" si="67"/>
        <v/>
      </c>
      <c r="W237" s="240"/>
      <c r="X237" s="240"/>
      <c r="Y237" s="240" t="str">
        <f t="shared" si="68"/>
        <v/>
      </c>
      <c r="Z237" s="240"/>
      <c r="AD237" s="232" t="str">
        <f t="shared" si="69"/>
        <v/>
      </c>
      <c r="AE237" s="204"/>
      <c r="AX237" s="3" t="str">
        <f t="shared" si="59"/>
        <v/>
      </c>
    </row>
    <row r="238" spans="1:50" s="155" customFormat="1" ht="30" hidden="1" customHeight="1">
      <c r="A238" s="141" t="str">
        <f t="shared" si="70"/>
        <v/>
      </c>
      <c r="B238" s="141" t="str">
        <f t="shared" si="71"/>
        <v/>
      </c>
      <c r="C238" s="205" t="str" cm="1">
        <f t="array" ref="C238">IF(D238="","",
    IF(AND(ISNUMBER(D238), D238=INT(D238)),
        $V$6 &amp; " " &amp; (IFERROR(MAX($Y$12:$Y237), 0) + 1),
        IF(ISNUMBER(SEARCH(".", D238)), "", INDEX($C$12:$C238, MATCH(2, 1/($C$12:$C238 &lt;&gt; ""))))
    )
)</f>
        <v/>
      </c>
      <c r="D238" s="206"/>
      <c r="E238" s="206" t="str">
        <f>IF(AA238 = "", "",
    IF(ISNUMBER(SEARCH("Kiện", C238)),
       " GÓI " &amp; COUNTIF($C$13:C238, "*Kiện*") &amp; "/" &amp; COUNTIF($C$13:$C$1000, "*Kiện*") &amp; " " &amp; AA238,
       AA238)
)</f>
        <v/>
      </c>
      <c r="F238" s="206"/>
      <c r="G238" s="206"/>
      <c r="H238" s="206"/>
      <c r="I238" s="206"/>
      <c r="J238" s="206" t="str">
        <f t="shared" si="72"/>
        <v/>
      </c>
      <c r="K238" s="206" t="str">
        <f t="shared" si="60"/>
        <v/>
      </c>
      <c r="L238" s="206" t="str">
        <f t="shared" si="61"/>
        <v/>
      </c>
      <c r="M238" s="206" t="str">
        <f t="shared" si="62"/>
        <v/>
      </c>
      <c r="N238" s="206" t="str">
        <f t="shared" si="73"/>
        <v/>
      </c>
      <c r="O238" s="206" t="str">
        <f t="shared" si="63"/>
        <v/>
      </c>
      <c r="P238" s="165" t="str">
        <f t="shared" si="64"/>
        <v/>
      </c>
      <c r="Q238" s="207"/>
      <c r="R238" s="141" t="str">
        <f>IF(S238="IN",'BOM_Phan II'!$Y$3,"")</f>
        <v/>
      </c>
      <c r="S238" s="153" t="str">
        <f t="shared" si="65"/>
        <v/>
      </c>
      <c r="T238">
        <f t="shared" si="66"/>
        <v>6</v>
      </c>
      <c r="U238" s="208" t="str">
        <f t="shared" si="74"/>
        <v>KIỆN 9</v>
      </c>
      <c r="V238" s="208" t="str">
        <f t="shared" si="67"/>
        <v/>
      </c>
      <c r="W238" s="240"/>
      <c r="X238" s="240"/>
      <c r="Y238" s="240" t="str">
        <f t="shared" si="68"/>
        <v/>
      </c>
      <c r="Z238" s="240"/>
      <c r="AD238" s="232" t="str">
        <f t="shared" si="69"/>
        <v/>
      </c>
      <c r="AE238" s="204"/>
      <c r="AX238" s="3" t="str">
        <f t="shared" si="59"/>
        <v/>
      </c>
    </row>
    <row r="239" spans="1:50" s="155" customFormat="1" ht="30" hidden="1" customHeight="1">
      <c r="A239" s="141" t="str">
        <f t="shared" si="70"/>
        <v/>
      </c>
      <c r="B239" s="141" t="str">
        <f t="shared" si="71"/>
        <v/>
      </c>
      <c r="C239" s="205" t="str" cm="1">
        <f t="array" ref="C239">IF(D239="","",
    IF(AND(ISNUMBER(D239), D239=INT(D239)),
        $V$6 &amp; " " &amp; (IFERROR(MAX($Y$12:$Y238), 0) + 1),
        IF(ISNUMBER(SEARCH(".", D239)), "", INDEX($C$12:$C239, MATCH(2, 1/($C$12:$C239 &lt;&gt; ""))))
    )
)</f>
        <v/>
      </c>
      <c r="D239" s="206"/>
      <c r="E239" s="206" t="str">
        <f>IF(AA239 = "", "",
    IF(ISNUMBER(SEARCH("Kiện", C239)),
       " GÓI " &amp; COUNTIF($C$13:C239, "*Kiện*") &amp; "/" &amp; COUNTIF($C$13:$C$1000, "*Kiện*") &amp; " " &amp; AA239,
       AA239)
)</f>
        <v/>
      </c>
      <c r="F239" s="206"/>
      <c r="G239" s="206"/>
      <c r="H239" s="206"/>
      <c r="I239" s="206"/>
      <c r="J239" s="206" t="str">
        <f t="shared" si="72"/>
        <v/>
      </c>
      <c r="K239" s="206" t="str">
        <f t="shared" si="60"/>
        <v/>
      </c>
      <c r="L239" s="206" t="str">
        <f t="shared" si="61"/>
        <v/>
      </c>
      <c r="M239" s="206" t="str">
        <f t="shared" si="62"/>
        <v/>
      </c>
      <c r="N239" s="206" t="str">
        <f t="shared" si="73"/>
        <v/>
      </c>
      <c r="O239" s="206" t="str">
        <f t="shared" si="63"/>
        <v/>
      </c>
      <c r="P239" s="165" t="str">
        <f t="shared" si="64"/>
        <v/>
      </c>
      <c r="Q239" s="207"/>
      <c r="R239" s="141" t="str">
        <f>IF(S239="IN",'BOM_Phan II'!$Y$3,"")</f>
        <v/>
      </c>
      <c r="S239" s="153" t="str">
        <f t="shared" si="65"/>
        <v/>
      </c>
      <c r="T239">
        <f t="shared" si="66"/>
        <v>6</v>
      </c>
      <c r="U239" s="208" t="str">
        <f t="shared" si="74"/>
        <v>KIỆN 9</v>
      </c>
      <c r="V239" s="208" t="str">
        <f t="shared" si="67"/>
        <v/>
      </c>
      <c r="W239" s="240"/>
      <c r="X239" s="240"/>
      <c r="Y239" s="240" t="str">
        <f t="shared" si="68"/>
        <v/>
      </c>
      <c r="Z239" s="240"/>
      <c r="AD239" s="232" t="str">
        <f t="shared" si="69"/>
        <v/>
      </c>
      <c r="AE239" s="204"/>
      <c r="AX239" s="3" t="str">
        <f t="shared" si="59"/>
        <v/>
      </c>
    </row>
    <row r="240" spans="1:50" s="155" customFormat="1" ht="30" hidden="1" customHeight="1">
      <c r="A240" s="141" t="str">
        <f t="shared" si="70"/>
        <v/>
      </c>
      <c r="B240" s="141" t="str">
        <f t="shared" si="71"/>
        <v/>
      </c>
      <c r="C240" s="205" t="str" cm="1">
        <f t="array" ref="C240">IF(D240="","",
    IF(AND(ISNUMBER(D240), D240=INT(D240)),
        $V$6 &amp; " " &amp; (IFERROR(MAX($Y$12:$Y239), 0) + 1),
        IF(ISNUMBER(SEARCH(".", D240)), "", INDEX($C$12:$C240, MATCH(2, 1/($C$12:$C240 &lt;&gt; ""))))
    )
)</f>
        <v/>
      </c>
      <c r="D240" s="206"/>
      <c r="E240" s="206" t="str">
        <f>IF(AA240 = "", "",
    IF(ISNUMBER(SEARCH("Kiện", C240)),
       " GÓI " &amp; COUNTIF($C$13:C240, "*Kiện*") &amp; "/" &amp; COUNTIF($C$13:$C$1000, "*Kiện*") &amp; " " &amp; AA240,
       AA240)
)</f>
        <v/>
      </c>
      <c r="F240" s="206"/>
      <c r="G240" s="206"/>
      <c r="H240" s="206"/>
      <c r="I240" s="206"/>
      <c r="J240" s="206" t="str">
        <f t="shared" si="72"/>
        <v/>
      </c>
      <c r="K240" s="206" t="str">
        <f t="shared" si="60"/>
        <v/>
      </c>
      <c r="L240" s="206" t="str">
        <f t="shared" si="61"/>
        <v/>
      </c>
      <c r="M240" s="206" t="str">
        <f t="shared" si="62"/>
        <v/>
      </c>
      <c r="N240" s="206" t="str">
        <f t="shared" si="73"/>
        <v/>
      </c>
      <c r="O240" s="206" t="str">
        <f t="shared" si="63"/>
        <v/>
      </c>
      <c r="P240" s="165" t="str">
        <f t="shared" si="64"/>
        <v/>
      </c>
      <c r="Q240" s="207"/>
      <c r="R240" s="141" t="str">
        <f>IF(S240="IN",'BOM_Phan II'!$Y$3,"")</f>
        <v/>
      </c>
      <c r="S240" s="153" t="str">
        <f t="shared" si="65"/>
        <v/>
      </c>
      <c r="T240">
        <f t="shared" si="66"/>
        <v>6</v>
      </c>
      <c r="U240" s="208" t="str">
        <f t="shared" si="74"/>
        <v>KIỆN 9</v>
      </c>
      <c r="V240" s="208" t="str">
        <f t="shared" si="67"/>
        <v/>
      </c>
      <c r="W240" s="240"/>
      <c r="X240" s="240"/>
      <c r="Y240" s="240" t="str">
        <f t="shared" si="68"/>
        <v/>
      </c>
      <c r="Z240" s="240"/>
      <c r="AD240" s="232" t="str">
        <f t="shared" si="69"/>
        <v/>
      </c>
      <c r="AE240" s="204"/>
      <c r="AX240" s="3" t="str">
        <f t="shared" si="59"/>
        <v/>
      </c>
    </row>
    <row r="241" spans="1:50" s="155" customFormat="1" ht="30" hidden="1" customHeight="1">
      <c r="A241" s="141" t="str">
        <f t="shared" si="70"/>
        <v/>
      </c>
      <c r="B241" s="141" t="str">
        <f t="shared" si="71"/>
        <v/>
      </c>
      <c r="C241" s="205" t="str" cm="1">
        <f t="array" ref="C241">IF(D241="","",
    IF(AND(ISNUMBER(D241), D241=INT(D241)),
        $V$6 &amp; " " &amp; (IFERROR(MAX($Y$12:$Y240), 0) + 1),
        IF(ISNUMBER(SEARCH(".", D241)), "", INDEX($C$12:$C241, MATCH(2, 1/($C$12:$C241 &lt;&gt; ""))))
    )
)</f>
        <v/>
      </c>
      <c r="D241" s="206"/>
      <c r="E241" s="206" t="str">
        <f>IF(AA241 = "", "",
    IF(ISNUMBER(SEARCH("Kiện", C241)),
       " GÓI " &amp; COUNTIF($C$13:C241, "*Kiện*") &amp; "/" &amp; COUNTIF($C$13:$C$1000, "*Kiện*") &amp; " " &amp; AA241,
       AA241)
)</f>
        <v/>
      </c>
      <c r="F241" s="206"/>
      <c r="G241" s="206"/>
      <c r="H241" s="206"/>
      <c r="I241" s="206"/>
      <c r="J241" s="206" t="str">
        <f t="shared" si="72"/>
        <v/>
      </c>
      <c r="K241" s="206" t="str">
        <f t="shared" si="60"/>
        <v/>
      </c>
      <c r="L241" s="206" t="str">
        <f t="shared" si="61"/>
        <v/>
      </c>
      <c r="M241" s="206" t="str">
        <f t="shared" si="62"/>
        <v/>
      </c>
      <c r="N241" s="206" t="str">
        <f t="shared" si="73"/>
        <v/>
      </c>
      <c r="O241" s="206" t="str">
        <f t="shared" si="63"/>
        <v/>
      </c>
      <c r="P241" s="165" t="str">
        <f t="shared" si="64"/>
        <v/>
      </c>
      <c r="Q241" s="207"/>
      <c r="R241" s="141" t="str">
        <f>IF(S241="IN",'BOM_Phan II'!$Y$3,"")</f>
        <v/>
      </c>
      <c r="S241" s="153" t="str">
        <f t="shared" si="65"/>
        <v/>
      </c>
      <c r="T241">
        <f t="shared" si="66"/>
        <v>6</v>
      </c>
      <c r="U241" s="208" t="str">
        <f t="shared" si="74"/>
        <v>KIỆN 9</v>
      </c>
      <c r="V241" s="208" t="str">
        <f t="shared" si="67"/>
        <v/>
      </c>
      <c r="W241" s="240"/>
      <c r="X241" s="240"/>
      <c r="Y241" s="240" t="str">
        <f t="shared" si="68"/>
        <v/>
      </c>
      <c r="Z241" s="240"/>
      <c r="AD241" s="232" t="str">
        <f t="shared" si="69"/>
        <v/>
      </c>
      <c r="AE241" s="204"/>
      <c r="AX241" s="3" t="str">
        <f t="shared" si="59"/>
        <v/>
      </c>
    </row>
    <row r="242" spans="1:50" s="155" customFormat="1" ht="30" hidden="1" customHeight="1">
      <c r="A242" s="141" t="str">
        <f t="shared" si="70"/>
        <v/>
      </c>
      <c r="B242" s="141" t="str">
        <f t="shared" si="71"/>
        <v/>
      </c>
      <c r="C242" s="205" t="str" cm="1">
        <f t="array" ref="C242">IF(D242="","",
    IF(AND(ISNUMBER(D242), D242=INT(D242)),
        $V$6 &amp; " " &amp; (IFERROR(MAX($Y$12:$Y241), 0) + 1),
        IF(ISNUMBER(SEARCH(".", D242)), "", INDEX($C$12:$C242, MATCH(2, 1/($C$12:$C242 &lt;&gt; ""))))
    )
)</f>
        <v/>
      </c>
      <c r="D242" s="206"/>
      <c r="E242" s="206" t="str">
        <f>IF(AA242 = "", "",
    IF(ISNUMBER(SEARCH("Kiện", C242)),
       " GÓI " &amp; COUNTIF($C$13:C242, "*Kiện*") &amp; "/" &amp; COUNTIF($C$13:$C$1000, "*Kiện*") &amp; " " &amp; AA242,
       AA242)
)</f>
        <v/>
      </c>
      <c r="F242" s="206"/>
      <c r="G242" s="206"/>
      <c r="H242" s="206"/>
      <c r="I242" s="206"/>
      <c r="J242" s="206" t="str">
        <f t="shared" si="72"/>
        <v/>
      </c>
      <c r="K242" s="206" t="str">
        <f t="shared" si="60"/>
        <v/>
      </c>
      <c r="L242" s="206" t="str">
        <f t="shared" si="61"/>
        <v/>
      </c>
      <c r="M242" s="206" t="str">
        <f t="shared" si="62"/>
        <v/>
      </c>
      <c r="N242" s="206" t="str">
        <f t="shared" si="73"/>
        <v/>
      </c>
      <c r="O242" s="206" t="str">
        <f t="shared" si="63"/>
        <v/>
      </c>
      <c r="P242" s="165" t="str">
        <f t="shared" si="64"/>
        <v/>
      </c>
      <c r="Q242" s="207"/>
      <c r="R242" s="141" t="str">
        <f>IF(S242="IN",'BOM_Phan II'!$Y$3,"")</f>
        <v/>
      </c>
      <c r="S242" s="153" t="str">
        <f t="shared" si="65"/>
        <v/>
      </c>
      <c r="T242">
        <f t="shared" si="66"/>
        <v>6</v>
      </c>
      <c r="U242" s="208" t="str">
        <f t="shared" si="74"/>
        <v>KIỆN 9</v>
      </c>
      <c r="V242" s="208" t="str">
        <f t="shared" si="67"/>
        <v/>
      </c>
      <c r="W242" s="240"/>
      <c r="X242" s="240"/>
      <c r="Y242" s="240" t="str">
        <f t="shared" si="68"/>
        <v/>
      </c>
      <c r="Z242" s="240"/>
      <c r="AD242" s="232" t="str">
        <f t="shared" si="69"/>
        <v/>
      </c>
      <c r="AE242" s="204"/>
      <c r="AX242" s="3" t="str">
        <f t="shared" si="59"/>
        <v/>
      </c>
    </row>
    <row r="243" spans="1:50" s="155" customFormat="1" ht="30" hidden="1" customHeight="1">
      <c r="A243" s="141" t="str">
        <f t="shared" si="70"/>
        <v/>
      </c>
      <c r="B243" s="141" t="str">
        <f t="shared" si="71"/>
        <v/>
      </c>
      <c r="C243" s="205" t="str" cm="1">
        <f t="array" ref="C243">IF(D243="","",
    IF(AND(ISNUMBER(D243), D243=INT(D243)),
        $V$6 &amp; " " &amp; (IFERROR(MAX($Y$12:$Y242), 0) + 1),
        IF(ISNUMBER(SEARCH(".", D243)), "", INDEX($C$12:$C243, MATCH(2, 1/($C$12:$C243 &lt;&gt; ""))))
    )
)</f>
        <v/>
      </c>
      <c r="D243" s="206"/>
      <c r="E243" s="206" t="str">
        <f>IF(AA243 = "", "",
    IF(ISNUMBER(SEARCH("Kiện", C243)),
       " GÓI " &amp; COUNTIF($C$13:C243, "*Kiện*") &amp; "/" &amp; COUNTIF($C$13:$C$1000, "*Kiện*") &amp; " " &amp; AA243,
       AA243)
)</f>
        <v/>
      </c>
      <c r="F243" s="206"/>
      <c r="G243" s="206"/>
      <c r="H243" s="206"/>
      <c r="I243" s="206"/>
      <c r="J243" s="206" t="str">
        <f t="shared" si="72"/>
        <v/>
      </c>
      <c r="K243" s="206" t="str">
        <f t="shared" si="60"/>
        <v/>
      </c>
      <c r="L243" s="206" t="str">
        <f t="shared" si="61"/>
        <v/>
      </c>
      <c r="M243" s="206" t="str">
        <f t="shared" si="62"/>
        <v/>
      </c>
      <c r="N243" s="206" t="str">
        <f t="shared" si="73"/>
        <v/>
      </c>
      <c r="O243" s="206" t="str">
        <f t="shared" si="63"/>
        <v/>
      </c>
      <c r="P243" s="165" t="str">
        <f t="shared" si="64"/>
        <v/>
      </c>
      <c r="Q243" s="207"/>
      <c r="R243" s="141" t="str">
        <f>IF(S243="IN",'BOM_Phan II'!$Y$3,"")</f>
        <v/>
      </c>
      <c r="S243" s="153" t="str">
        <f t="shared" si="65"/>
        <v/>
      </c>
      <c r="T243">
        <f t="shared" si="66"/>
        <v>6</v>
      </c>
      <c r="U243" s="208" t="str">
        <f t="shared" si="74"/>
        <v>KIỆN 9</v>
      </c>
      <c r="V243" s="208" t="str">
        <f t="shared" si="67"/>
        <v/>
      </c>
      <c r="W243" s="240"/>
      <c r="X243" s="240"/>
      <c r="Y243" s="240" t="str">
        <f t="shared" si="68"/>
        <v/>
      </c>
      <c r="Z243" s="240"/>
      <c r="AD243" s="232" t="str">
        <f t="shared" si="69"/>
        <v/>
      </c>
      <c r="AE243" s="204"/>
      <c r="AX243" s="3" t="str">
        <f t="shared" si="59"/>
        <v/>
      </c>
    </row>
    <row r="244" spans="1:50" s="155" customFormat="1" ht="30" hidden="1" customHeight="1">
      <c r="A244" s="141" t="str">
        <f t="shared" si="70"/>
        <v/>
      </c>
      <c r="B244" s="141" t="str">
        <f t="shared" si="71"/>
        <v/>
      </c>
      <c r="C244" s="205" t="str" cm="1">
        <f t="array" ref="C244">IF(D244="","",
    IF(AND(ISNUMBER(D244), D244=INT(D244)),
        $V$6 &amp; " " &amp; (IFERROR(MAX($Y$12:$Y243), 0) + 1),
        IF(ISNUMBER(SEARCH(".", D244)), "", INDEX($C$12:$C244, MATCH(2, 1/($C$12:$C244 &lt;&gt; ""))))
    )
)</f>
        <v/>
      </c>
      <c r="D244" s="206"/>
      <c r="E244" s="206" t="str">
        <f>IF(AA244 = "", "",
    IF(ISNUMBER(SEARCH("Kiện", C244)),
       " GÓI " &amp; COUNTIF($C$13:C244, "*Kiện*") &amp; "/" &amp; COUNTIF($C$13:$C$1000, "*Kiện*") &amp; " " &amp; AA244,
       AA244)
)</f>
        <v/>
      </c>
      <c r="F244" s="206"/>
      <c r="G244" s="206"/>
      <c r="H244" s="206"/>
      <c r="I244" s="206"/>
      <c r="J244" s="206" t="str">
        <f t="shared" si="72"/>
        <v/>
      </c>
      <c r="K244" s="206" t="str">
        <f t="shared" si="60"/>
        <v/>
      </c>
      <c r="L244" s="206" t="str">
        <f t="shared" si="61"/>
        <v/>
      </c>
      <c r="M244" s="206" t="str">
        <f t="shared" si="62"/>
        <v/>
      </c>
      <c r="N244" s="206" t="str">
        <f t="shared" si="73"/>
        <v/>
      </c>
      <c r="O244" s="206" t="str">
        <f t="shared" si="63"/>
        <v/>
      </c>
      <c r="P244" s="165" t="str">
        <f t="shared" si="64"/>
        <v/>
      </c>
      <c r="Q244" s="207"/>
      <c r="R244" s="141" t="str">
        <f>IF(S244="IN",'BOM_Phan II'!$Y$3,"")</f>
        <v/>
      </c>
      <c r="S244" s="153" t="str">
        <f t="shared" si="65"/>
        <v/>
      </c>
      <c r="T244">
        <f t="shared" si="66"/>
        <v>6</v>
      </c>
      <c r="U244" s="208" t="str">
        <f t="shared" si="74"/>
        <v>KIỆN 9</v>
      </c>
      <c r="V244" s="208" t="str">
        <f t="shared" si="67"/>
        <v/>
      </c>
      <c r="W244" s="240"/>
      <c r="X244" s="240"/>
      <c r="Y244" s="240" t="str">
        <f t="shared" si="68"/>
        <v/>
      </c>
      <c r="Z244" s="240"/>
      <c r="AD244" s="232" t="str">
        <f t="shared" si="69"/>
        <v/>
      </c>
      <c r="AE244" s="204"/>
      <c r="AX244" s="3" t="str">
        <f t="shared" si="59"/>
        <v/>
      </c>
    </row>
    <row r="245" spans="1:50" s="155" customFormat="1" ht="30" hidden="1" customHeight="1">
      <c r="A245" s="141" t="str">
        <f t="shared" si="70"/>
        <v/>
      </c>
      <c r="B245" s="141" t="str">
        <f t="shared" si="71"/>
        <v/>
      </c>
      <c r="C245" s="205" t="str" cm="1">
        <f t="array" ref="C245">IF(D245="","",
    IF(AND(ISNUMBER(D245), D245=INT(D245)),
        $V$6 &amp; " " &amp; (IFERROR(MAX($Y$12:$Y244), 0) + 1),
        IF(ISNUMBER(SEARCH(".", D245)), "", INDEX($C$12:$C245, MATCH(2, 1/($C$12:$C245 &lt;&gt; ""))))
    )
)</f>
        <v/>
      </c>
      <c r="D245" s="206"/>
      <c r="E245" s="206" t="str">
        <f>IF(AA245 = "", "",
    IF(ISNUMBER(SEARCH("Kiện", C245)),
       " GÓI " &amp; COUNTIF($C$13:C245, "*Kiện*") &amp; "/" &amp; COUNTIF($C$13:$C$1000, "*Kiện*") &amp; " " &amp; AA245,
       AA245)
)</f>
        <v/>
      </c>
      <c r="F245" s="206"/>
      <c r="G245" s="206"/>
      <c r="H245" s="206"/>
      <c r="I245" s="206"/>
      <c r="J245" s="206" t="str">
        <f t="shared" si="72"/>
        <v/>
      </c>
      <c r="K245" s="206" t="str">
        <f t="shared" si="60"/>
        <v/>
      </c>
      <c r="L245" s="206" t="str">
        <f t="shared" si="61"/>
        <v/>
      </c>
      <c r="M245" s="206" t="str">
        <f t="shared" si="62"/>
        <v/>
      </c>
      <c r="N245" s="206" t="str">
        <f t="shared" si="73"/>
        <v/>
      </c>
      <c r="O245" s="206" t="str">
        <f t="shared" si="63"/>
        <v/>
      </c>
      <c r="P245" s="165" t="str">
        <f t="shared" si="64"/>
        <v/>
      </c>
      <c r="Q245" s="207"/>
      <c r="R245" s="141" t="str">
        <f>IF(S245="IN",'BOM_Phan II'!$Y$3,"")</f>
        <v/>
      </c>
      <c r="S245" s="153" t="str">
        <f t="shared" si="65"/>
        <v/>
      </c>
      <c r="T245">
        <f t="shared" si="66"/>
        <v>6</v>
      </c>
      <c r="U245" s="208" t="str">
        <f t="shared" si="74"/>
        <v>KIỆN 9</v>
      </c>
      <c r="V245" s="208" t="str">
        <f t="shared" si="67"/>
        <v/>
      </c>
      <c r="W245" s="240"/>
      <c r="X245" s="240"/>
      <c r="Y245" s="240" t="str">
        <f t="shared" si="68"/>
        <v/>
      </c>
      <c r="Z245" s="240"/>
      <c r="AD245" s="232" t="str">
        <f t="shared" si="69"/>
        <v/>
      </c>
      <c r="AE245" s="204"/>
      <c r="AX245" s="3" t="str">
        <f t="shared" si="59"/>
        <v/>
      </c>
    </row>
    <row r="246" spans="1:50" s="155" customFormat="1" ht="30" hidden="1" customHeight="1">
      <c r="A246" s="141" t="str">
        <f t="shared" si="70"/>
        <v/>
      </c>
      <c r="B246" s="141" t="str">
        <f t="shared" si="71"/>
        <v/>
      </c>
      <c r="C246" s="205" t="str" cm="1">
        <f t="array" ref="C246">IF(D246="","",
    IF(AND(ISNUMBER(D246), D246=INT(D246)),
        $V$6 &amp; " " &amp; (IFERROR(MAX($Y$12:$Y245), 0) + 1),
        IF(ISNUMBER(SEARCH(".", D246)), "", INDEX($C$12:$C246, MATCH(2, 1/($C$12:$C246 &lt;&gt; ""))))
    )
)</f>
        <v/>
      </c>
      <c r="D246" s="206"/>
      <c r="E246" s="206" t="str">
        <f>IF(AA246 = "", "",
    IF(ISNUMBER(SEARCH("Kiện", C246)),
       " GÓI " &amp; COUNTIF($C$13:C246, "*Kiện*") &amp; "/" &amp; COUNTIF($C$13:$C$1000, "*Kiện*") &amp; " " &amp; AA246,
       AA246)
)</f>
        <v/>
      </c>
      <c r="F246" s="206"/>
      <c r="G246" s="206"/>
      <c r="H246" s="206"/>
      <c r="I246" s="206"/>
      <c r="J246" s="206" t="str">
        <f t="shared" si="72"/>
        <v/>
      </c>
      <c r="K246" s="206" t="str">
        <f t="shared" si="60"/>
        <v/>
      </c>
      <c r="L246" s="206" t="str">
        <f t="shared" si="61"/>
        <v/>
      </c>
      <c r="M246" s="206" t="str">
        <f t="shared" si="62"/>
        <v/>
      </c>
      <c r="N246" s="206" t="str">
        <f t="shared" si="73"/>
        <v/>
      </c>
      <c r="O246" s="206" t="str">
        <f t="shared" si="63"/>
        <v/>
      </c>
      <c r="P246" s="165" t="str">
        <f t="shared" si="64"/>
        <v/>
      </c>
      <c r="Q246" s="207"/>
      <c r="R246" s="141" t="str">
        <f>IF(S246="IN",'BOM_Phan II'!$Y$3,"")</f>
        <v/>
      </c>
      <c r="S246" s="153" t="str">
        <f t="shared" si="65"/>
        <v/>
      </c>
      <c r="T246">
        <f t="shared" si="66"/>
        <v>6</v>
      </c>
      <c r="U246" s="208" t="str">
        <f t="shared" si="74"/>
        <v>KIỆN 9</v>
      </c>
      <c r="V246" s="208" t="str">
        <f t="shared" si="67"/>
        <v/>
      </c>
      <c r="W246" s="240"/>
      <c r="X246" s="240"/>
      <c r="Y246" s="240" t="str">
        <f t="shared" si="68"/>
        <v/>
      </c>
      <c r="Z246" s="240"/>
      <c r="AD246" s="232" t="str">
        <f t="shared" si="69"/>
        <v/>
      </c>
      <c r="AE246" s="204"/>
      <c r="AX246" s="3" t="str">
        <f t="shared" si="59"/>
        <v/>
      </c>
    </row>
    <row r="247" spans="1:50" s="155" customFormat="1" ht="30" hidden="1" customHeight="1">
      <c r="A247" s="141" t="str">
        <f t="shared" si="70"/>
        <v/>
      </c>
      <c r="B247" s="141" t="str">
        <f t="shared" si="71"/>
        <v/>
      </c>
      <c r="C247" s="205" t="str" cm="1">
        <f t="array" ref="C247">IF(D247="","",
    IF(AND(ISNUMBER(D247), D247=INT(D247)),
        $V$6 &amp; " " &amp; (IFERROR(MAX($Y$12:$Y246), 0) + 1),
        IF(ISNUMBER(SEARCH(".", D247)), "", INDEX($C$12:$C247, MATCH(2, 1/($C$12:$C247 &lt;&gt; ""))))
    )
)</f>
        <v/>
      </c>
      <c r="D247" s="206"/>
      <c r="E247" s="206" t="str">
        <f>IF(AA247 = "", "",
    IF(ISNUMBER(SEARCH("Kiện", C247)),
       " GÓI " &amp; COUNTIF($C$13:C247, "*Kiện*") &amp; "/" &amp; COUNTIF($C$13:$C$1000, "*Kiện*") &amp; " " &amp; AA247,
       AA247)
)</f>
        <v/>
      </c>
      <c r="F247" s="206"/>
      <c r="G247" s="206"/>
      <c r="H247" s="206"/>
      <c r="I247" s="206"/>
      <c r="J247" s="206" t="str">
        <f t="shared" si="72"/>
        <v/>
      </c>
      <c r="K247" s="206" t="str">
        <f t="shared" si="60"/>
        <v/>
      </c>
      <c r="L247" s="206" t="str">
        <f t="shared" si="61"/>
        <v/>
      </c>
      <c r="M247" s="206" t="str">
        <f t="shared" si="62"/>
        <v/>
      </c>
      <c r="N247" s="206" t="str">
        <f t="shared" si="73"/>
        <v/>
      </c>
      <c r="O247" s="206" t="str">
        <f t="shared" si="63"/>
        <v/>
      </c>
      <c r="P247" s="165" t="str">
        <f t="shared" si="64"/>
        <v/>
      </c>
      <c r="Q247" s="207"/>
      <c r="R247" s="141" t="str">
        <f>IF(S247="IN",'BOM_Phan II'!$Y$3,"")</f>
        <v/>
      </c>
      <c r="S247" s="153" t="str">
        <f t="shared" si="65"/>
        <v/>
      </c>
      <c r="T247">
        <f t="shared" si="66"/>
        <v>6</v>
      </c>
      <c r="U247" s="208" t="str">
        <f t="shared" si="74"/>
        <v>KIỆN 9</v>
      </c>
      <c r="V247" s="208" t="str">
        <f t="shared" si="67"/>
        <v/>
      </c>
      <c r="W247" s="240"/>
      <c r="X247" s="240"/>
      <c r="Y247" s="240" t="str">
        <f t="shared" si="68"/>
        <v/>
      </c>
      <c r="Z247" s="240"/>
      <c r="AD247" s="232" t="str">
        <f t="shared" si="69"/>
        <v/>
      </c>
      <c r="AE247" s="204"/>
      <c r="AX247" s="3" t="str">
        <f t="shared" si="59"/>
        <v/>
      </c>
    </row>
    <row r="248" spans="1:50" s="155" customFormat="1" ht="30" hidden="1" customHeight="1">
      <c r="A248" s="141" t="str">
        <f t="shared" si="70"/>
        <v/>
      </c>
      <c r="B248" s="141" t="str">
        <f t="shared" si="71"/>
        <v/>
      </c>
      <c r="C248" s="205" t="str" cm="1">
        <f t="array" ref="C248">IF(D248="","",
    IF(AND(ISNUMBER(D248), D248=INT(D248)),
        $V$6 &amp; " " &amp; (IFERROR(MAX($Y$12:$Y247), 0) + 1),
        IF(ISNUMBER(SEARCH(".", D248)), "", INDEX($C$12:$C248, MATCH(2, 1/($C$12:$C248 &lt;&gt; ""))))
    )
)</f>
        <v/>
      </c>
      <c r="D248" s="206"/>
      <c r="E248" s="206" t="str">
        <f>IF(AA248 = "", "",
    IF(ISNUMBER(SEARCH("Kiện", C248)),
       " GÓI " &amp; COUNTIF($C$13:C248, "*Kiện*") &amp; "/" &amp; COUNTIF($C$13:$C$1000, "*Kiện*") &amp; " " &amp; AA248,
       AA248)
)</f>
        <v/>
      </c>
      <c r="F248" s="206"/>
      <c r="G248" s="206"/>
      <c r="H248" s="206"/>
      <c r="I248" s="206"/>
      <c r="J248" s="206" t="str">
        <f t="shared" si="72"/>
        <v/>
      </c>
      <c r="K248" s="206" t="str">
        <f t="shared" si="60"/>
        <v/>
      </c>
      <c r="L248" s="206" t="str">
        <f t="shared" si="61"/>
        <v/>
      </c>
      <c r="M248" s="206" t="str">
        <f t="shared" si="62"/>
        <v/>
      </c>
      <c r="N248" s="206" t="str">
        <f t="shared" si="73"/>
        <v/>
      </c>
      <c r="O248" s="206" t="str">
        <f t="shared" si="63"/>
        <v/>
      </c>
      <c r="P248" s="165" t="str">
        <f t="shared" si="64"/>
        <v/>
      </c>
      <c r="Q248" s="207"/>
      <c r="R248" s="141" t="str">
        <f>IF(S248="IN",'BOM_Phan II'!$Y$3,"")</f>
        <v/>
      </c>
      <c r="S248" s="153" t="str">
        <f t="shared" si="65"/>
        <v/>
      </c>
      <c r="T248">
        <f t="shared" si="66"/>
        <v>6</v>
      </c>
      <c r="U248" s="208" t="str">
        <f t="shared" si="74"/>
        <v>KIỆN 9</v>
      </c>
      <c r="V248" s="208" t="str">
        <f t="shared" si="67"/>
        <v/>
      </c>
      <c r="W248" s="240"/>
      <c r="X248" s="240"/>
      <c r="Y248" s="240" t="str">
        <f t="shared" si="68"/>
        <v/>
      </c>
      <c r="Z248" s="240"/>
      <c r="AD248" s="232" t="str">
        <f t="shared" si="69"/>
        <v/>
      </c>
      <c r="AE248" s="204"/>
      <c r="AX248" s="3" t="str">
        <f t="shared" si="59"/>
        <v/>
      </c>
    </row>
    <row r="249" spans="1:50" s="155" customFormat="1" ht="30" hidden="1" customHeight="1">
      <c r="A249" s="141" t="str">
        <f t="shared" si="70"/>
        <v/>
      </c>
      <c r="B249" s="141" t="str">
        <f t="shared" si="71"/>
        <v/>
      </c>
      <c r="C249" s="205" t="str" cm="1">
        <f t="array" ref="C249">IF(D249="","",
    IF(AND(ISNUMBER(D249), D249=INT(D249)),
        $V$6 &amp; " " &amp; (IFERROR(MAX($Y$12:$Y248), 0) + 1),
        IF(ISNUMBER(SEARCH(".", D249)), "", INDEX($C$12:$C249, MATCH(2, 1/($C$12:$C249 &lt;&gt; ""))))
    )
)</f>
        <v/>
      </c>
      <c r="D249" s="206"/>
      <c r="E249" s="206" t="str">
        <f>IF(AA249 = "", "",
    IF(ISNUMBER(SEARCH("Kiện", C249)),
       " GÓI " &amp; COUNTIF($C$13:C249, "*Kiện*") &amp; "/" &amp; COUNTIF($C$13:$C$1000, "*Kiện*") &amp; " " &amp; AA249,
       AA249)
)</f>
        <v/>
      </c>
      <c r="F249" s="206"/>
      <c r="G249" s="206"/>
      <c r="H249" s="206"/>
      <c r="I249" s="206"/>
      <c r="J249" s="206" t="str">
        <f t="shared" si="72"/>
        <v/>
      </c>
      <c r="K249" s="206" t="str">
        <f t="shared" si="60"/>
        <v/>
      </c>
      <c r="L249" s="206" t="str">
        <f t="shared" si="61"/>
        <v/>
      </c>
      <c r="M249" s="206" t="str">
        <f t="shared" si="62"/>
        <v/>
      </c>
      <c r="N249" s="206" t="str">
        <f t="shared" si="73"/>
        <v/>
      </c>
      <c r="O249" s="206" t="str">
        <f t="shared" si="63"/>
        <v/>
      </c>
      <c r="P249" s="165" t="str">
        <f t="shared" si="64"/>
        <v/>
      </c>
      <c r="Q249" s="207"/>
      <c r="R249" s="141" t="str">
        <f>IF(S249="IN",'BOM_Phan II'!$Y$3,"")</f>
        <v/>
      </c>
      <c r="S249" s="153" t="str">
        <f t="shared" si="65"/>
        <v/>
      </c>
      <c r="T249">
        <f t="shared" si="66"/>
        <v>6</v>
      </c>
      <c r="U249" s="208" t="str">
        <f t="shared" si="74"/>
        <v>KIỆN 9</v>
      </c>
      <c r="V249" s="208" t="str">
        <f t="shared" si="67"/>
        <v/>
      </c>
      <c r="W249" s="240"/>
      <c r="X249" s="240"/>
      <c r="Y249" s="240" t="str">
        <f t="shared" si="68"/>
        <v/>
      </c>
      <c r="Z249" s="240"/>
      <c r="AD249" s="232" t="str">
        <f t="shared" si="69"/>
        <v/>
      </c>
      <c r="AE249" s="204"/>
      <c r="AX249" s="3" t="str">
        <f t="shared" si="59"/>
        <v/>
      </c>
    </row>
    <row r="250" spans="1:50" s="155" customFormat="1" ht="30" hidden="1" customHeight="1">
      <c r="A250" s="141" t="str">
        <f t="shared" si="70"/>
        <v/>
      </c>
      <c r="B250" s="141" t="str">
        <f t="shared" si="71"/>
        <v/>
      </c>
      <c r="C250" s="205" t="str" cm="1">
        <f t="array" ref="C250">IF(D250="","",
    IF(AND(ISNUMBER(D250), D250=INT(D250)),
        $V$6 &amp; " " &amp; (IFERROR(MAX($Y$12:$Y249), 0) + 1),
        IF(ISNUMBER(SEARCH(".", D250)), "", INDEX($C$12:$C250, MATCH(2, 1/($C$12:$C250 &lt;&gt; ""))))
    )
)</f>
        <v/>
      </c>
      <c r="D250" s="206"/>
      <c r="E250" s="206" t="str">
        <f>IF(AA250 = "", "",
    IF(ISNUMBER(SEARCH("Kiện", C250)),
       " GÓI " &amp; COUNTIF($C$13:C250, "*Kiện*") &amp; "/" &amp; COUNTIF($C$13:$C$1000, "*Kiện*") &amp; " " &amp; AA250,
       AA250)
)</f>
        <v/>
      </c>
      <c r="F250" s="206"/>
      <c r="G250" s="206"/>
      <c r="H250" s="206"/>
      <c r="I250" s="206"/>
      <c r="J250" s="206" t="str">
        <f t="shared" si="72"/>
        <v/>
      </c>
      <c r="K250" s="206" t="str">
        <f t="shared" si="60"/>
        <v/>
      </c>
      <c r="L250" s="206" t="str">
        <f t="shared" si="61"/>
        <v/>
      </c>
      <c r="M250" s="206" t="str">
        <f t="shared" si="62"/>
        <v/>
      </c>
      <c r="N250" s="206" t="str">
        <f t="shared" si="73"/>
        <v/>
      </c>
      <c r="O250" s="206" t="str">
        <f t="shared" si="63"/>
        <v/>
      </c>
      <c r="P250" s="165" t="str">
        <f t="shared" si="64"/>
        <v/>
      </c>
      <c r="Q250" s="207"/>
      <c r="R250" s="141" t="str">
        <f>IF(S250="IN",'BOM_Phan II'!$Y$3,"")</f>
        <v/>
      </c>
      <c r="S250" s="153" t="str">
        <f t="shared" si="65"/>
        <v/>
      </c>
      <c r="T250">
        <f t="shared" si="66"/>
        <v>6</v>
      </c>
      <c r="U250" s="208" t="str">
        <f t="shared" si="74"/>
        <v>KIỆN 9</v>
      </c>
      <c r="V250" s="208" t="str">
        <f t="shared" si="67"/>
        <v/>
      </c>
      <c r="W250" s="240"/>
      <c r="X250" s="240"/>
      <c r="Y250" s="240" t="str">
        <f t="shared" si="68"/>
        <v/>
      </c>
      <c r="Z250" s="240"/>
      <c r="AD250" s="232" t="str">
        <f t="shared" si="69"/>
        <v/>
      </c>
      <c r="AE250" s="204"/>
      <c r="AX250" s="3" t="str">
        <f t="shared" si="59"/>
        <v/>
      </c>
    </row>
    <row r="251" spans="1:50" s="155" customFormat="1" ht="30" hidden="1" customHeight="1">
      <c r="A251" s="141" t="str">
        <f t="shared" si="70"/>
        <v/>
      </c>
      <c r="B251" s="141" t="str">
        <f t="shared" si="71"/>
        <v/>
      </c>
      <c r="C251" s="205" t="str" cm="1">
        <f t="array" ref="C251">IF(D251="","",
    IF(AND(ISNUMBER(D251), D251=INT(D251)),
        $V$6 &amp; " " &amp; (IFERROR(MAX($Y$12:$Y250), 0) + 1),
        IF(ISNUMBER(SEARCH(".", D251)), "", INDEX($C$12:$C251, MATCH(2, 1/($C$12:$C251 &lt;&gt; ""))))
    )
)</f>
        <v/>
      </c>
      <c r="D251" s="206"/>
      <c r="E251" s="206" t="str">
        <f>IF(AA251 = "", "",
    IF(ISNUMBER(SEARCH("Kiện", C251)),
       " GÓI " &amp; COUNTIF($C$13:C251, "*Kiện*") &amp; "/" &amp; COUNTIF($C$13:$C$1000, "*Kiện*") &amp; " " &amp; AA251,
       AA251)
)</f>
        <v/>
      </c>
      <c r="F251" s="206"/>
      <c r="G251" s="206"/>
      <c r="H251" s="206"/>
      <c r="I251" s="206"/>
      <c r="J251" s="206" t="str">
        <f t="shared" si="72"/>
        <v/>
      </c>
      <c r="K251" s="206" t="str">
        <f t="shared" si="60"/>
        <v/>
      </c>
      <c r="L251" s="206" t="str">
        <f t="shared" si="61"/>
        <v/>
      </c>
      <c r="M251" s="206" t="str">
        <f t="shared" si="62"/>
        <v/>
      </c>
      <c r="N251" s="206" t="str">
        <f t="shared" si="73"/>
        <v/>
      </c>
      <c r="O251" s="206" t="str">
        <f t="shared" si="63"/>
        <v/>
      </c>
      <c r="P251" s="165" t="str">
        <f t="shared" si="64"/>
        <v/>
      </c>
      <c r="Q251" s="207"/>
      <c r="R251" s="141" t="str">
        <f>IF(S251="IN",'BOM_Phan II'!$Y$3,"")</f>
        <v/>
      </c>
      <c r="S251" s="153" t="str">
        <f t="shared" si="65"/>
        <v/>
      </c>
      <c r="T251">
        <f t="shared" si="66"/>
        <v>6</v>
      </c>
      <c r="U251" s="208" t="str">
        <f t="shared" si="74"/>
        <v>KIỆN 9</v>
      </c>
      <c r="V251" s="208" t="str">
        <f t="shared" si="67"/>
        <v/>
      </c>
      <c r="W251" s="240"/>
      <c r="X251" s="240"/>
      <c r="Y251" s="240" t="str">
        <f t="shared" si="68"/>
        <v/>
      </c>
      <c r="Z251" s="240"/>
      <c r="AD251" s="232" t="str">
        <f t="shared" si="69"/>
        <v/>
      </c>
      <c r="AE251" s="204"/>
      <c r="AX251" s="3" t="str">
        <f t="shared" si="59"/>
        <v/>
      </c>
    </row>
    <row r="252" spans="1:50" s="155" customFormat="1" ht="30" hidden="1" customHeight="1">
      <c r="A252" s="141" t="str">
        <f t="shared" si="70"/>
        <v/>
      </c>
      <c r="B252" s="141" t="str">
        <f t="shared" si="71"/>
        <v/>
      </c>
      <c r="C252" s="205" t="str" cm="1">
        <f t="array" ref="C252">IF(D252="","",
    IF(AND(ISNUMBER(D252), D252=INT(D252)),
        $V$6 &amp; " " &amp; (IFERROR(MAX($Y$12:$Y251), 0) + 1),
        IF(ISNUMBER(SEARCH(".", D252)), "", INDEX($C$12:$C252, MATCH(2, 1/($C$12:$C252 &lt;&gt; ""))))
    )
)</f>
        <v/>
      </c>
      <c r="D252" s="206"/>
      <c r="E252" s="206" t="str">
        <f>IF(AA252 = "", "",
    IF(ISNUMBER(SEARCH("Kiện", C252)),
       " GÓI " &amp; COUNTIF($C$13:C252, "*Kiện*") &amp; "/" &amp; COUNTIF($C$13:$C$1000, "*Kiện*") &amp; " " &amp; AA252,
       AA252)
)</f>
        <v/>
      </c>
      <c r="F252" s="206"/>
      <c r="G252" s="206"/>
      <c r="H252" s="206"/>
      <c r="I252" s="206"/>
      <c r="J252" s="206" t="str">
        <f t="shared" si="72"/>
        <v/>
      </c>
      <c r="K252" s="206" t="str">
        <f t="shared" si="60"/>
        <v/>
      </c>
      <c r="L252" s="206" t="str">
        <f t="shared" si="61"/>
        <v/>
      </c>
      <c r="M252" s="206" t="str">
        <f t="shared" si="62"/>
        <v/>
      </c>
      <c r="N252" s="206" t="str">
        <f t="shared" si="73"/>
        <v/>
      </c>
      <c r="O252" s="206" t="str">
        <f t="shared" si="63"/>
        <v/>
      </c>
      <c r="P252" s="165" t="str">
        <f t="shared" si="64"/>
        <v/>
      </c>
      <c r="Q252" s="207"/>
      <c r="R252" s="141" t="str">
        <f>IF(S252="IN",'BOM_Phan II'!$Y$3,"")</f>
        <v/>
      </c>
      <c r="S252" s="153" t="str">
        <f t="shared" si="65"/>
        <v/>
      </c>
      <c r="T252">
        <f t="shared" si="66"/>
        <v>6</v>
      </c>
      <c r="U252" s="208" t="str">
        <f t="shared" si="74"/>
        <v>KIỆN 9</v>
      </c>
      <c r="V252" s="208" t="str">
        <f t="shared" si="67"/>
        <v/>
      </c>
      <c r="W252" s="240"/>
      <c r="X252" s="240"/>
      <c r="Y252" s="240" t="str">
        <f t="shared" si="68"/>
        <v/>
      </c>
      <c r="Z252" s="240"/>
      <c r="AD252" s="232" t="str">
        <f t="shared" si="69"/>
        <v/>
      </c>
      <c r="AE252" s="204"/>
      <c r="AX252" s="3" t="str">
        <f t="shared" si="59"/>
        <v/>
      </c>
    </row>
    <row r="253" spans="1:50" s="155" customFormat="1" ht="30" hidden="1" customHeight="1">
      <c r="A253" s="141" t="str">
        <f t="shared" si="70"/>
        <v/>
      </c>
      <c r="B253" s="141" t="str">
        <f t="shared" si="71"/>
        <v/>
      </c>
      <c r="C253" s="205" t="str" cm="1">
        <f t="array" ref="C253">IF(D253="","",
    IF(AND(ISNUMBER(D253), D253=INT(D253)),
        $V$6 &amp; " " &amp; (IFERROR(MAX($Y$12:$Y252), 0) + 1),
        IF(ISNUMBER(SEARCH(".", D253)), "", INDEX($C$12:$C253, MATCH(2, 1/($C$12:$C253 &lt;&gt; ""))))
    )
)</f>
        <v/>
      </c>
      <c r="D253" s="206"/>
      <c r="E253" s="206" t="str">
        <f>IF(AA253 = "", "",
    IF(ISNUMBER(SEARCH("Kiện", C253)),
       " GÓI " &amp; COUNTIF($C$13:C253, "*Kiện*") &amp; "/" &amp; COUNTIF($C$13:$C$1000, "*Kiện*") &amp; " " &amp; AA253,
       AA253)
)</f>
        <v/>
      </c>
      <c r="F253" s="206"/>
      <c r="G253" s="206"/>
      <c r="H253" s="206"/>
      <c r="I253" s="206"/>
      <c r="J253" s="206" t="str">
        <f t="shared" si="72"/>
        <v/>
      </c>
      <c r="K253" s="206" t="str">
        <f t="shared" si="60"/>
        <v/>
      </c>
      <c r="L253" s="206" t="str">
        <f t="shared" si="61"/>
        <v/>
      </c>
      <c r="M253" s="206" t="str">
        <f t="shared" si="62"/>
        <v/>
      </c>
      <c r="N253" s="206" t="str">
        <f t="shared" si="73"/>
        <v/>
      </c>
      <c r="O253" s="206" t="str">
        <f t="shared" si="63"/>
        <v/>
      </c>
      <c r="P253" s="165" t="str">
        <f t="shared" si="64"/>
        <v/>
      </c>
      <c r="Q253" s="207"/>
      <c r="R253" s="141" t="str">
        <f>IF(S253="IN",'BOM_Phan II'!$Y$3,"")</f>
        <v/>
      </c>
      <c r="S253" s="153" t="str">
        <f t="shared" si="65"/>
        <v/>
      </c>
      <c r="T253">
        <f t="shared" si="66"/>
        <v>6</v>
      </c>
      <c r="U253" s="208" t="str">
        <f t="shared" si="74"/>
        <v>KIỆN 9</v>
      </c>
      <c r="V253" s="208" t="str">
        <f t="shared" si="67"/>
        <v/>
      </c>
      <c r="W253" s="240"/>
      <c r="X253" s="240"/>
      <c r="Y253" s="240" t="str">
        <f t="shared" si="68"/>
        <v/>
      </c>
      <c r="Z253" s="240"/>
      <c r="AD253" s="232" t="str">
        <f t="shared" si="69"/>
        <v/>
      </c>
      <c r="AE253" s="204"/>
      <c r="AX253" s="3" t="str">
        <f t="shared" si="59"/>
        <v/>
      </c>
    </row>
    <row r="254" spans="1:50" s="155" customFormat="1" ht="30" hidden="1" customHeight="1">
      <c r="A254" s="141" t="str">
        <f t="shared" si="70"/>
        <v/>
      </c>
      <c r="B254" s="141" t="str">
        <f t="shared" si="71"/>
        <v/>
      </c>
      <c r="C254" s="205" t="str" cm="1">
        <f t="array" ref="C254">IF(D254="","",
    IF(AND(ISNUMBER(D254), D254=INT(D254)),
        $V$6 &amp; " " &amp; (IFERROR(MAX($Y$12:$Y253), 0) + 1),
        IF(ISNUMBER(SEARCH(".", D254)), "", INDEX($C$12:$C254, MATCH(2, 1/($C$12:$C254 &lt;&gt; ""))))
    )
)</f>
        <v/>
      </c>
      <c r="D254" s="206"/>
      <c r="E254" s="206" t="str">
        <f>IF(AA254 = "", "",
    IF(ISNUMBER(SEARCH("Kiện", C254)),
       " GÓI " &amp; COUNTIF($C$13:C254, "*Kiện*") &amp; "/" &amp; COUNTIF($C$13:$C$1000, "*Kiện*") &amp; " " &amp; AA254,
       AA254)
)</f>
        <v/>
      </c>
      <c r="F254" s="206"/>
      <c r="G254" s="206"/>
      <c r="H254" s="206"/>
      <c r="I254" s="206"/>
      <c r="J254" s="206" t="str">
        <f t="shared" si="72"/>
        <v/>
      </c>
      <c r="K254" s="206" t="str">
        <f t="shared" si="60"/>
        <v/>
      </c>
      <c r="L254" s="206" t="str">
        <f t="shared" si="61"/>
        <v/>
      </c>
      <c r="M254" s="206" t="str">
        <f t="shared" si="62"/>
        <v/>
      </c>
      <c r="N254" s="206" t="str">
        <f t="shared" si="73"/>
        <v/>
      </c>
      <c r="O254" s="206" t="str">
        <f t="shared" si="63"/>
        <v/>
      </c>
      <c r="P254" s="165" t="str">
        <f t="shared" si="64"/>
        <v/>
      </c>
      <c r="Q254" s="207"/>
      <c r="R254" s="141" t="str">
        <f>IF(S254="IN",'BOM_Phan II'!$Y$3,"")</f>
        <v/>
      </c>
      <c r="S254" s="153" t="str">
        <f t="shared" si="65"/>
        <v/>
      </c>
      <c r="T254">
        <f t="shared" si="66"/>
        <v>6</v>
      </c>
      <c r="U254" s="208" t="str">
        <f t="shared" si="74"/>
        <v>KIỆN 9</v>
      </c>
      <c r="V254" s="208" t="str">
        <f t="shared" si="67"/>
        <v/>
      </c>
      <c r="W254" s="240"/>
      <c r="X254" s="240"/>
      <c r="Y254" s="240" t="str">
        <f t="shared" si="68"/>
        <v/>
      </c>
      <c r="Z254" s="240"/>
      <c r="AD254" s="232" t="str">
        <f t="shared" si="69"/>
        <v/>
      </c>
      <c r="AE254" s="204"/>
      <c r="AX254" s="3" t="str">
        <f t="shared" si="59"/>
        <v/>
      </c>
    </row>
    <row r="255" spans="1:50" s="155" customFormat="1" ht="30" hidden="1" customHeight="1">
      <c r="A255" s="141" t="str">
        <f t="shared" si="70"/>
        <v/>
      </c>
      <c r="B255" s="141" t="str">
        <f t="shared" si="71"/>
        <v/>
      </c>
      <c r="C255" s="205" t="str" cm="1">
        <f t="array" ref="C255">IF(D255="","",
    IF(AND(ISNUMBER(D255), D255=INT(D255)),
        $V$6 &amp; " " &amp; (IFERROR(MAX($Y$12:$Y254), 0) + 1),
        IF(ISNUMBER(SEARCH(".", D255)), "", INDEX($C$12:$C255, MATCH(2, 1/($C$12:$C255 &lt;&gt; ""))))
    )
)</f>
        <v/>
      </c>
      <c r="D255" s="206"/>
      <c r="E255" s="206" t="str">
        <f>IF(AA255 = "", "",
    IF(ISNUMBER(SEARCH("Kiện", C255)),
       " GÓI " &amp; COUNTIF($C$13:C255, "*Kiện*") &amp; "/" &amp; COUNTIF($C$13:$C$1000, "*Kiện*") &amp; " " &amp; AA255,
       AA255)
)</f>
        <v/>
      </c>
      <c r="F255" s="206"/>
      <c r="G255" s="206"/>
      <c r="H255" s="206"/>
      <c r="I255" s="206"/>
      <c r="J255" s="206" t="str">
        <f t="shared" si="72"/>
        <v/>
      </c>
      <c r="K255" s="206" t="str">
        <f t="shared" si="60"/>
        <v/>
      </c>
      <c r="L255" s="206" t="str">
        <f t="shared" si="61"/>
        <v/>
      </c>
      <c r="M255" s="206" t="str">
        <f t="shared" si="62"/>
        <v/>
      </c>
      <c r="N255" s="206" t="str">
        <f t="shared" si="73"/>
        <v/>
      </c>
      <c r="O255" s="206" t="str">
        <f t="shared" si="63"/>
        <v/>
      </c>
      <c r="P255" s="165" t="str">
        <f t="shared" si="64"/>
        <v/>
      </c>
      <c r="Q255" s="207"/>
      <c r="R255" s="141" t="str">
        <f>IF(S255="IN",'BOM_Phan II'!$Y$3,"")</f>
        <v/>
      </c>
      <c r="S255" s="153" t="str">
        <f t="shared" si="65"/>
        <v/>
      </c>
      <c r="T255">
        <f t="shared" si="66"/>
        <v>6</v>
      </c>
      <c r="U255" s="208" t="str">
        <f t="shared" si="74"/>
        <v>KIỆN 9</v>
      </c>
      <c r="V255" s="208" t="str">
        <f t="shared" si="67"/>
        <v/>
      </c>
      <c r="W255" s="240"/>
      <c r="X255" s="240"/>
      <c r="Y255" s="240" t="str">
        <f t="shared" si="68"/>
        <v/>
      </c>
      <c r="Z255" s="240"/>
      <c r="AD255" s="232" t="str">
        <f t="shared" si="69"/>
        <v/>
      </c>
      <c r="AE255" s="204"/>
      <c r="AX255" s="3" t="str">
        <f t="shared" si="59"/>
        <v/>
      </c>
    </row>
    <row r="256" spans="1:50" s="155" customFormat="1" ht="30" hidden="1" customHeight="1">
      <c r="A256" s="141" t="str">
        <f t="shared" si="70"/>
        <v/>
      </c>
      <c r="B256" s="141" t="str">
        <f t="shared" si="71"/>
        <v/>
      </c>
      <c r="C256" s="205" t="str" cm="1">
        <f t="array" ref="C256">IF(D256="","",
    IF(AND(ISNUMBER(D256), D256=INT(D256)),
        $V$6 &amp; " " &amp; (IFERROR(MAX($Y$12:$Y255), 0) + 1),
        IF(ISNUMBER(SEARCH(".", D256)), "", INDEX($C$12:$C256, MATCH(2, 1/($C$12:$C256 &lt;&gt; ""))))
    )
)</f>
        <v/>
      </c>
      <c r="D256" s="206"/>
      <c r="E256" s="206" t="str">
        <f>IF(AA256 = "", "",
    IF(ISNUMBER(SEARCH("Kiện", C256)),
       " GÓI " &amp; COUNTIF($C$13:C256, "*Kiện*") &amp; "/" &amp; COUNTIF($C$13:$C$1000, "*Kiện*") &amp; " " &amp; AA256,
       AA256)
)</f>
        <v/>
      </c>
      <c r="F256" s="206"/>
      <c r="G256" s="206"/>
      <c r="H256" s="206"/>
      <c r="I256" s="206"/>
      <c r="J256" s="206" t="str">
        <f t="shared" si="72"/>
        <v/>
      </c>
      <c r="K256" s="206" t="str">
        <f t="shared" si="60"/>
        <v/>
      </c>
      <c r="L256" s="206" t="str">
        <f t="shared" si="61"/>
        <v/>
      </c>
      <c r="M256" s="206" t="str">
        <f t="shared" si="62"/>
        <v/>
      </c>
      <c r="N256" s="206" t="str">
        <f t="shared" si="73"/>
        <v/>
      </c>
      <c r="O256" s="206" t="str">
        <f t="shared" si="63"/>
        <v/>
      </c>
      <c r="P256" s="165" t="str">
        <f t="shared" si="64"/>
        <v/>
      </c>
      <c r="Q256" s="207"/>
      <c r="R256" s="141" t="str">
        <f>IF(S256="IN",'BOM_Phan II'!$Y$3,"")</f>
        <v/>
      </c>
      <c r="S256" s="153" t="str">
        <f t="shared" si="65"/>
        <v/>
      </c>
      <c r="T256">
        <f t="shared" si="66"/>
        <v>6</v>
      </c>
      <c r="U256" s="208" t="str">
        <f t="shared" si="74"/>
        <v>KIỆN 9</v>
      </c>
      <c r="V256" s="208" t="str">
        <f t="shared" si="67"/>
        <v/>
      </c>
      <c r="W256" s="240"/>
      <c r="X256" s="240"/>
      <c r="Y256" s="240" t="str">
        <f t="shared" si="68"/>
        <v/>
      </c>
      <c r="Z256" s="240"/>
      <c r="AD256" s="232" t="str">
        <f t="shared" si="69"/>
        <v/>
      </c>
      <c r="AE256" s="204"/>
      <c r="AX256" s="3" t="str">
        <f t="shared" si="59"/>
        <v/>
      </c>
    </row>
    <row r="257" spans="1:50" s="155" customFormat="1" ht="30" hidden="1" customHeight="1">
      <c r="A257" s="141" t="str">
        <f t="shared" si="70"/>
        <v/>
      </c>
      <c r="B257" s="141" t="str">
        <f t="shared" si="71"/>
        <v/>
      </c>
      <c r="C257" s="205" t="str" cm="1">
        <f t="array" ref="C257">IF(D257="","",
    IF(AND(ISNUMBER(D257), D257=INT(D257)),
        $V$6 &amp; " " &amp; (IFERROR(MAX($Y$12:$Y256), 0) + 1),
        IF(ISNUMBER(SEARCH(".", D257)), "", INDEX($C$12:$C257, MATCH(2, 1/($C$12:$C257 &lt;&gt; ""))))
    )
)</f>
        <v/>
      </c>
      <c r="D257" s="206"/>
      <c r="E257" s="206" t="str">
        <f>IF(AA257 = "", "",
    IF(ISNUMBER(SEARCH("Kiện", C257)),
       " GÓI " &amp; COUNTIF($C$13:C257, "*Kiện*") &amp; "/" &amp; COUNTIF($C$13:$C$1000, "*Kiện*") &amp; " " &amp; AA257,
       AA257)
)</f>
        <v/>
      </c>
      <c r="F257" s="206"/>
      <c r="G257" s="206"/>
      <c r="H257" s="206"/>
      <c r="I257" s="206"/>
      <c r="J257" s="206" t="str">
        <f t="shared" si="72"/>
        <v/>
      </c>
      <c r="K257" s="206" t="str">
        <f t="shared" si="60"/>
        <v/>
      </c>
      <c r="L257" s="206" t="str">
        <f t="shared" si="61"/>
        <v/>
      </c>
      <c r="M257" s="206" t="str">
        <f t="shared" si="62"/>
        <v/>
      </c>
      <c r="N257" s="206" t="str">
        <f t="shared" si="73"/>
        <v/>
      </c>
      <c r="O257" s="206" t="str">
        <f t="shared" si="63"/>
        <v/>
      </c>
      <c r="P257" s="165" t="str">
        <f t="shared" si="64"/>
        <v/>
      </c>
      <c r="Q257" s="207"/>
      <c r="R257" s="141" t="str">
        <f>IF(S257="IN",'BOM_Phan II'!$Y$3,"")</f>
        <v/>
      </c>
      <c r="S257" s="153" t="str">
        <f t="shared" si="65"/>
        <v/>
      </c>
      <c r="T257">
        <f t="shared" si="66"/>
        <v>6</v>
      </c>
      <c r="U257" s="208" t="str">
        <f t="shared" si="74"/>
        <v>KIỆN 9</v>
      </c>
      <c r="V257" s="208" t="str">
        <f t="shared" si="67"/>
        <v/>
      </c>
      <c r="W257" s="240"/>
      <c r="X257" s="240"/>
      <c r="Y257" s="240" t="str">
        <f t="shared" si="68"/>
        <v/>
      </c>
      <c r="Z257" s="240"/>
      <c r="AD257" s="232" t="str">
        <f t="shared" si="69"/>
        <v/>
      </c>
      <c r="AE257" s="204"/>
      <c r="AX257" s="3" t="str">
        <f t="shared" si="59"/>
        <v/>
      </c>
    </row>
    <row r="258" spans="1:50" s="155" customFormat="1" ht="30" hidden="1" customHeight="1">
      <c r="A258" s="141" t="str">
        <f t="shared" si="70"/>
        <v/>
      </c>
      <c r="B258" s="141" t="str">
        <f t="shared" si="71"/>
        <v/>
      </c>
      <c r="C258" s="205" t="str" cm="1">
        <f t="array" ref="C258">IF(D258="","",
    IF(AND(ISNUMBER(D258), D258=INT(D258)),
        $V$6 &amp; " " &amp; (IFERROR(MAX($Y$12:$Y257), 0) + 1),
        IF(ISNUMBER(SEARCH(".", D258)), "", INDEX($C$12:$C258, MATCH(2, 1/($C$12:$C258 &lt;&gt; ""))))
    )
)</f>
        <v/>
      </c>
      <c r="D258" s="206"/>
      <c r="E258" s="206" t="str">
        <f>IF(AA258 = "", "",
    IF(ISNUMBER(SEARCH("Kiện", C258)),
       " GÓI " &amp; COUNTIF($C$13:C258, "*Kiện*") &amp; "/" &amp; COUNTIF($C$13:$C$1000, "*Kiện*") &amp; " " &amp; AA258,
       AA258)
)</f>
        <v/>
      </c>
      <c r="F258" s="206"/>
      <c r="G258" s="206"/>
      <c r="H258" s="206"/>
      <c r="I258" s="206"/>
      <c r="J258" s="206" t="str">
        <f t="shared" si="72"/>
        <v/>
      </c>
      <c r="K258" s="206" t="str">
        <f t="shared" si="60"/>
        <v/>
      </c>
      <c r="L258" s="206" t="str">
        <f t="shared" si="61"/>
        <v/>
      </c>
      <c r="M258" s="206" t="str">
        <f t="shared" si="62"/>
        <v/>
      </c>
      <c r="N258" s="206" t="str">
        <f t="shared" si="73"/>
        <v/>
      </c>
      <c r="O258" s="206" t="str">
        <f t="shared" si="63"/>
        <v/>
      </c>
      <c r="P258" s="165" t="str">
        <f t="shared" si="64"/>
        <v/>
      </c>
      <c r="Q258" s="207"/>
      <c r="R258" s="141" t="str">
        <f>IF(S258="IN",'BOM_Phan II'!$Y$3,"")</f>
        <v/>
      </c>
      <c r="S258" s="153" t="str">
        <f t="shared" si="65"/>
        <v/>
      </c>
      <c r="T258">
        <f t="shared" si="66"/>
        <v>6</v>
      </c>
      <c r="U258" s="208" t="str">
        <f t="shared" si="74"/>
        <v>KIỆN 9</v>
      </c>
      <c r="V258" s="208" t="str">
        <f t="shared" si="67"/>
        <v/>
      </c>
      <c r="W258" s="240"/>
      <c r="X258" s="240"/>
      <c r="Y258" s="240" t="str">
        <f t="shared" si="68"/>
        <v/>
      </c>
      <c r="Z258" s="240"/>
      <c r="AD258" s="232" t="str">
        <f t="shared" si="69"/>
        <v/>
      </c>
      <c r="AE258" s="204"/>
      <c r="AX258" s="3" t="str">
        <f t="shared" si="59"/>
        <v/>
      </c>
    </row>
    <row r="259" spans="1:50" s="155" customFormat="1" ht="30" hidden="1" customHeight="1">
      <c r="A259" s="141" t="str">
        <f t="shared" si="70"/>
        <v/>
      </c>
      <c r="B259" s="141" t="str">
        <f t="shared" si="71"/>
        <v/>
      </c>
      <c r="C259" s="205" t="str" cm="1">
        <f t="array" ref="C259">IF(D259="","",
    IF(AND(ISNUMBER(D259), D259=INT(D259)),
        $V$6 &amp; " " &amp; (IFERROR(MAX($Y$12:$Y258), 0) + 1),
        IF(ISNUMBER(SEARCH(".", D259)), "", INDEX($C$12:$C259, MATCH(2, 1/($C$12:$C259 &lt;&gt; ""))))
    )
)</f>
        <v/>
      </c>
      <c r="D259" s="206"/>
      <c r="E259" s="206" t="str">
        <f>IF(AA259 = "", "",
    IF(ISNUMBER(SEARCH("Kiện", C259)),
       " GÓI " &amp; COUNTIF($C$13:C259, "*Kiện*") &amp; "/" &amp; COUNTIF($C$13:$C$1000, "*Kiện*") &amp; " " &amp; AA259,
       AA259)
)</f>
        <v/>
      </c>
      <c r="F259" s="206"/>
      <c r="G259" s="206"/>
      <c r="H259" s="206"/>
      <c r="I259" s="206"/>
      <c r="J259" s="206" t="str">
        <f t="shared" si="72"/>
        <v/>
      </c>
      <c r="K259" s="206" t="str">
        <f t="shared" si="60"/>
        <v/>
      </c>
      <c r="L259" s="206" t="str">
        <f t="shared" si="61"/>
        <v/>
      </c>
      <c r="M259" s="206" t="str">
        <f t="shared" si="62"/>
        <v/>
      </c>
      <c r="N259" s="206" t="str">
        <f t="shared" si="73"/>
        <v/>
      </c>
      <c r="O259" s="206" t="str">
        <f t="shared" si="63"/>
        <v/>
      </c>
      <c r="P259" s="165" t="str">
        <f t="shared" si="64"/>
        <v/>
      </c>
      <c r="Q259" s="207"/>
      <c r="R259" s="141" t="str">
        <f>IF(S259="IN",'BOM_Phan II'!$Y$3,"")</f>
        <v/>
      </c>
      <c r="S259" s="153" t="str">
        <f t="shared" si="65"/>
        <v/>
      </c>
      <c r="T259">
        <f t="shared" si="66"/>
        <v>6</v>
      </c>
      <c r="U259" s="208" t="str">
        <f t="shared" si="74"/>
        <v>KIỆN 9</v>
      </c>
      <c r="V259" s="208" t="str">
        <f t="shared" si="67"/>
        <v/>
      </c>
      <c r="W259" s="240"/>
      <c r="X259" s="240"/>
      <c r="Y259" s="240" t="str">
        <f t="shared" si="68"/>
        <v/>
      </c>
      <c r="Z259" s="240"/>
      <c r="AD259" s="232" t="str">
        <f t="shared" si="69"/>
        <v/>
      </c>
      <c r="AE259" s="204"/>
      <c r="AX259" s="3" t="str">
        <f t="shared" si="59"/>
        <v/>
      </c>
    </row>
    <row r="260" spans="1:50" s="155" customFormat="1" ht="30" hidden="1" customHeight="1">
      <c r="A260" s="141" t="str">
        <f t="shared" si="70"/>
        <v/>
      </c>
      <c r="B260" s="141" t="str">
        <f t="shared" si="71"/>
        <v/>
      </c>
      <c r="C260" s="205" t="str" cm="1">
        <f t="array" ref="C260">IF(D260="","",
    IF(AND(ISNUMBER(D260), D260=INT(D260)),
        $V$6 &amp; " " &amp; (IFERROR(MAX($Y$12:$Y259), 0) + 1),
        IF(ISNUMBER(SEARCH(".", D260)), "", INDEX($C$12:$C260, MATCH(2, 1/($C$12:$C260 &lt;&gt; ""))))
    )
)</f>
        <v/>
      </c>
      <c r="D260" s="206"/>
      <c r="E260" s="206" t="str">
        <f>IF(AA260 = "", "",
    IF(ISNUMBER(SEARCH("Kiện", C260)),
       " GÓI " &amp; COUNTIF($C$13:C260, "*Kiện*") &amp; "/" &amp; COUNTIF($C$13:$C$1000, "*Kiện*") &amp; " " &amp; AA260,
       AA260)
)</f>
        <v/>
      </c>
      <c r="F260" s="206"/>
      <c r="G260" s="206"/>
      <c r="H260" s="206"/>
      <c r="I260" s="206"/>
      <c r="J260" s="206" t="str">
        <f t="shared" si="72"/>
        <v/>
      </c>
      <c r="K260" s="206" t="str">
        <f t="shared" si="60"/>
        <v/>
      </c>
      <c r="L260" s="206" t="str">
        <f t="shared" si="61"/>
        <v/>
      </c>
      <c r="M260" s="206" t="str">
        <f t="shared" si="62"/>
        <v/>
      </c>
      <c r="N260" s="206" t="str">
        <f t="shared" si="73"/>
        <v/>
      </c>
      <c r="O260" s="206" t="str">
        <f t="shared" si="63"/>
        <v/>
      </c>
      <c r="P260" s="165" t="str">
        <f t="shared" si="64"/>
        <v/>
      </c>
      <c r="Q260" s="207"/>
      <c r="R260" s="141" t="str">
        <f>IF(S260="IN",'BOM_Phan II'!$Y$3,"")</f>
        <v/>
      </c>
      <c r="S260" s="153" t="str">
        <f t="shared" si="65"/>
        <v/>
      </c>
      <c r="T260">
        <f t="shared" si="66"/>
        <v>6</v>
      </c>
      <c r="U260" s="208" t="str">
        <f t="shared" si="74"/>
        <v>KIỆN 9</v>
      </c>
      <c r="V260" s="208" t="str">
        <f t="shared" si="67"/>
        <v/>
      </c>
      <c r="W260" s="240"/>
      <c r="X260" s="240"/>
      <c r="Y260" s="240" t="str">
        <f t="shared" si="68"/>
        <v/>
      </c>
      <c r="Z260" s="240"/>
      <c r="AD260" s="232" t="str">
        <f t="shared" si="69"/>
        <v/>
      </c>
      <c r="AE260" s="204"/>
      <c r="AX260" s="3" t="str">
        <f t="shared" si="59"/>
        <v/>
      </c>
    </row>
    <row r="261" spans="1:50" s="155" customFormat="1" ht="30" hidden="1" customHeight="1">
      <c r="A261" s="141" t="str">
        <f t="shared" si="70"/>
        <v/>
      </c>
      <c r="B261" s="141" t="str">
        <f t="shared" si="71"/>
        <v/>
      </c>
      <c r="C261" s="205" t="str" cm="1">
        <f t="array" ref="C261">IF(D261="","",
    IF(AND(ISNUMBER(D261), D261=INT(D261)),
        $V$6 &amp; " " &amp; (IFERROR(MAX($Y$12:$Y260), 0) + 1),
        IF(ISNUMBER(SEARCH(".", D261)), "", INDEX($C$12:$C261, MATCH(2, 1/($C$12:$C261 &lt;&gt; ""))))
    )
)</f>
        <v/>
      </c>
      <c r="D261" s="206"/>
      <c r="E261" s="206" t="str">
        <f>IF(AA261 = "", "",
    IF(ISNUMBER(SEARCH("Kiện", C261)),
       " GÓI " &amp; COUNTIF($C$13:C261, "*Kiện*") &amp; "/" &amp; COUNTIF($C$13:$C$1000, "*Kiện*") &amp; " " &amp; AA261,
       AA261)
)</f>
        <v/>
      </c>
      <c r="F261" s="206"/>
      <c r="G261" s="206"/>
      <c r="H261" s="206"/>
      <c r="I261" s="206"/>
      <c r="J261" s="206" t="str">
        <f t="shared" si="72"/>
        <v/>
      </c>
      <c r="K261" s="206" t="str">
        <f t="shared" si="60"/>
        <v/>
      </c>
      <c r="L261" s="206" t="str">
        <f t="shared" si="61"/>
        <v/>
      </c>
      <c r="M261" s="206" t="str">
        <f t="shared" si="62"/>
        <v/>
      </c>
      <c r="N261" s="206" t="str">
        <f t="shared" si="73"/>
        <v/>
      </c>
      <c r="O261" s="206" t="str">
        <f t="shared" si="63"/>
        <v/>
      </c>
      <c r="P261" s="165" t="str">
        <f t="shared" si="64"/>
        <v/>
      </c>
      <c r="Q261" s="207"/>
      <c r="R261" s="141" t="str">
        <f>IF(S261="IN",'BOM_Phan II'!$Y$3,"")</f>
        <v/>
      </c>
      <c r="S261" s="153" t="str">
        <f t="shared" si="65"/>
        <v/>
      </c>
      <c r="T261">
        <f t="shared" si="66"/>
        <v>6</v>
      </c>
      <c r="U261" s="208" t="str">
        <f t="shared" si="74"/>
        <v>KIỆN 9</v>
      </c>
      <c r="V261" s="208" t="str">
        <f t="shared" si="67"/>
        <v/>
      </c>
      <c r="W261" s="240"/>
      <c r="X261" s="240"/>
      <c r="Y261" s="240" t="str">
        <f t="shared" si="68"/>
        <v/>
      </c>
      <c r="Z261" s="240"/>
      <c r="AD261" s="232" t="str">
        <f t="shared" si="69"/>
        <v/>
      </c>
      <c r="AE261" s="204"/>
      <c r="AX261" s="3" t="str">
        <f t="shared" si="59"/>
        <v/>
      </c>
    </row>
    <row r="262" spans="1:50" s="155" customFormat="1" ht="30" hidden="1" customHeight="1">
      <c r="A262" s="141" t="str">
        <f t="shared" si="70"/>
        <v/>
      </c>
      <c r="B262" s="141" t="str">
        <f t="shared" si="71"/>
        <v/>
      </c>
      <c r="C262" s="205" t="str" cm="1">
        <f t="array" ref="C262">IF(D262="","",
    IF(AND(ISNUMBER(D262), D262=INT(D262)),
        $V$6 &amp; " " &amp; (IFERROR(MAX($Y$12:$Y261), 0) + 1),
        IF(ISNUMBER(SEARCH(".", D262)), "", INDEX($C$12:$C262, MATCH(2, 1/($C$12:$C262 &lt;&gt; ""))))
    )
)</f>
        <v/>
      </c>
      <c r="D262" s="206"/>
      <c r="E262" s="206" t="str">
        <f>IF(AA262 = "", "",
    IF(ISNUMBER(SEARCH("Kiện", C262)),
       " GÓI " &amp; COUNTIF($C$13:C262, "*Kiện*") &amp; "/" &amp; COUNTIF($C$13:$C$1000, "*Kiện*") &amp; " " &amp; AA262,
       AA262)
)</f>
        <v/>
      </c>
      <c r="F262" s="206"/>
      <c r="G262" s="206"/>
      <c r="H262" s="206"/>
      <c r="I262" s="206"/>
      <c r="J262" s="206" t="str">
        <f t="shared" si="72"/>
        <v/>
      </c>
      <c r="K262" s="206" t="str">
        <f t="shared" si="60"/>
        <v/>
      </c>
      <c r="L262" s="206" t="str">
        <f t="shared" si="61"/>
        <v/>
      </c>
      <c r="M262" s="206" t="str">
        <f t="shared" si="62"/>
        <v/>
      </c>
      <c r="N262" s="206" t="str">
        <f t="shared" si="73"/>
        <v/>
      </c>
      <c r="O262" s="206" t="str">
        <f t="shared" si="63"/>
        <v/>
      </c>
      <c r="P262" s="165" t="str">
        <f t="shared" si="64"/>
        <v/>
      </c>
      <c r="Q262" s="207"/>
      <c r="R262" s="141" t="str">
        <f>IF(S262="IN",'BOM_Phan II'!$Y$3,"")</f>
        <v/>
      </c>
      <c r="S262" s="153" t="str">
        <f t="shared" si="65"/>
        <v/>
      </c>
      <c r="T262">
        <f t="shared" si="66"/>
        <v>6</v>
      </c>
      <c r="U262" s="208" t="str">
        <f t="shared" si="74"/>
        <v>KIỆN 9</v>
      </c>
      <c r="V262" s="208" t="str">
        <f t="shared" si="67"/>
        <v/>
      </c>
      <c r="W262" s="240"/>
      <c r="X262" s="240"/>
      <c r="Y262" s="240" t="str">
        <f t="shared" si="68"/>
        <v/>
      </c>
      <c r="Z262" s="240"/>
      <c r="AD262" s="232" t="str">
        <f t="shared" si="69"/>
        <v/>
      </c>
      <c r="AE262" s="204"/>
      <c r="AX262" s="3" t="str">
        <f t="shared" si="59"/>
        <v/>
      </c>
    </row>
    <row r="263" spans="1:50" s="155" customFormat="1" ht="30" hidden="1" customHeight="1">
      <c r="A263" s="141" t="str">
        <f t="shared" si="70"/>
        <v/>
      </c>
      <c r="B263" s="141" t="str">
        <f t="shared" si="71"/>
        <v/>
      </c>
      <c r="C263" s="205" t="str" cm="1">
        <f t="array" ref="C263">IF(D263="","",
    IF(AND(ISNUMBER(D263), D263=INT(D263)),
        $V$6 &amp; " " &amp; (IFERROR(MAX($Y$12:$Y262), 0) + 1),
        IF(ISNUMBER(SEARCH(".", D263)), "", INDEX($C$12:$C263, MATCH(2, 1/($C$12:$C263 &lt;&gt; ""))))
    )
)</f>
        <v/>
      </c>
      <c r="D263" s="206"/>
      <c r="E263" s="206" t="str">
        <f>IF(AA263 = "", "",
    IF(ISNUMBER(SEARCH("Kiện", C263)),
       " GÓI " &amp; COUNTIF($C$13:C263, "*Kiện*") &amp; "/" &amp; COUNTIF($C$13:$C$1000, "*Kiện*") &amp; " " &amp; AA263,
       AA263)
)</f>
        <v/>
      </c>
      <c r="F263" s="206"/>
      <c r="G263" s="206"/>
      <c r="H263" s="206"/>
      <c r="I263" s="206"/>
      <c r="J263" s="206" t="str">
        <f t="shared" si="72"/>
        <v/>
      </c>
      <c r="K263" s="206" t="str">
        <f t="shared" si="60"/>
        <v/>
      </c>
      <c r="L263" s="206" t="str">
        <f t="shared" si="61"/>
        <v/>
      </c>
      <c r="M263" s="206" t="str">
        <f t="shared" si="62"/>
        <v/>
      </c>
      <c r="N263" s="206" t="str">
        <f t="shared" si="73"/>
        <v/>
      </c>
      <c r="O263" s="206" t="str">
        <f t="shared" si="63"/>
        <v/>
      </c>
      <c r="P263" s="165" t="str">
        <f t="shared" si="64"/>
        <v/>
      </c>
      <c r="Q263" s="207"/>
      <c r="R263" s="141" t="str">
        <f>IF(S263="IN",'BOM_Phan II'!$Y$3,"")</f>
        <v/>
      </c>
      <c r="S263" s="153" t="str">
        <f t="shared" si="65"/>
        <v/>
      </c>
      <c r="T263">
        <f t="shared" si="66"/>
        <v>6</v>
      </c>
      <c r="U263" s="208" t="str">
        <f t="shared" si="74"/>
        <v>KIỆN 9</v>
      </c>
      <c r="V263" s="208" t="str">
        <f t="shared" si="67"/>
        <v/>
      </c>
      <c r="W263" s="240"/>
      <c r="X263" s="240"/>
      <c r="Y263" s="240" t="str">
        <f t="shared" si="68"/>
        <v/>
      </c>
      <c r="Z263" s="240"/>
      <c r="AD263" s="232" t="str">
        <f t="shared" si="69"/>
        <v/>
      </c>
      <c r="AE263" s="204"/>
      <c r="AX263" s="3" t="str">
        <f t="shared" si="59"/>
        <v/>
      </c>
    </row>
    <row r="264" spans="1:50" s="155" customFormat="1" ht="30" hidden="1" customHeight="1">
      <c r="A264" s="141" t="str">
        <f t="shared" si="70"/>
        <v/>
      </c>
      <c r="B264" s="141" t="str">
        <f t="shared" si="71"/>
        <v/>
      </c>
      <c r="C264" s="205" t="str" cm="1">
        <f t="array" ref="C264">IF(D264="","",
    IF(AND(ISNUMBER(D264), D264=INT(D264)),
        $V$6 &amp; " " &amp; (IFERROR(MAX($Y$12:$Y263), 0) + 1),
        IF(ISNUMBER(SEARCH(".", D264)), "", INDEX($C$12:$C264, MATCH(2, 1/($C$12:$C264 &lt;&gt; ""))))
    )
)</f>
        <v/>
      </c>
      <c r="D264" s="206"/>
      <c r="E264" s="206" t="str">
        <f>IF(AA264 = "", "",
    IF(ISNUMBER(SEARCH("Kiện", C264)),
       " GÓI " &amp; COUNTIF($C$13:C264, "*Kiện*") &amp; "/" &amp; COUNTIF($C$13:$C$1000, "*Kiện*") &amp; " " &amp; AA264,
       AA264)
)</f>
        <v/>
      </c>
      <c r="F264" s="206"/>
      <c r="G264" s="206"/>
      <c r="H264" s="206"/>
      <c r="I264" s="206"/>
      <c r="J264" s="206" t="str">
        <f t="shared" si="72"/>
        <v/>
      </c>
      <c r="K264" s="206" t="str">
        <f t="shared" si="60"/>
        <v/>
      </c>
      <c r="L264" s="206" t="str">
        <f t="shared" si="61"/>
        <v/>
      </c>
      <c r="M264" s="206" t="str">
        <f t="shared" si="62"/>
        <v/>
      </c>
      <c r="N264" s="206" t="str">
        <f t="shared" si="73"/>
        <v/>
      </c>
      <c r="O264" s="206" t="str">
        <f t="shared" si="63"/>
        <v/>
      </c>
      <c r="P264" s="165" t="str">
        <f t="shared" si="64"/>
        <v/>
      </c>
      <c r="Q264" s="207"/>
      <c r="R264" s="141" t="str">
        <f>IF(S264="IN",'BOM_Phan II'!$Y$3,"")</f>
        <v/>
      </c>
      <c r="S264" s="153" t="str">
        <f t="shared" si="65"/>
        <v/>
      </c>
      <c r="T264">
        <f t="shared" si="66"/>
        <v>6</v>
      </c>
      <c r="U264" s="208" t="str">
        <f t="shared" si="74"/>
        <v>KIỆN 9</v>
      </c>
      <c r="V264" s="208" t="str">
        <f t="shared" si="67"/>
        <v/>
      </c>
      <c r="W264" s="240"/>
      <c r="X264" s="240"/>
      <c r="Y264" s="240" t="str">
        <f t="shared" si="68"/>
        <v/>
      </c>
      <c r="Z264" s="240"/>
      <c r="AD264" s="232" t="str">
        <f t="shared" si="69"/>
        <v/>
      </c>
      <c r="AE264" s="204"/>
      <c r="AX264" s="3" t="str">
        <f t="shared" si="59"/>
        <v/>
      </c>
    </row>
    <row r="265" spans="1:50" s="155" customFormat="1" ht="30" hidden="1" customHeight="1">
      <c r="A265" s="141" t="str">
        <f t="shared" si="70"/>
        <v/>
      </c>
      <c r="B265" s="141" t="str">
        <f t="shared" si="71"/>
        <v/>
      </c>
      <c r="C265" s="205" t="str" cm="1">
        <f t="array" ref="C265">IF(D265="","",
    IF(AND(ISNUMBER(D265), D265=INT(D265)),
        $V$6 &amp; " " &amp; (IFERROR(MAX($Y$12:$Y264), 0) + 1),
        IF(ISNUMBER(SEARCH(".", D265)), "", INDEX($C$12:$C265, MATCH(2, 1/($C$12:$C265 &lt;&gt; ""))))
    )
)</f>
        <v/>
      </c>
      <c r="D265" s="206"/>
      <c r="E265" s="206" t="str">
        <f>IF(AA265 = "", "",
    IF(ISNUMBER(SEARCH("Kiện", C265)),
       " GÓI " &amp; COUNTIF($C$13:C265, "*Kiện*") &amp; "/" &amp; COUNTIF($C$13:$C$1000, "*Kiện*") &amp; " " &amp; AA265,
       AA265)
)</f>
        <v/>
      </c>
      <c r="F265" s="206"/>
      <c r="G265" s="206"/>
      <c r="H265" s="206"/>
      <c r="I265" s="206"/>
      <c r="J265" s="206" t="str">
        <f t="shared" si="72"/>
        <v/>
      </c>
      <c r="K265" s="206" t="str">
        <f t="shared" si="60"/>
        <v/>
      </c>
      <c r="L265" s="206" t="str">
        <f t="shared" si="61"/>
        <v/>
      </c>
      <c r="M265" s="206" t="str">
        <f t="shared" si="62"/>
        <v/>
      </c>
      <c r="N265" s="206" t="str">
        <f t="shared" si="73"/>
        <v/>
      </c>
      <c r="O265" s="206" t="str">
        <f t="shared" si="63"/>
        <v/>
      </c>
      <c r="P265" s="165" t="str">
        <f t="shared" si="64"/>
        <v/>
      </c>
      <c r="Q265" s="207"/>
      <c r="R265" s="141" t="str">
        <f>IF(S265="IN",'BOM_Phan II'!$Y$3,"")</f>
        <v/>
      </c>
      <c r="S265" s="153" t="str">
        <f t="shared" si="65"/>
        <v/>
      </c>
      <c r="T265">
        <f t="shared" si="66"/>
        <v>6</v>
      </c>
      <c r="U265" s="208" t="str">
        <f t="shared" si="74"/>
        <v>KIỆN 9</v>
      </c>
      <c r="V265" s="208" t="str">
        <f t="shared" si="67"/>
        <v/>
      </c>
      <c r="W265" s="240"/>
      <c r="X265" s="240"/>
      <c r="Y265" s="240" t="str">
        <f t="shared" si="68"/>
        <v/>
      </c>
      <c r="Z265" s="240"/>
      <c r="AD265" s="232" t="str">
        <f t="shared" si="69"/>
        <v/>
      </c>
      <c r="AE265" s="204"/>
      <c r="AX265" s="3" t="str">
        <f t="shared" si="59"/>
        <v/>
      </c>
    </row>
    <row r="266" spans="1:50" s="155" customFormat="1" ht="30" hidden="1" customHeight="1">
      <c r="A266" s="141" t="str">
        <f t="shared" si="70"/>
        <v/>
      </c>
      <c r="B266" s="141" t="str">
        <f t="shared" si="71"/>
        <v/>
      </c>
      <c r="C266" s="205" t="str" cm="1">
        <f t="array" ref="C266">IF(D266="","",
    IF(AND(ISNUMBER(D266), D266=INT(D266)),
        $V$6 &amp; " " &amp; (IFERROR(MAX($Y$12:$Y265), 0) + 1),
        IF(ISNUMBER(SEARCH(".", D266)), "", INDEX($C$12:$C266, MATCH(2, 1/($C$12:$C266 &lt;&gt; ""))))
    )
)</f>
        <v/>
      </c>
      <c r="D266" s="206"/>
      <c r="E266" s="206" t="str">
        <f>IF(AA266 = "", "",
    IF(ISNUMBER(SEARCH("Kiện", C266)),
       " GÓI " &amp; COUNTIF($C$13:C266, "*Kiện*") &amp; "/" &amp; COUNTIF($C$13:$C$1000, "*Kiện*") &amp; " " &amp; AA266,
       AA266)
)</f>
        <v/>
      </c>
      <c r="F266" s="206"/>
      <c r="G266" s="206"/>
      <c r="H266" s="206"/>
      <c r="I266" s="206"/>
      <c r="J266" s="206" t="str">
        <f t="shared" si="72"/>
        <v/>
      </c>
      <c r="K266" s="206" t="str">
        <f t="shared" si="60"/>
        <v/>
      </c>
      <c r="L266" s="206" t="str">
        <f t="shared" si="61"/>
        <v/>
      </c>
      <c r="M266" s="206" t="str">
        <f t="shared" si="62"/>
        <v/>
      </c>
      <c r="N266" s="206" t="str">
        <f t="shared" si="73"/>
        <v/>
      </c>
      <c r="O266" s="206" t="str">
        <f t="shared" si="63"/>
        <v/>
      </c>
      <c r="P266" s="165" t="str">
        <f t="shared" si="64"/>
        <v/>
      </c>
      <c r="Q266" s="207"/>
      <c r="R266" s="141" t="str">
        <f>IF(S266="IN",'BOM_Phan II'!$Y$3,"")</f>
        <v/>
      </c>
      <c r="S266" s="153" t="str">
        <f t="shared" si="65"/>
        <v/>
      </c>
      <c r="T266">
        <f t="shared" si="66"/>
        <v>6</v>
      </c>
      <c r="U266" s="208" t="str">
        <f t="shared" si="74"/>
        <v>KIỆN 9</v>
      </c>
      <c r="V266" s="208" t="str">
        <f t="shared" si="67"/>
        <v/>
      </c>
      <c r="W266" s="240"/>
      <c r="X266" s="240"/>
      <c r="Y266" s="240" t="str">
        <f t="shared" si="68"/>
        <v/>
      </c>
      <c r="Z266" s="240"/>
      <c r="AD266" s="232" t="str">
        <f t="shared" si="69"/>
        <v/>
      </c>
      <c r="AE266" s="204"/>
      <c r="AX266" s="3" t="str">
        <f t="shared" si="59"/>
        <v/>
      </c>
    </row>
    <row r="267" spans="1:50" s="155" customFormat="1" ht="30" hidden="1" customHeight="1">
      <c r="A267" s="141" t="str">
        <f t="shared" si="70"/>
        <v/>
      </c>
      <c r="B267" s="141" t="str">
        <f t="shared" si="71"/>
        <v/>
      </c>
      <c r="C267" s="205" t="str" cm="1">
        <f t="array" ref="C267">IF(D267="","",
    IF(AND(ISNUMBER(D267), D267=INT(D267)),
        $V$6 &amp; " " &amp; (IFERROR(MAX($Y$12:$Y266), 0) + 1),
        IF(ISNUMBER(SEARCH(".", D267)), "", INDEX($C$12:$C267, MATCH(2, 1/($C$12:$C267 &lt;&gt; ""))))
    )
)</f>
        <v/>
      </c>
      <c r="D267" s="206"/>
      <c r="E267" s="206" t="str">
        <f>IF(AA267 = "", "",
    IF(ISNUMBER(SEARCH("Kiện", C267)),
       " GÓI " &amp; COUNTIF($C$13:C267, "*Kiện*") &amp; "/" &amp; COUNTIF($C$13:$C$1000, "*Kiện*") &amp; " " &amp; AA267,
       AA267)
)</f>
        <v/>
      </c>
      <c r="F267" s="206"/>
      <c r="G267" s="206"/>
      <c r="H267" s="206"/>
      <c r="I267" s="206"/>
      <c r="J267" s="206" t="str">
        <f t="shared" si="72"/>
        <v/>
      </c>
      <c r="K267" s="206" t="str">
        <f t="shared" si="60"/>
        <v/>
      </c>
      <c r="L267" s="206" t="str">
        <f t="shared" si="61"/>
        <v/>
      </c>
      <c r="M267" s="206" t="str">
        <f t="shared" si="62"/>
        <v/>
      </c>
      <c r="N267" s="206" t="str">
        <f t="shared" si="73"/>
        <v/>
      </c>
      <c r="O267" s="206" t="str">
        <f t="shared" si="63"/>
        <v/>
      </c>
      <c r="P267" s="165" t="str">
        <f t="shared" si="64"/>
        <v/>
      </c>
      <c r="Q267" s="207"/>
      <c r="R267" s="141" t="str">
        <f>IF(S267="IN",'BOM_Phan II'!$Y$3,"")</f>
        <v/>
      </c>
      <c r="S267" s="153" t="str">
        <f t="shared" si="65"/>
        <v/>
      </c>
      <c r="T267">
        <f t="shared" si="66"/>
        <v>6</v>
      </c>
      <c r="U267" s="208" t="str">
        <f t="shared" si="74"/>
        <v>KIỆN 9</v>
      </c>
      <c r="V267" s="208" t="str">
        <f t="shared" si="67"/>
        <v/>
      </c>
      <c r="W267" s="240"/>
      <c r="X267" s="240"/>
      <c r="Y267" s="240" t="str">
        <f t="shared" si="68"/>
        <v/>
      </c>
      <c r="Z267" s="240"/>
      <c r="AD267" s="232" t="str">
        <f t="shared" si="69"/>
        <v/>
      </c>
      <c r="AE267" s="204"/>
      <c r="AX267" s="3" t="str">
        <f t="shared" si="59"/>
        <v/>
      </c>
    </row>
    <row r="268" spans="1:50" s="155" customFormat="1" ht="30" hidden="1" customHeight="1">
      <c r="A268" s="141" t="str">
        <f t="shared" si="70"/>
        <v/>
      </c>
      <c r="B268" s="141" t="str">
        <f t="shared" si="71"/>
        <v/>
      </c>
      <c r="C268" s="205" t="str" cm="1">
        <f t="array" ref="C268">IF(D268="","",
    IF(AND(ISNUMBER(D268), D268=INT(D268)),
        $V$6 &amp; " " &amp; (IFERROR(MAX($Y$12:$Y267), 0) + 1),
        IF(ISNUMBER(SEARCH(".", D268)), "", INDEX($C$12:$C268, MATCH(2, 1/($C$12:$C268 &lt;&gt; ""))))
    )
)</f>
        <v/>
      </c>
      <c r="D268" s="206"/>
      <c r="E268" s="206" t="str">
        <f>IF(AA268 = "", "",
    IF(ISNUMBER(SEARCH("Kiện", C268)),
       " GÓI " &amp; COUNTIF($C$13:C268, "*Kiện*") &amp; "/" &amp; COUNTIF($C$13:$C$1000, "*Kiện*") &amp; " " &amp; AA268,
       AA268)
)</f>
        <v/>
      </c>
      <c r="F268" s="206"/>
      <c r="G268" s="206"/>
      <c r="H268" s="206"/>
      <c r="I268" s="206"/>
      <c r="J268" s="206" t="str">
        <f t="shared" si="72"/>
        <v/>
      </c>
      <c r="K268" s="206" t="str">
        <f t="shared" si="60"/>
        <v/>
      </c>
      <c r="L268" s="206" t="str">
        <f t="shared" si="61"/>
        <v/>
      </c>
      <c r="M268" s="206" t="str">
        <f t="shared" si="62"/>
        <v/>
      </c>
      <c r="N268" s="206" t="str">
        <f t="shared" si="73"/>
        <v/>
      </c>
      <c r="O268" s="206" t="str">
        <f t="shared" si="63"/>
        <v/>
      </c>
      <c r="P268" s="165" t="str">
        <f t="shared" si="64"/>
        <v/>
      </c>
      <c r="Q268" s="207"/>
      <c r="R268" s="141" t="str">
        <f>IF(S268="IN",'BOM_Phan II'!$Y$3,"")</f>
        <v/>
      </c>
      <c r="S268" s="153" t="str">
        <f t="shared" si="65"/>
        <v/>
      </c>
      <c r="T268">
        <f t="shared" si="66"/>
        <v>6</v>
      </c>
      <c r="U268" s="208" t="str">
        <f t="shared" si="74"/>
        <v>KIỆN 9</v>
      </c>
      <c r="V268" s="208" t="str">
        <f t="shared" si="67"/>
        <v/>
      </c>
      <c r="W268" s="240"/>
      <c r="X268" s="240"/>
      <c r="Y268" s="240" t="str">
        <f t="shared" si="68"/>
        <v/>
      </c>
      <c r="Z268" s="240"/>
      <c r="AD268" s="232" t="str">
        <f t="shared" si="69"/>
        <v/>
      </c>
      <c r="AE268" s="204"/>
      <c r="AX268" s="3" t="str">
        <f t="shared" ref="AX268:AX331" si="75">+S268</f>
        <v/>
      </c>
    </row>
    <row r="269" spans="1:50" s="155" customFormat="1" ht="30" hidden="1" customHeight="1">
      <c r="A269" s="141" t="str">
        <f t="shared" si="70"/>
        <v/>
      </c>
      <c r="B269" s="141" t="str">
        <f t="shared" si="71"/>
        <v/>
      </c>
      <c r="C269" s="205" t="str" cm="1">
        <f t="array" ref="C269">IF(D269="","",
    IF(AND(ISNUMBER(D269), D269=INT(D269)),
        $V$6 &amp; " " &amp; (IFERROR(MAX($Y$12:$Y268), 0) + 1),
        IF(ISNUMBER(SEARCH(".", D269)), "", INDEX($C$12:$C269, MATCH(2, 1/($C$12:$C269 &lt;&gt; ""))))
    )
)</f>
        <v/>
      </c>
      <c r="D269" s="206"/>
      <c r="E269" s="206" t="str">
        <f>IF(AA269 = "", "",
    IF(ISNUMBER(SEARCH("Kiện", C269)),
       " GÓI " &amp; COUNTIF($C$13:C269, "*Kiện*") &amp; "/" &amp; COUNTIF($C$13:$C$1000, "*Kiện*") &amp; " " &amp; AA269,
       AA269)
)</f>
        <v/>
      </c>
      <c r="F269" s="206"/>
      <c r="G269" s="206"/>
      <c r="H269" s="206"/>
      <c r="I269" s="206"/>
      <c r="J269" s="206" t="str">
        <f t="shared" si="72"/>
        <v/>
      </c>
      <c r="K269" s="206" t="str">
        <f t="shared" si="60"/>
        <v/>
      </c>
      <c r="L269" s="206" t="str">
        <f t="shared" si="61"/>
        <v/>
      </c>
      <c r="M269" s="206" t="str">
        <f t="shared" si="62"/>
        <v/>
      </c>
      <c r="N269" s="206" t="str">
        <f t="shared" si="73"/>
        <v/>
      </c>
      <c r="O269" s="206" t="str">
        <f t="shared" si="63"/>
        <v/>
      </c>
      <c r="P269" s="165" t="str">
        <f t="shared" si="64"/>
        <v/>
      </c>
      <c r="Q269" s="207"/>
      <c r="R269" s="141" t="str">
        <f>IF(S269="IN",'BOM_Phan II'!$Y$3,"")</f>
        <v/>
      </c>
      <c r="S269" s="153" t="str">
        <f t="shared" si="65"/>
        <v/>
      </c>
      <c r="T269">
        <f t="shared" si="66"/>
        <v>6</v>
      </c>
      <c r="U269" s="208" t="str">
        <f t="shared" si="74"/>
        <v>KIỆN 9</v>
      </c>
      <c r="V269" s="208" t="str">
        <f t="shared" si="67"/>
        <v/>
      </c>
      <c r="W269" s="240"/>
      <c r="X269" s="240"/>
      <c r="Y269" s="240" t="str">
        <f t="shared" si="68"/>
        <v/>
      </c>
      <c r="Z269" s="240"/>
      <c r="AD269" s="232" t="str">
        <f t="shared" si="69"/>
        <v/>
      </c>
      <c r="AE269" s="204"/>
      <c r="AX269" s="3" t="str">
        <f t="shared" si="75"/>
        <v/>
      </c>
    </row>
    <row r="270" spans="1:50" s="155" customFormat="1" ht="30" hidden="1" customHeight="1">
      <c r="A270" s="141" t="str">
        <f t="shared" si="70"/>
        <v/>
      </c>
      <c r="B270" s="141" t="str">
        <f t="shared" si="71"/>
        <v/>
      </c>
      <c r="C270" s="205" t="str" cm="1">
        <f t="array" ref="C270">IF(D270="","",
    IF(AND(ISNUMBER(D270), D270=INT(D270)),
        $V$6 &amp; " " &amp; (IFERROR(MAX($Y$12:$Y269), 0) + 1),
        IF(ISNUMBER(SEARCH(".", D270)), "", INDEX($C$12:$C270, MATCH(2, 1/($C$12:$C270 &lt;&gt; ""))))
    )
)</f>
        <v/>
      </c>
      <c r="D270" s="206"/>
      <c r="E270" s="206" t="str">
        <f>IF(AA270 = "", "",
    IF(ISNUMBER(SEARCH("Kiện", C270)),
       " GÓI " &amp; COUNTIF($C$13:C270, "*Kiện*") &amp; "/" &amp; COUNTIF($C$13:$C$1000, "*Kiện*") &amp; " " &amp; AA270,
       AA270)
)</f>
        <v/>
      </c>
      <c r="F270" s="206"/>
      <c r="G270" s="206"/>
      <c r="H270" s="206"/>
      <c r="I270" s="206"/>
      <c r="J270" s="206" t="str">
        <f t="shared" si="72"/>
        <v/>
      </c>
      <c r="K270" s="206" t="str">
        <f t="shared" ref="K270:K333" si="76">IFERROR(IF($C270&lt;&gt;"",IF($T$13=1,F270+20,IF($T$13=2,F270+20,IF($T$13=3,F270+50,IF($T$13=4,F270+40,IF($T$13=5,F270+50,IF($T$13=51,F270+50,IF($T$13=6,F270+50,IF($T$13=7,F270+50,"")))))))),""),"")</f>
        <v/>
      </c>
      <c r="L270" s="206" t="str">
        <f t="shared" ref="L270:L333" si="77">IFERROR(IF($C270&lt;&gt;"",IF($T$13=1,G270+20,IF($T$13=2,G270+20,IF($T$13=3,G270+50,IF($T$13=4,G270+40,IF($T$13=5,G270+50,IF($T$13=51,G270+50,IF($T$13=6,G270+50,IF($T$13=7,G270+50,"")))))))),""),"")</f>
        <v/>
      </c>
      <c r="M270" s="206" t="str">
        <f t="shared" ref="M270:M333" si="78">IFERROR(IF($C270&lt;&gt;"",IF($T$13=1,H270+20,IF($T$13=2,H270+20,IF($T$13=3,H270+70,IF($T$13=4,H270+40,IF($T$13=5,H270+50,IF($T$13=51,H270+150,IF($T$13=6,H270+50,IF($T$13=7,H270+50,"")))))))),""),"")</f>
        <v/>
      </c>
      <c r="N270" s="206" t="str">
        <f t="shared" si="73"/>
        <v/>
      </c>
      <c r="O270" s="206" t="str">
        <f t="shared" ref="O270:O333" si="79">IF(C270&lt;&gt;"",$O$12,"")</f>
        <v/>
      </c>
      <c r="P270" s="165" t="str">
        <f t="shared" ref="P270:P333" si="80">IFERROR(IF(C270&lt;&gt;"",SUMIFS($V$13:$V$969,$U$13:$U$969,C270)*$S$6,V270*$S$6),"")</f>
        <v/>
      </c>
      <c r="Q270" s="207"/>
      <c r="R270" s="141" t="str">
        <f>IF(S270="IN",'BOM_Phan II'!$Y$3,"")</f>
        <v/>
      </c>
      <c r="S270" s="153" t="str">
        <f t="shared" ref="S270:S333" si="81">IF(OR(E270&lt;&gt;"",D270&lt;&gt;""),"IN","")</f>
        <v/>
      </c>
      <c r="T270">
        <f t="shared" ref="T270:T333" si="82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270" s="208" t="str">
        <f t="shared" si="74"/>
        <v>KIỆN 9</v>
      </c>
      <c r="V270" s="208" t="str">
        <f t="shared" ref="V270:V333" si="83">IFERROR(IF(AND(C270="", OR($W270="1", $W270="2")), IF(I270="", "", F270*G270*H270*I270/10^9), ""), "")</f>
        <v/>
      </c>
      <c r="W270" s="240"/>
      <c r="X270" s="240"/>
      <c r="Y270" s="240" t="str">
        <f t="shared" ref="Y270:Y333" si="84">IFERROR(VALUE(RIGHT(C270,LEN(C270)-5)),"")</f>
        <v/>
      </c>
      <c r="Z270" s="240"/>
      <c r="AD270" s="232" t="str">
        <f t="shared" ref="AD270:AD333" si="85">IFERROR(VALUE(RIGHT(C270,LEN(C270)-5)),"")</f>
        <v/>
      </c>
      <c r="AE270" s="204"/>
      <c r="AX270" s="3" t="str">
        <f t="shared" si="75"/>
        <v/>
      </c>
    </row>
    <row r="271" spans="1:50" s="155" customFormat="1" ht="30" hidden="1" customHeight="1">
      <c r="A271" s="141" t="str">
        <f t="shared" si="70"/>
        <v/>
      </c>
      <c r="B271" s="141" t="str">
        <f t="shared" si="71"/>
        <v/>
      </c>
      <c r="C271" s="205" t="str" cm="1">
        <f t="array" ref="C271">IF(D271="","",
    IF(AND(ISNUMBER(D271), D271=INT(D271)),
        $V$6 &amp; " " &amp; (IFERROR(MAX($Y$12:$Y270), 0) + 1),
        IF(ISNUMBER(SEARCH(".", D271)), "", INDEX($C$12:$C271, MATCH(2, 1/($C$12:$C271 &lt;&gt; ""))))
    )
)</f>
        <v/>
      </c>
      <c r="D271" s="206"/>
      <c r="E271" s="206" t="str">
        <f>IF(AA271 = "", "",
    IF(ISNUMBER(SEARCH("Kiện", C271)),
       " GÓI " &amp; COUNTIF($C$13:C271, "*Kiện*") &amp; "/" &amp; COUNTIF($C$13:$C$1000, "*Kiện*") &amp; " " &amp; AA271,
       AA271)
)</f>
        <v/>
      </c>
      <c r="F271" s="206"/>
      <c r="G271" s="206"/>
      <c r="H271" s="206"/>
      <c r="I271" s="206"/>
      <c r="J271" s="206" t="str">
        <f t="shared" si="72"/>
        <v/>
      </c>
      <c r="K271" s="206" t="str">
        <f t="shared" si="76"/>
        <v/>
      </c>
      <c r="L271" s="206" t="str">
        <f t="shared" si="77"/>
        <v/>
      </c>
      <c r="M271" s="206" t="str">
        <f t="shared" si="78"/>
        <v/>
      </c>
      <c r="N271" s="206" t="str">
        <f t="shared" si="73"/>
        <v/>
      </c>
      <c r="O271" s="206" t="str">
        <f t="shared" si="79"/>
        <v/>
      </c>
      <c r="P271" s="165" t="str">
        <f t="shared" si="80"/>
        <v/>
      </c>
      <c r="Q271" s="207"/>
      <c r="R271" s="141" t="str">
        <f>IF(S271="IN",'BOM_Phan II'!$Y$3,"")</f>
        <v/>
      </c>
      <c r="S271" s="153" t="str">
        <f t="shared" si="81"/>
        <v/>
      </c>
      <c r="T271">
        <f t="shared" si="82"/>
        <v>6</v>
      </c>
      <c r="U271" s="208" t="str">
        <f t="shared" si="74"/>
        <v>KIỆN 9</v>
      </c>
      <c r="V271" s="208" t="str">
        <f t="shared" si="83"/>
        <v/>
      </c>
      <c r="W271" s="240"/>
      <c r="X271" s="240"/>
      <c r="Y271" s="240" t="str">
        <f t="shared" si="84"/>
        <v/>
      </c>
      <c r="Z271" s="240"/>
      <c r="AD271" s="232" t="str">
        <f t="shared" si="85"/>
        <v/>
      </c>
      <c r="AE271" s="204"/>
      <c r="AX271" s="3" t="str">
        <f t="shared" si="75"/>
        <v/>
      </c>
    </row>
    <row r="272" spans="1:50" s="155" customFormat="1" ht="30" hidden="1" customHeight="1">
      <c r="A272" s="141" t="str">
        <f t="shared" ref="A272:A335" si="86">IF(S272="IN",$E$6,"")</f>
        <v/>
      </c>
      <c r="B272" s="141" t="str">
        <f t="shared" ref="B272:B335" si="87">IF(S272="IN","Muc "&amp;$E$7,"")</f>
        <v/>
      </c>
      <c r="C272" s="205" t="str" cm="1">
        <f t="array" ref="C272">IF(D272="","",
    IF(AND(ISNUMBER(D272), D272=INT(D272)),
        $V$6 &amp; " " &amp; (IFERROR(MAX($Y$12:$Y271), 0) + 1),
        IF(ISNUMBER(SEARCH(".", D272)), "", INDEX($C$12:$C272, MATCH(2, 1/($C$12:$C272 &lt;&gt; ""))))
    )
)</f>
        <v/>
      </c>
      <c r="D272" s="206"/>
      <c r="E272" s="206" t="str">
        <f>IF(AA272 = "", "",
    IF(ISNUMBER(SEARCH("Kiện", C272)),
       " GÓI " &amp; COUNTIF($C$13:C272, "*Kiện*") &amp; "/" &amp; COUNTIF($C$13:$C$1000, "*Kiện*") &amp; " " &amp; AA272,
       AA272)
)</f>
        <v/>
      </c>
      <c r="F272" s="206"/>
      <c r="G272" s="206"/>
      <c r="H272" s="206"/>
      <c r="I272" s="206"/>
      <c r="J272" s="206" t="str">
        <f t="shared" ref="J272:J335" si="88">IF(C272&lt;&gt;"",C272&amp;"_"&amp;$E$6,"")</f>
        <v/>
      </c>
      <c r="K272" s="206" t="str">
        <f t="shared" si="76"/>
        <v/>
      </c>
      <c r="L272" s="206" t="str">
        <f t="shared" si="77"/>
        <v/>
      </c>
      <c r="M272" s="206" t="str">
        <f t="shared" si="78"/>
        <v/>
      </c>
      <c r="N272" s="206" t="str">
        <f t="shared" ref="N272:N335" si="89">IF(C272&lt;&gt;"",I272,"")</f>
        <v/>
      </c>
      <c r="O272" s="206" t="str">
        <f t="shared" si="79"/>
        <v/>
      </c>
      <c r="P272" s="165" t="str">
        <f t="shared" si="80"/>
        <v/>
      </c>
      <c r="Q272" s="207"/>
      <c r="R272" s="141" t="str">
        <f>IF(S272="IN",'BOM_Phan II'!$Y$3,"")</f>
        <v/>
      </c>
      <c r="S272" s="153" t="str">
        <f t="shared" si="81"/>
        <v/>
      </c>
      <c r="T272">
        <f t="shared" si="82"/>
        <v>6</v>
      </c>
      <c r="U272" s="208" t="str">
        <f t="shared" ref="U272:U335" si="90">IF(C272="",U271,C272)</f>
        <v>KIỆN 9</v>
      </c>
      <c r="V272" s="208" t="str">
        <f t="shared" si="83"/>
        <v/>
      </c>
      <c r="W272" s="240"/>
      <c r="X272" s="240"/>
      <c r="Y272" s="240" t="str">
        <f t="shared" si="84"/>
        <v/>
      </c>
      <c r="Z272" s="240"/>
      <c r="AD272" s="232" t="str">
        <f t="shared" si="85"/>
        <v/>
      </c>
      <c r="AE272" s="204"/>
      <c r="AX272" s="3" t="str">
        <f t="shared" si="75"/>
        <v/>
      </c>
    </row>
    <row r="273" spans="1:50" s="155" customFormat="1" ht="30" hidden="1" customHeight="1">
      <c r="A273" s="141" t="str">
        <f t="shared" si="86"/>
        <v/>
      </c>
      <c r="B273" s="141" t="str">
        <f t="shared" si="87"/>
        <v/>
      </c>
      <c r="C273" s="205" t="str" cm="1">
        <f t="array" ref="C273">IF(D273="","",
    IF(AND(ISNUMBER(D273), D273=INT(D273)),
        $V$6 &amp; " " &amp; (IFERROR(MAX($Y$12:$Y272), 0) + 1),
        IF(ISNUMBER(SEARCH(".", D273)), "", INDEX($C$12:$C273, MATCH(2, 1/($C$12:$C273 &lt;&gt; ""))))
    )
)</f>
        <v/>
      </c>
      <c r="D273" s="206"/>
      <c r="E273" s="206" t="str">
        <f>IF(AA273 = "", "",
    IF(ISNUMBER(SEARCH("Kiện", C273)),
       " GÓI " &amp; COUNTIF($C$13:C273, "*Kiện*") &amp; "/" &amp; COUNTIF($C$13:$C$1000, "*Kiện*") &amp; " " &amp; AA273,
       AA273)
)</f>
        <v/>
      </c>
      <c r="F273" s="206"/>
      <c r="G273" s="206"/>
      <c r="H273" s="206"/>
      <c r="I273" s="206"/>
      <c r="J273" s="206" t="str">
        <f t="shared" si="88"/>
        <v/>
      </c>
      <c r="K273" s="206" t="str">
        <f t="shared" si="76"/>
        <v/>
      </c>
      <c r="L273" s="206" t="str">
        <f t="shared" si="77"/>
        <v/>
      </c>
      <c r="M273" s="206" t="str">
        <f t="shared" si="78"/>
        <v/>
      </c>
      <c r="N273" s="206" t="str">
        <f t="shared" si="89"/>
        <v/>
      </c>
      <c r="O273" s="206" t="str">
        <f t="shared" si="79"/>
        <v/>
      </c>
      <c r="P273" s="165" t="str">
        <f t="shared" si="80"/>
        <v/>
      </c>
      <c r="Q273" s="207"/>
      <c r="R273" s="141" t="str">
        <f>IF(S273="IN",'BOM_Phan II'!$Y$3,"")</f>
        <v/>
      </c>
      <c r="S273" s="153" t="str">
        <f t="shared" si="81"/>
        <v/>
      </c>
      <c r="T273">
        <f t="shared" si="82"/>
        <v>6</v>
      </c>
      <c r="U273" s="208" t="str">
        <f t="shared" si="90"/>
        <v>KIỆN 9</v>
      </c>
      <c r="V273" s="208" t="str">
        <f t="shared" si="83"/>
        <v/>
      </c>
      <c r="W273" s="240"/>
      <c r="X273" s="240"/>
      <c r="Y273" s="240" t="str">
        <f t="shared" si="84"/>
        <v/>
      </c>
      <c r="Z273" s="240"/>
      <c r="AD273" s="232" t="str">
        <f t="shared" si="85"/>
        <v/>
      </c>
      <c r="AE273" s="204"/>
      <c r="AX273" s="3" t="str">
        <f t="shared" si="75"/>
        <v/>
      </c>
    </row>
    <row r="274" spans="1:50" s="155" customFormat="1" ht="30" hidden="1" customHeight="1">
      <c r="A274" s="141" t="str">
        <f t="shared" si="86"/>
        <v/>
      </c>
      <c r="B274" s="141" t="str">
        <f t="shared" si="87"/>
        <v/>
      </c>
      <c r="C274" s="205" t="str" cm="1">
        <f t="array" ref="C274">IF(D274="","",
    IF(AND(ISNUMBER(D274), D274=INT(D274)),
        $V$6 &amp; " " &amp; (IFERROR(MAX($Y$12:$Y273), 0) + 1),
        IF(ISNUMBER(SEARCH(".", D274)), "", INDEX($C$12:$C274, MATCH(2, 1/($C$12:$C274 &lt;&gt; ""))))
    )
)</f>
        <v/>
      </c>
      <c r="D274" s="206"/>
      <c r="E274" s="206" t="str">
        <f>IF(AA274 = "", "",
    IF(ISNUMBER(SEARCH("Kiện", C274)),
       " GÓI " &amp; COUNTIF($C$13:C274, "*Kiện*") &amp; "/" &amp; COUNTIF($C$13:$C$1000, "*Kiện*") &amp; " " &amp; AA274,
       AA274)
)</f>
        <v/>
      </c>
      <c r="F274" s="206"/>
      <c r="G274" s="206"/>
      <c r="H274" s="206"/>
      <c r="I274" s="206"/>
      <c r="J274" s="206" t="str">
        <f t="shared" si="88"/>
        <v/>
      </c>
      <c r="K274" s="206" t="str">
        <f t="shared" si="76"/>
        <v/>
      </c>
      <c r="L274" s="206" t="str">
        <f t="shared" si="77"/>
        <v/>
      </c>
      <c r="M274" s="206" t="str">
        <f t="shared" si="78"/>
        <v/>
      </c>
      <c r="N274" s="206" t="str">
        <f t="shared" si="89"/>
        <v/>
      </c>
      <c r="O274" s="206" t="str">
        <f t="shared" si="79"/>
        <v/>
      </c>
      <c r="P274" s="165" t="str">
        <f t="shared" si="80"/>
        <v/>
      </c>
      <c r="Q274" s="207"/>
      <c r="R274" s="141" t="str">
        <f>IF(S274="IN",'BOM_Phan II'!$Y$3,"")</f>
        <v/>
      </c>
      <c r="S274" s="153" t="str">
        <f t="shared" si="81"/>
        <v/>
      </c>
      <c r="T274">
        <f t="shared" si="82"/>
        <v>6</v>
      </c>
      <c r="U274" s="208" t="str">
        <f t="shared" si="90"/>
        <v>KIỆN 9</v>
      </c>
      <c r="V274" s="208" t="str">
        <f t="shared" si="83"/>
        <v/>
      </c>
      <c r="W274" s="240"/>
      <c r="X274" s="240"/>
      <c r="Y274" s="240" t="str">
        <f t="shared" si="84"/>
        <v/>
      </c>
      <c r="Z274" s="240"/>
      <c r="AD274" s="232" t="str">
        <f t="shared" si="85"/>
        <v/>
      </c>
      <c r="AE274" s="204"/>
      <c r="AX274" s="3" t="str">
        <f t="shared" si="75"/>
        <v/>
      </c>
    </row>
    <row r="275" spans="1:50" s="155" customFormat="1" ht="30" hidden="1" customHeight="1">
      <c r="A275" s="141" t="str">
        <f t="shared" si="86"/>
        <v/>
      </c>
      <c r="B275" s="141" t="str">
        <f t="shared" si="87"/>
        <v/>
      </c>
      <c r="C275" s="205" t="str" cm="1">
        <f t="array" ref="C275">IF(D275="","",
    IF(AND(ISNUMBER(D275), D275=INT(D275)),
        $V$6 &amp; " " &amp; (IFERROR(MAX($Y$12:$Y274), 0) + 1),
        IF(ISNUMBER(SEARCH(".", D275)), "", INDEX($C$12:$C275, MATCH(2, 1/($C$12:$C275 &lt;&gt; ""))))
    )
)</f>
        <v/>
      </c>
      <c r="D275" s="206"/>
      <c r="E275" s="206" t="str">
        <f>IF(AA275 = "", "",
    IF(ISNUMBER(SEARCH("Kiện", C275)),
       " GÓI " &amp; COUNTIF($C$13:C275, "*Kiện*") &amp; "/" &amp; COUNTIF($C$13:$C$1000, "*Kiện*") &amp; " " &amp; AA275,
       AA275)
)</f>
        <v/>
      </c>
      <c r="F275" s="206"/>
      <c r="G275" s="206"/>
      <c r="H275" s="206"/>
      <c r="I275" s="206"/>
      <c r="J275" s="206" t="str">
        <f t="shared" si="88"/>
        <v/>
      </c>
      <c r="K275" s="206" t="str">
        <f t="shared" si="76"/>
        <v/>
      </c>
      <c r="L275" s="206" t="str">
        <f t="shared" si="77"/>
        <v/>
      </c>
      <c r="M275" s="206" t="str">
        <f t="shared" si="78"/>
        <v/>
      </c>
      <c r="N275" s="206" t="str">
        <f t="shared" si="89"/>
        <v/>
      </c>
      <c r="O275" s="206" t="str">
        <f t="shared" si="79"/>
        <v/>
      </c>
      <c r="P275" s="165" t="str">
        <f t="shared" si="80"/>
        <v/>
      </c>
      <c r="Q275" s="207"/>
      <c r="R275" s="141" t="str">
        <f>IF(S275="IN",'BOM_Phan II'!$Y$3,"")</f>
        <v/>
      </c>
      <c r="S275" s="153" t="str">
        <f t="shared" si="81"/>
        <v/>
      </c>
      <c r="T275">
        <f t="shared" si="82"/>
        <v>6</v>
      </c>
      <c r="U275" s="208" t="str">
        <f t="shared" si="90"/>
        <v>KIỆN 9</v>
      </c>
      <c r="V275" s="208" t="str">
        <f t="shared" si="83"/>
        <v/>
      </c>
      <c r="W275" s="240"/>
      <c r="X275" s="240"/>
      <c r="Y275" s="240" t="str">
        <f t="shared" si="84"/>
        <v/>
      </c>
      <c r="Z275" s="240"/>
      <c r="AD275" s="232" t="str">
        <f t="shared" si="85"/>
        <v/>
      </c>
      <c r="AE275" s="204"/>
      <c r="AX275" s="3" t="str">
        <f t="shared" si="75"/>
        <v/>
      </c>
    </row>
    <row r="276" spans="1:50" s="155" customFormat="1" ht="30" hidden="1" customHeight="1">
      <c r="A276" s="141" t="str">
        <f t="shared" si="86"/>
        <v/>
      </c>
      <c r="B276" s="141" t="str">
        <f t="shared" si="87"/>
        <v/>
      </c>
      <c r="C276" s="205" t="str" cm="1">
        <f t="array" ref="C276">IF(D276="","",
    IF(AND(ISNUMBER(D276), D276=INT(D276)),
        $V$6 &amp; " " &amp; (IFERROR(MAX($Y$12:$Y275), 0) + 1),
        IF(ISNUMBER(SEARCH(".", D276)), "", INDEX($C$12:$C276, MATCH(2, 1/($C$12:$C276 &lt;&gt; ""))))
    )
)</f>
        <v/>
      </c>
      <c r="D276" s="206"/>
      <c r="E276" s="206" t="str">
        <f>IF(AA276 = "", "",
    IF(ISNUMBER(SEARCH("Kiện", C276)),
       " GÓI " &amp; COUNTIF($C$13:C276, "*Kiện*") &amp; "/" &amp; COUNTIF($C$13:$C$1000, "*Kiện*") &amp; " " &amp; AA276,
       AA276)
)</f>
        <v/>
      </c>
      <c r="F276" s="206"/>
      <c r="G276" s="206"/>
      <c r="H276" s="206"/>
      <c r="I276" s="206"/>
      <c r="J276" s="206" t="str">
        <f t="shared" si="88"/>
        <v/>
      </c>
      <c r="K276" s="206" t="str">
        <f t="shared" si="76"/>
        <v/>
      </c>
      <c r="L276" s="206" t="str">
        <f t="shared" si="77"/>
        <v/>
      </c>
      <c r="M276" s="206" t="str">
        <f t="shared" si="78"/>
        <v/>
      </c>
      <c r="N276" s="206" t="str">
        <f t="shared" si="89"/>
        <v/>
      </c>
      <c r="O276" s="206" t="str">
        <f t="shared" si="79"/>
        <v/>
      </c>
      <c r="P276" s="165" t="str">
        <f t="shared" si="80"/>
        <v/>
      </c>
      <c r="Q276" s="207"/>
      <c r="R276" s="141" t="str">
        <f>IF(S276="IN",'BOM_Phan II'!$Y$3,"")</f>
        <v/>
      </c>
      <c r="S276" s="153" t="str">
        <f t="shared" si="81"/>
        <v/>
      </c>
      <c r="T276">
        <f t="shared" si="82"/>
        <v>6</v>
      </c>
      <c r="U276" s="208" t="str">
        <f t="shared" si="90"/>
        <v>KIỆN 9</v>
      </c>
      <c r="V276" s="208" t="str">
        <f t="shared" si="83"/>
        <v/>
      </c>
      <c r="W276" s="240"/>
      <c r="X276" s="240"/>
      <c r="Y276" s="240" t="str">
        <f t="shared" si="84"/>
        <v/>
      </c>
      <c r="Z276" s="240"/>
      <c r="AD276" s="232" t="str">
        <f t="shared" si="85"/>
        <v/>
      </c>
      <c r="AE276" s="204"/>
      <c r="AX276" s="3" t="str">
        <f t="shared" si="75"/>
        <v/>
      </c>
    </row>
    <row r="277" spans="1:50" s="155" customFormat="1" ht="30" hidden="1" customHeight="1">
      <c r="A277" s="141" t="str">
        <f t="shared" si="86"/>
        <v/>
      </c>
      <c r="B277" s="141" t="str">
        <f t="shared" si="87"/>
        <v/>
      </c>
      <c r="C277" s="205" t="str" cm="1">
        <f t="array" ref="C277">IF(D277="","",
    IF(AND(ISNUMBER(D277), D277=INT(D277)),
        $V$6 &amp; " " &amp; (IFERROR(MAX($Y$12:$Y276), 0) + 1),
        IF(ISNUMBER(SEARCH(".", D277)), "", INDEX($C$12:$C277, MATCH(2, 1/($C$12:$C277 &lt;&gt; ""))))
    )
)</f>
        <v/>
      </c>
      <c r="D277" s="206"/>
      <c r="E277" s="206" t="str">
        <f>IF(AA277 = "", "",
    IF(ISNUMBER(SEARCH("Kiện", C277)),
       " GÓI " &amp; COUNTIF($C$13:C277, "*Kiện*") &amp; "/" &amp; COUNTIF($C$13:$C$1000, "*Kiện*") &amp; " " &amp; AA277,
       AA277)
)</f>
        <v/>
      </c>
      <c r="F277" s="206"/>
      <c r="G277" s="206"/>
      <c r="H277" s="206"/>
      <c r="I277" s="206"/>
      <c r="J277" s="206" t="str">
        <f t="shared" si="88"/>
        <v/>
      </c>
      <c r="K277" s="206" t="str">
        <f t="shared" si="76"/>
        <v/>
      </c>
      <c r="L277" s="206" t="str">
        <f t="shared" si="77"/>
        <v/>
      </c>
      <c r="M277" s="206" t="str">
        <f t="shared" si="78"/>
        <v/>
      </c>
      <c r="N277" s="206" t="str">
        <f t="shared" si="89"/>
        <v/>
      </c>
      <c r="O277" s="206" t="str">
        <f t="shared" si="79"/>
        <v/>
      </c>
      <c r="P277" s="165" t="str">
        <f t="shared" si="80"/>
        <v/>
      </c>
      <c r="Q277" s="207"/>
      <c r="R277" s="141" t="str">
        <f>IF(S277="IN",'BOM_Phan II'!$Y$3,"")</f>
        <v/>
      </c>
      <c r="S277" s="153" t="str">
        <f t="shared" si="81"/>
        <v/>
      </c>
      <c r="T277">
        <f t="shared" si="82"/>
        <v>6</v>
      </c>
      <c r="U277" s="208" t="str">
        <f t="shared" si="90"/>
        <v>KIỆN 9</v>
      </c>
      <c r="V277" s="208" t="str">
        <f t="shared" si="83"/>
        <v/>
      </c>
      <c r="W277" s="240"/>
      <c r="X277" s="240"/>
      <c r="Y277" s="240" t="str">
        <f t="shared" si="84"/>
        <v/>
      </c>
      <c r="Z277" s="240"/>
      <c r="AD277" s="232" t="str">
        <f t="shared" si="85"/>
        <v/>
      </c>
      <c r="AE277" s="204"/>
      <c r="AX277" s="3" t="str">
        <f t="shared" si="75"/>
        <v/>
      </c>
    </row>
    <row r="278" spans="1:50" s="155" customFormat="1" ht="30" hidden="1" customHeight="1">
      <c r="A278" s="141" t="str">
        <f t="shared" si="86"/>
        <v/>
      </c>
      <c r="B278" s="141" t="str">
        <f t="shared" si="87"/>
        <v/>
      </c>
      <c r="C278" s="205" t="str" cm="1">
        <f t="array" ref="C278">IF(D278="","",
    IF(AND(ISNUMBER(D278), D278=INT(D278)),
        $V$6 &amp; " " &amp; (IFERROR(MAX($Y$12:$Y277), 0) + 1),
        IF(ISNUMBER(SEARCH(".", D278)), "", INDEX($C$12:$C278, MATCH(2, 1/($C$12:$C278 &lt;&gt; ""))))
    )
)</f>
        <v/>
      </c>
      <c r="D278" s="206"/>
      <c r="E278" s="206" t="str">
        <f>IF(AA278 = "", "",
    IF(ISNUMBER(SEARCH("Kiện", C278)),
       " GÓI " &amp; COUNTIF($C$13:C278, "*Kiện*") &amp; "/" &amp; COUNTIF($C$13:$C$1000, "*Kiện*") &amp; " " &amp; AA278,
       AA278)
)</f>
        <v/>
      </c>
      <c r="F278" s="206"/>
      <c r="G278" s="206"/>
      <c r="H278" s="206"/>
      <c r="I278" s="206"/>
      <c r="J278" s="206" t="str">
        <f t="shared" si="88"/>
        <v/>
      </c>
      <c r="K278" s="206" t="str">
        <f t="shared" si="76"/>
        <v/>
      </c>
      <c r="L278" s="206" t="str">
        <f t="shared" si="77"/>
        <v/>
      </c>
      <c r="M278" s="206" t="str">
        <f t="shared" si="78"/>
        <v/>
      </c>
      <c r="N278" s="206" t="str">
        <f t="shared" si="89"/>
        <v/>
      </c>
      <c r="O278" s="206" t="str">
        <f t="shared" si="79"/>
        <v/>
      </c>
      <c r="P278" s="165" t="str">
        <f t="shared" si="80"/>
        <v/>
      </c>
      <c r="Q278" s="207"/>
      <c r="R278" s="141" t="str">
        <f>IF(S278="IN",'BOM_Phan II'!$Y$3,"")</f>
        <v/>
      </c>
      <c r="S278" s="153" t="str">
        <f t="shared" si="81"/>
        <v/>
      </c>
      <c r="T278">
        <f t="shared" si="82"/>
        <v>6</v>
      </c>
      <c r="U278" s="208" t="str">
        <f t="shared" si="90"/>
        <v>KIỆN 9</v>
      </c>
      <c r="V278" s="208" t="str">
        <f t="shared" si="83"/>
        <v/>
      </c>
      <c r="W278" s="240"/>
      <c r="X278" s="240"/>
      <c r="Y278" s="240" t="str">
        <f t="shared" si="84"/>
        <v/>
      </c>
      <c r="Z278" s="240"/>
      <c r="AD278" s="232" t="str">
        <f t="shared" si="85"/>
        <v/>
      </c>
      <c r="AE278" s="204"/>
      <c r="AX278" s="3" t="str">
        <f t="shared" si="75"/>
        <v/>
      </c>
    </row>
    <row r="279" spans="1:50" s="155" customFormat="1" ht="30" hidden="1" customHeight="1">
      <c r="A279" s="141" t="str">
        <f t="shared" si="86"/>
        <v/>
      </c>
      <c r="B279" s="141" t="str">
        <f t="shared" si="87"/>
        <v/>
      </c>
      <c r="C279" s="205" t="str" cm="1">
        <f t="array" ref="C279">IF(D279="","",
    IF(AND(ISNUMBER(D279), D279=INT(D279)),
        $V$6 &amp; " " &amp; (IFERROR(MAX($Y$12:$Y278), 0) + 1),
        IF(ISNUMBER(SEARCH(".", D279)), "", INDEX($C$12:$C279, MATCH(2, 1/($C$12:$C279 &lt;&gt; ""))))
    )
)</f>
        <v/>
      </c>
      <c r="D279" s="206"/>
      <c r="E279" s="206" t="str">
        <f>IF(AA279 = "", "",
    IF(ISNUMBER(SEARCH("Kiện", C279)),
       " GÓI " &amp; COUNTIF($C$13:C279, "*Kiện*") &amp; "/" &amp; COUNTIF($C$13:$C$1000, "*Kiện*") &amp; " " &amp; AA279,
       AA279)
)</f>
        <v/>
      </c>
      <c r="F279" s="206"/>
      <c r="G279" s="206"/>
      <c r="H279" s="206"/>
      <c r="I279" s="206"/>
      <c r="J279" s="206" t="str">
        <f t="shared" si="88"/>
        <v/>
      </c>
      <c r="K279" s="206" t="str">
        <f t="shared" si="76"/>
        <v/>
      </c>
      <c r="L279" s="206" t="str">
        <f t="shared" si="77"/>
        <v/>
      </c>
      <c r="M279" s="206" t="str">
        <f t="shared" si="78"/>
        <v/>
      </c>
      <c r="N279" s="206" t="str">
        <f t="shared" si="89"/>
        <v/>
      </c>
      <c r="O279" s="206" t="str">
        <f t="shared" si="79"/>
        <v/>
      </c>
      <c r="P279" s="165" t="str">
        <f t="shared" si="80"/>
        <v/>
      </c>
      <c r="Q279" s="207"/>
      <c r="R279" s="141" t="str">
        <f>IF(S279="IN",'BOM_Phan II'!$Y$3,"")</f>
        <v/>
      </c>
      <c r="S279" s="153" t="str">
        <f t="shared" si="81"/>
        <v/>
      </c>
      <c r="T279">
        <f t="shared" si="82"/>
        <v>6</v>
      </c>
      <c r="U279" s="208" t="str">
        <f t="shared" si="90"/>
        <v>KIỆN 9</v>
      </c>
      <c r="V279" s="208" t="str">
        <f t="shared" si="83"/>
        <v/>
      </c>
      <c r="W279" s="240"/>
      <c r="X279" s="240"/>
      <c r="Y279" s="240" t="str">
        <f t="shared" si="84"/>
        <v/>
      </c>
      <c r="Z279" s="240"/>
      <c r="AD279" s="232" t="str">
        <f t="shared" si="85"/>
        <v/>
      </c>
      <c r="AE279" s="204"/>
      <c r="AX279" s="3" t="str">
        <f t="shared" si="75"/>
        <v/>
      </c>
    </row>
    <row r="280" spans="1:50" s="155" customFormat="1" ht="30" hidden="1" customHeight="1">
      <c r="A280" s="141" t="str">
        <f t="shared" si="86"/>
        <v/>
      </c>
      <c r="B280" s="141" t="str">
        <f t="shared" si="87"/>
        <v/>
      </c>
      <c r="C280" s="205" t="str" cm="1">
        <f t="array" ref="C280">IF(D280="","",
    IF(AND(ISNUMBER(D280), D280=INT(D280)),
        $V$6 &amp; " " &amp; (IFERROR(MAX($Y$12:$Y279), 0) + 1),
        IF(ISNUMBER(SEARCH(".", D280)), "", INDEX($C$12:$C280, MATCH(2, 1/($C$12:$C280 &lt;&gt; ""))))
    )
)</f>
        <v/>
      </c>
      <c r="D280" s="206"/>
      <c r="E280" s="206" t="str">
        <f>IF(AA280 = "", "",
    IF(ISNUMBER(SEARCH("Kiện", C280)),
       " GÓI " &amp; COUNTIF($C$13:C280, "*Kiện*") &amp; "/" &amp; COUNTIF($C$13:$C$1000, "*Kiện*") &amp; " " &amp; AA280,
       AA280)
)</f>
        <v/>
      </c>
      <c r="F280" s="206"/>
      <c r="G280" s="206"/>
      <c r="H280" s="206"/>
      <c r="I280" s="206"/>
      <c r="J280" s="206" t="str">
        <f t="shared" si="88"/>
        <v/>
      </c>
      <c r="K280" s="206" t="str">
        <f t="shared" si="76"/>
        <v/>
      </c>
      <c r="L280" s="206" t="str">
        <f t="shared" si="77"/>
        <v/>
      </c>
      <c r="M280" s="206" t="str">
        <f t="shared" si="78"/>
        <v/>
      </c>
      <c r="N280" s="206" t="str">
        <f t="shared" si="89"/>
        <v/>
      </c>
      <c r="O280" s="206" t="str">
        <f t="shared" si="79"/>
        <v/>
      </c>
      <c r="P280" s="165" t="str">
        <f t="shared" si="80"/>
        <v/>
      </c>
      <c r="Q280" s="207"/>
      <c r="R280" s="141" t="str">
        <f>IF(S280="IN",'BOM_Phan II'!$Y$3,"")</f>
        <v/>
      </c>
      <c r="S280" s="153" t="str">
        <f t="shared" si="81"/>
        <v/>
      </c>
      <c r="T280">
        <f t="shared" si="82"/>
        <v>6</v>
      </c>
      <c r="U280" s="208" t="str">
        <f t="shared" si="90"/>
        <v>KIỆN 9</v>
      </c>
      <c r="V280" s="208" t="str">
        <f t="shared" si="83"/>
        <v/>
      </c>
      <c r="W280" s="240"/>
      <c r="X280" s="240"/>
      <c r="Y280" s="240" t="str">
        <f t="shared" si="84"/>
        <v/>
      </c>
      <c r="Z280" s="240"/>
      <c r="AD280" s="232" t="str">
        <f t="shared" si="85"/>
        <v/>
      </c>
      <c r="AE280" s="204"/>
      <c r="AX280" s="3" t="str">
        <f t="shared" si="75"/>
        <v/>
      </c>
    </row>
    <row r="281" spans="1:50" s="155" customFormat="1" ht="30" hidden="1" customHeight="1">
      <c r="A281" s="141" t="str">
        <f t="shared" si="86"/>
        <v/>
      </c>
      <c r="B281" s="141" t="str">
        <f t="shared" si="87"/>
        <v/>
      </c>
      <c r="C281" s="205" t="str" cm="1">
        <f t="array" ref="C281">IF(D281="","",
    IF(AND(ISNUMBER(D281), D281=INT(D281)),
        $V$6 &amp; " " &amp; (IFERROR(MAX($Y$12:$Y280), 0) + 1),
        IF(ISNUMBER(SEARCH(".", D281)), "", INDEX($C$12:$C281, MATCH(2, 1/($C$12:$C281 &lt;&gt; ""))))
    )
)</f>
        <v/>
      </c>
      <c r="D281" s="206"/>
      <c r="E281" s="206" t="str">
        <f>IF(AA281 = "", "",
    IF(ISNUMBER(SEARCH("Kiện", C281)),
       " GÓI " &amp; COUNTIF($C$13:C281, "*Kiện*") &amp; "/" &amp; COUNTIF($C$13:$C$1000, "*Kiện*") &amp; " " &amp; AA281,
       AA281)
)</f>
        <v/>
      </c>
      <c r="F281" s="206"/>
      <c r="G281" s="206"/>
      <c r="H281" s="206"/>
      <c r="I281" s="206"/>
      <c r="J281" s="206" t="str">
        <f t="shared" si="88"/>
        <v/>
      </c>
      <c r="K281" s="206" t="str">
        <f t="shared" si="76"/>
        <v/>
      </c>
      <c r="L281" s="206" t="str">
        <f t="shared" si="77"/>
        <v/>
      </c>
      <c r="M281" s="206" t="str">
        <f t="shared" si="78"/>
        <v/>
      </c>
      <c r="N281" s="206" t="str">
        <f t="shared" si="89"/>
        <v/>
      </c>
      <c r="O281" s="206" t="str">
        <f t="shared" si="79"/>
        <v/>
      </c>
      <c r="P281" s="165" t="str">
        <f t="shared" si="80"/>
        <v/>
      </c>
      <c r="Q281" s="207"/>
      <c r="R281" s="141" t="str">
        <f>IF(S281="IN",'BOM_Phan II'!$Y$3,"")</f>
        <v/>
      </c>
      <c r="S281" s="153" t="str">
        <f t="shared" si="81"/>
        <v/>
      </c>
      <c r="T281">
        <f t="shared" si="82"/>
        <v>6</v>
      </c>
      <c r="U281" s="208" t="str">
        <f t="shared" si="90"/>
        <v>KIỆN 9</v>
      </c>
      <c r="V281" s="208" t="str">
        <f t="shared" si="83"/>
        <v/>
      </c>
      <c r="W281" s="240"/>
      <c r="X281" s="240"/>
      <c r="Y281" s="240" t="str">
        <f t="shared" si="84"/>
        <v/>
      </c>
      <c r="Z281" s="240"/>
      <c r="AD281" s="232" t="str">
        <f t="shared" si="85"/>
        <v/>
      </c>
      <c r="AE281" s="204"/>
      <c r="AX281" s="3" t="str">
        <f t="shared" si="75"/>
        <v/>
      </c>
    </row>
    <row r="282" spans="1:50" s="155" customFormat="1" ht="30" hidden="1" customHeight="1">
      <c r="A282" s="141" t="str">
        <f t="shared" si="86"/>
        <v/>
      </c>
      <c r="B282" s="141" t="str">
        <f t="shared" si="87"/>
        <v/>
      </c>
      <c r="C282" s="205" t="str" cm="1">
        <f t="array" ref="C282">IF(D282="","",
    IF(AND(ISNUMBER(D282), D282=INT(D282)),
        $V$6 &amp; " " &amp; (IFERROR(MAX($Y$12:$Y281), 0) + 1),
        IF(ISNUMBER(SEARCH(".", D282)), "", INDEX($C$12:$C282, MATCH(2, 1/($C$12:$C282 &lt;&gt; ""))))
    )
)</f>
        <v/>
      </c>
      <c r="D282" s="206"/>
      <c r="E282" s="206" t="str">
        <f>IF(AA282 = "", "",
    IF(ISNUMBER(SEARCH("Kiện", C282)),
       " GÓI " &amp; COUNTIF($C$13:C282, "*Kiện*") &amp; "/" &amp; COUNTIF($C$13:$C$1000, "*Kiện*") &amp; " " &amp; AA282,
       AA282)
)</f>
        <v/>
      </c>
      <c r="F282" s="206"/>
      <c r="G282" s="206"/>
      <c r="H282" s="206"/>
      <c r="I282" s="206"/>
      <c r="J282" s="206" t="str">
        <f t="shared" si="88"/>
        <v/>
      </c>
      <c r="K282" s="206" t="str">
        <f t="shared" si="76"/>
        <v/>
      </c>
      <c r="L282" s="206" t="str">
        <f t="shared" si="77"/>
        <v/>
      </c>
      <c r="M282" s="206" t="str">
        <f t="shared" si="78"/>
        <v/>
      </c>
      <c r="N282" s="206" t="str">
        <f t="shared" si="89"/>
        <v/>
      </c>
      <c r="O282" s="206" t="str">
        <f t="shared" si="79"/>
        <v/>
      </c>
      <c r="P282" s="165" t="str">
        <f t="shared" si="80"/>
        <v/>
      </c>
      <c r="Q282" s="207"/>
      <c r="R282" s="141" t="str">
        <f>IF(S282="IN",'BOM_Phan II'!$Y$3,"")</f>
        <v/>
      </c>
      <c r="S282" s="153" t="str">
        <f t="shared" si="81"/>
        <v/>
      </c>
      <c r="T282">
        <f t="shared" si="82"/>
        <v>6</v>
      </c>
      <c r="U282" s="208" t="str">
        <f t="shared" si="90"/>
        <v>KIỆN 9</v>
      </c>
      <c r="V282" s="208" t="str">
        <f t="shared" si="83"/>
        <v/>
      </c>
      <c r="W282" s="240"/>
      <c r="X282" s="240"/>
      <c r="Y282" s="240" t="str">
        <f t="shared" si="84"/>
        <v/>
      </c>
      <c r="Z282" s="240"/>
      <c r="AD282" s="232" t="str">
        <f t="shared" si="85"/>
        <v/>
      </c>
      <c r="AE282" s="204"/>
      <c r="AX282" s="3" t="str">
        <f t="shared" si="75"/>
        <v/>
      </c>
    </row>
    <row r="283" spans="1:50" s="155" customFormat="1" ht="30" hidden="1" customHeight="1">
      <c r="A283" s="141" t="str">
        <f t="shared" si="86"/>
        <v/>
      </c>
      <c r="B283" s="141" t="str">
        <f t="shared" si="87"/>
        <v/>
      </c>
      <c r="C283" s="205" t="str" cm="1">
        <f t="array" ref="C283">IF(D283="","",
    IF(AND(ISNUMBER(D283), D283=INT(D283)),
        $V$6 &amp; " " &amp; (IFERROR(MAX($Y$12:$Y282), 0) + 1),
        IF(ISNUMBER(SEARCH(".", D283)), "", INDEX($C$12:$C283, MATCH(2, 1/($C$12:$C283 &lt;&gt; ""))))
    )
)</f>
        <v/>
      </c>
      <c r="D283" s="206"/>
      <c r="E283" s="206" t="str">
        <f>IF(AA283 = "", "",
    IF(ISNUMBER(SEARCH("Kiện", C283)),
       " GÓI " &amp; COUNTIF($C$13:C283, "*Kiện*") &amp; "/" &amp; COUNTIF($C$13:$C$1000, "*Kiện*") &amp; " " &amp; AA283,
       AA283)
)</f>
        <v/>
      </c>
      <c r="F283" s="206"/>
      <c r="G283" s="206"/>
      <c r="H283" s="206"/>
      <c r="I283" s="206"/>
      <c r="J283" s="206" t="str">
        <f t="shared" si="88"/>
        <v/>
      </c>
      <c r="K283" s="206" t="str">
        <f t="shared" si="76"/>
        <v/>
      </c>
      <c r="L283" s="206" t="str">
        <f t="shared" si="77"/>
        <v/>
      </c>
      <c r="M283" s="206" t="str">
        <f t="shared" si="78"/>
        <v/>
      </c>
      <c r="N283" s="206" t="str">
        <f t="shared" si="89"/>
        <v/>
      </c>
      <c r="O283" s="206" t="str">
        <f t="shared" si="79"/>
        <v/>
      </c>
      <c r="P283" s="165" t="str">
        <f t="shared" si="80"/>
        <v/>
      </c>
      <c r="Q283" s="207"/>
      <c r="R283" s="141" t="str">
        <f>IF(S283="IN",'BOM_Phan II'!$Y$3,"")</f>
        <v/>
      </c>
      <c r="S283" s="153" t="str">
        <f t="shared" si="81"/>
        <v/>
      </c>
      <c r="T283">
        <f t="shared" si="82"/>
        <v>6</v>
      </c>
      <c r="U283" s="208" t="str">
        <f t="shared" si="90"/>
        <v>KIỆN 9</v>
      </c>
      <c r="V283" s="208" t="str">
        <f t="shared" si="83"/>
        <v/>
      </c>
      <c r="W283" s="240"/>
      <c r="X283" s="240"/>
      <c r="Y283" s="240" t="str">
        <f t="shared" si="84"/>
        <v/>
      </c>
      <c r="Z283" s="240"/>
      <c r="AD283" s="232" t="str">
        <f t="shared" si="85"/>
        <v/>
      </c>
      <c r="AE283" s="204"/>
      <c r="AX283" s="3" t="str">
        <f t="shared" si="75"/>
        <v/>
      </c>
    </row>
    <row r="284" spans="1:50" s="155" customFormat="1" ht="30" hidden="1" customHeight="1">
      <c r="A284" s="141" t="str">
        <f t="shared" si="86"/>
        <v/>
      </c>
      <c r="B284" s="141" t="str">
        <f t="shared" si="87"/>
        <v/>
      </c>
      <c r="C284" s="205" t="str" cm="1">
        <f t="array" ref="C284">IF(D284="","",
    IF(AND(ISNUMBER(D284), D284=INT(D284)),
        $V$6 &amp; " " &amp; (IFERROR(MAX($Y$12:$Y283), 0) + 1),
        IF(ISNUMBER(SEARCH(".", D284)), "", INDEX($C$12:$C284, MATCH(2, 1/($C$12:$C284 &lt;&gt; ""))))
    )
)</f>
        <v/>
      </c>
      <c r="D284" s="206"/>
      <c r="E284" s="206" t="str">
        <f>IF(AA284 = "", "",
    IF(ISNUMBER(SEARCH("Kiện", C284)),
       " GÓI " &amp; COUNTIF($C$13:C284, "*Kiện*") &amp; "/" &amp; COUNTIF($C$13:$C$1000, "*Kiện*") &amp; " " &amp; AA284,
       AA284)
)</f>
        <v/>
      </c>
      <c r="F284" s="206"/>
      <c r="G284" s="206"/>
      <c r="H284" s="206"/>
      <c r="I284" s="206"/>
      <c r="J284" s="206" t="str">
        <f t="shared" si="88"/>
        <v/>
      </c>
      <c r="K284" s="206" t="str">
        <f t="shared" si="76"/>
        <v/>
      </c>
      <c r="L284" s="206" t="str">
        <f t="shared" si="77"/>
        <v/>
      </c>
      <c r="M284" s="206" t="str">
        <f t="shared" si="78"/>
        <v/>
      </c>
      <c r="N284" s="206" t="str">
        <f t="shared" si="89"/>
        <v/>
      </c>
      <c r="O284" s="206" t="str">
        <f t="shared" si="79"/>
        <v/>
      </c>
      <c r="P284" s="165" t="str">
        <f t="shared" si="80"/>
        <v/>
      </c>
      <c r="Q284" s="207"/>
      <c r="R284" s="141" t="str">
        <f>IF(S284="IN",'BOM_Phan II'!$Y$3,"")</f>
        <v/>
      </c>
      <c r="S284" s="153" t="str">
        <f t="shared" si="81"/>
        <v/>
      </c>
      <c r="T284">
        <f t="shared" si="82"/>
        <v>6</v>
      </c>
      <c r="U284" s="208" t="str">
        <f t="shared" si="90"/>
        <v>KIỆN 9</v>
      </c>
      <c r="V284" s="208" t="str">
        <f t="shared" si="83"/>
        <v/>
      </c>
      <c r="W284" s="240"/>
      <c r="X284" s="240"/>
      <c r="Y284" s="240" t="str">
        <f t="shared" si="84"/>
        <v/>
      </c>
      <c r="Z284" s="240"/>
      <c r="AD284" s="232" t="str">
        <f t="shared" si="85"/>
        <v/>
      </c>
      <c r="AE284" s="204"/>
      <c r="AX284" s="3" t="str">
        <f t="shared" si="75"/>
        <v/>
      </c>
    </row>
    <row r="285" spans="1:50" s="155" customFormat="1" ht="30" hidden="1" customHeight="1">
      <c r="A285" s="141" t="str">
        <f t="shared" si="86"/>
        <v/>
      </c>
      <c r="B285" s="141" t="str">
        <f t="shared" si="87"/>
        <v/>
      </c>
      <c r="C285" s="205" t="str" cm="1">
        <f t="array" ref="C285">IF(D285="","",
    IF(AND(ISNUMBER(D285), D285=INT(D285)),
        $V$6 &amp; " " &amp; (IFERROR(MAX($Y$12:$Y284), 0) + 1),
        IF(ISNUMBER(SEARCH(".", D285)), "", INDEX($C$12:$C285, MATCH(2, 1/($C$12:$C285 &lt;&gt; ""))))
    )
)</f>
        <v/>
      </c>
      <c r="D285" s="206"/>
      <c r="E285" s="206" t="str">
        <f>IF(AA285 = "", "",
    IF(ISNUMBER(SEARCH("Kiện", C285)),
       " GÓI " &amp; COUNTIF($C$13:C285, "*Kiện*") &amp; "/" &amp; COUNTIF($C$13:$C$1000, "*Kiện*") &amp; " " &amp; AA285,
       AA285)
)</f>
        <v/>
      </c>
      <c r="F285" s="206"/>
      <c r="G285" s="206"/>
      <c r="H285" s="206"/>
      <c r="I285" s="206"/>
      <c r="J285" s="206" t="str">
        <f t="shared" si="88"/>
        <v/>
      </c>
      <c r="K285" s="206" t="str">
        <f t="shared" si="76"/>
        <v/>
      </c>
      <c r="L285" s="206" t="str">
        <f t="shared" si="77"/>
        <v/>
      </c>
      <c r="M285" s="206" t="str">
        <f t="shared" si="78"/>
        <v/>
      </c>
      <c r="N285" s="206" t="str">
        <f t="shared" si="89"/>
        <v/>
      </c>
      <c r="O285" s="206" t="str">
        <f t="shared" si="79"/>
        <v/>
      </c>
      <c r="P285" s="165" t="str">
        <f t="shared" si="80"/>
        <v/>
      </c>
      <c r="Q285" s="207"/>
      <c r="R285" s="141" t="str">
        <f>IF(S285="IN",'BOM_Phan II'!$Y$3,"")</f>
        <v/>
      </c>
      <c r="S285" s="153" t="str">
        <f t="shared" si="81"/>
        <v/>
      </c>
      <c r="T285">
        <f t="shared" si="82"/>
        <v>6</v>
      </c>
      <c r="U285" s="208" t="str">
        <f t="shared" si="90"/>
        <v>KIỆN 9</v>
      </c>
      <c r="V285" s="208" t="str">
        <f t="shared" si="83"/>
        <v/>
      </c>
      <c r="W285" s="240"/>
      <c r="X285" s="240"/>
      <c r="Y285" s="240" t="str">
        <f t="shared" si="84"/>
        <v/>
      </c>
      <c r="Z285" s="240"/>
      <c r="AD285" s="232" t="str">
        <f t="shared" si="85"/>
        <v/>
      </c>
      <c r="AE285" s="204"/>
      <c r="AX285" s="3" t="str">
        <f t="shared" si="75"/>
        <v/>
      </c>
    </row>
    <row r="286" spans="1:50" s="155" customFormat="1" ht="30" hidden="1" customHeight="1">
      <c r="A286" s="141" t="str">
        <f t="shared" si="86"/>
        <v/>
      </c>
      <c r="B286" s="141" t="str">
        <f t="shared" si="87"/>
        <v/>
      </c>
      <c r="C286" s="205" t="str" cm="1">
        <f t="array" ref="C286">IF(D286="","",
    IF(AND(ISNUMBER(D286), D286=INT(D286)),
        $V$6 &amp; " " &amp; (IFERROR(MAX($Y$12:$Y285), 0) + 1),
        IF(ISNUMBER(SEARCH(".", D286)), "", INDEX($C$12:$C286, MATCH(2, 1/($C$12:$C286 &lt;&gt; ""))))
    )
)</f>
        <v/>
      </c>
      <c r="D286" s="206"/>
      <c r="E286" s="206" t="str">
        <f>IF(AA286 = "", "",
    IF(ISNUMBER(SEARCH("Kiện", C286)),
       " GÓI " &amp; COUNTIF($C$13:C286, "*Kiện*") &amp; "/" &amp; COUNTIF($C$13:$C$1000, "*Kiện*") &amp; " " &amp; AA286,
       AA286)
)</f>
        <v/>
      </c>
      <c r="F286" s="206"/>
      <c r="G286" s="206"/>
      <c r="H286" s="206"/>
      <c r="I286" s="206"/>
      <c r="J286" s="206" t="str">
        <f t="shared" si="88"/>
        <v/>
      </c>
      <c r="K286" s="206" t="str">
        <f t="shared" si="76"/>
        <v/>
      </c>
      <c r="L286" s="206" t="str">
        <f t="shared" si="77"/>
        <v/>
      </c>
      <c r="M286" s="206" t="str">
        <f t="shared" si="78"/>
        <v/>
      </c>
      <c r="N286" s="206" t="str">
        <f t="shared" si="89"/>
        <v/>
      </c>
      <c r="O286" s="206" t="str">
        <f t="shared" si="79"/>
        <v/>
      </c>
      <c r="P286" s="165" t="str">
        <f t="shared" si="80"/>
        <v/>
      </c>
      <c r="Q286" s="207"/>
      <c r="R286" s="141" t="str">
        <f>IF(S286="IN",'BOM_Phan II'!$Y$3,"")</f>
        <v/>
      </c>
      <c r="S286" s="153" t="str">
        <f t="shared" si="81"/>
        <v/>
      </c>
      <c r="T286">
        <f t="shared" si="82"/>
        <v>6</v>
      </c>
      <c r="U286" s="208" t="str">
        <f t="shared" si="90"/>
        <v>KIỆN 9</v>
      </c>
      <c r="V286" s="208" t="str">
        <f t="shared" si="83"/>
        <v/>
      </c>
      <c r="W286" s="240"/>
      <c r="X286" s="240"/>
      <c r="Y286" s="240" t="str">
        <f t="shared" si="84"/>
        <v/>
      </c>
      <c r="Z286" s="240"/>
      <c r="AD286" s="232" t="str">
        <f t="shared" si="85"/>
        <v/>
      </c>
      <c r="AE286" s="204"/>
      <c r="AX286" s="3" t="str">
        <f t="shared" si="75"/>
        <v/>
      </c>
    </row>
    <row r="287" spans="1:50" s="155" customFormat="1" ht="30" hidden="1" customHeight="1">
      <c r="A287" s="141" t="str">
        <f t="shared" si="86"/>
        <v/>
      </c>
      <c r="B287" s="141" t="str">
        <f t="shared" si="87"/>
        <v/>
      </c>
      <c r="C287" s="205" t="str" cm="1">
        <f t="array" ref="C287">IF(D287="","",
    IF(AND(ISNUMBER(D287), D287=INT(D287)),
        $V$6 &amp; " " &amp; (IFERROR(MAX($Y$12:$Y286), 0) + 1),
        IF(ISNUMBER(SEARCH(".", D287)), "", INDEX($C$12:$C287, MATCH(2, 1/($C$12:$C287 &lt;&gt; ""))))
    )
)</f>
        <v/>
      </c>
      <c r="D287" s="206"/>
      <c r="E287" s="206" t="str">
        <f>IF(AA287 = "", "",
    IF(ISNUMBER(SEARCH("Kiện", C287)),
       " GÓI " &amp; COUNTIF($C$13:C287, "*Kiện*") &amp; "/" &amp; COUNTIF($C$13:$C$1000, "*Kiện*") &amp; " " &amp; AA287,
       AA287)
)</f>
        <v/>
      </c>
      <c r="F287" s="206"/>
      <c r="G287" s="206"/>
      <c r="H287" s="206"/>
      <c r="I287" s="206"/>
      <c r="J287" s="206" t="str">
        <f t="shared" si="88"/>
        <v/>
      </c>
      <c r="K287" s="206" t="str">
        <f t="shared" si="76"/>
        <v/>
      </c>
      <c r="L287" s="206" t="str">
        <f t="shared" si="77"/>
        <v/>
      </c>
      <c r="M287" s="206" t="str">
        <f t="shared" si="78"/>
        <v/>
      </c>
      <c r="N287" s="206" t="str">
        <f t="shared" si="89"/>
        <v/>
      </c>
      <c r="O287" s="206" t="str">
        <f t="shared" si="79"/>
        <v/>
      </c>
      <c r="P287" s="165" t="str">
        <f t="shared" si="80"/>
        <v/>
      </c>
      <c r="Q287" s="207"/>
      <c r="R287" s="141" t="str">
        <f>IF(S287="IN",'BOM_Phan II'!$Y$3,"")</f>
        <v/>
      </c>
      <c r="S287" s="153" t="str">
        <f t="shared" si="81"/>
        <v/>
      </c>
      <c r="T287">
        <f t="shared" si="82"/>
        <v>6</v>
      </c>
      <c r="U287" s="208" t="str">
        <f t="shared" si="90"/>
        <v>KIỆN 9</v>
      </c>
      <c r="V287" s="208" t="str">
        <f t="shared" si="83"/>
        <v/>
      </c>
      <c r="W287" s="240"/>
      <c r="X287" s="240"/>
      <c r="Y287" s="240" t="str">
        <f t="shared" si="84"/>
        <v/>
      </c>
      <c r="Z287" s="240"/>
      <c r="AD287" s="232" t="str">
        <f t="shared" si="85"/>
        <v/>
      </c>
      <c r="AE287" s="204"/>
      <c r="AX287" s="3" t="str">
        <f t="shared" si="75"/>
        <v/>
      </c>
    </row>
    <row r="288" spans="1:50" s="155" customFormat="1" ht="30" hidden="1" customHeight="1">
      <c r="A288" s="141" t="str">
        <f t="shared" si="86"/>
        <v/>
      </c>
      <c r="B288" s="141" t="str">
        <f t="shared" si="87"/>
        <v/>
      </c>
      <c r="C288" s="205" t="str" cm="1">
        <f t="array" ref="C288">IF(D288="","",
    IF(AND(ISNUMBER(D288), D288=INT(D288)),
        $V$6 &amp; " " &amp; (IFERROR(MAX($Y$12:$Y287), 0) + 1),
        IF(ISNUMBER(SEARCH(".", D288)), "", INDEX($C$12:$C288, MATCH(2, 1/($C$12:$C288 &lt;&gt; ""))))
    )
)</f>
        <v/>
      </c>
      <c r="D288" s="206"/>
      <c r="E288" s="206" t="str">
        <f>IF(AA288 = "", "",
    IF(ISNUMBER(SEARCH("Kiện", C288)),
       " GÓI " &amp; COUNTIF($C$13:C288, "*Kiện*") &amp; "/" &amp; COUNTIF($C$13:$C$1000, "*Kiện*") &amp; " " &amp; AA288,
       AA288)
)</f>
        <v/>
      </c>
      <c r="F288" s="206"/>
      <c r="G288" s="206"/>
      <c r="H288" s="206"/>
      <c r="I288" s="206"/>
      <c r="J288" s="206" t="str">
        <f t="shared" si="88"/>
        <v/>
      </c>
      <c r="K288" s="206" t="str">
        <f t="shared" si="76"/>
        <v/>
      </c>
      <c r="L288" s="206" t="str">
        <f t="shared" si="77"/>
        <v/>
      </c>
      <c r="M288" s="206" t="str">
        <f t="shared" si="78"/>
        <v/>
      </c>
      <c r="N288" s="206" t="str">
        <f t="shared" si="89"/>
        <v/>
      </c>
      <c r="O288" s="206" t="str">
        <f t="shared" si="79"/>
        <v/>
      </c>
      <c r="P288" s="165" t="str">
        <f t="shared" si="80"/>
        <v/>
      </c>
      <c r="Q288" s="207"/>
      <c r="R288" s="141" t="str">
        <f>IF(S288="IN",'BOM_Phan II'!$Y$3,"")</f>
        <v/>
      </c>
      <c r="S288" s="153" t="str">
        <f t="shared" si="81"/>
        <v/>
      </c>
      <c r="T288">
        <f t="shared" si="82"/>
        <v>6</v>
      </c>
      <c r="U288" s="208" t="str">
        <f t="shared" si="90"/>
        <v>KIỆN 9</v>
      </c>
      <c r="V288" s="208" t="str">
        <f t="shared" si="83"/>
        <v/>
      </c>
      <c r="W288" s="240"/>
      <c r="X288" s="240"/>
      <c r="Y288" s="240" t="str">
        <f t="shared" si="84"/>
        <v/>
      </c>
      <c r="Z288" s="240"/>
      <c r="AD288" s="232" t="str">
        <f t="shared" si="85"/>
        <v/>
      </c>
      <c r="AE288" s="204"/>
      <c r="AX288" s="3" t="str">
        <f t="shared" si="75"/>
        <v/>
      </c>
    </row>
    <row r="289" spans="1:50" s="155" customFormat="1" ht="30" hidden="1" customHeight="1">
      <c r="A289" s="141" t="str">
        <f t="shared" si="86"/>
        <v/>
      </c>
      <c r="B289" s="141" t="str">
        <f t="shared" si="87"/>
        <v/>
      </c>
      <c r="C289" s="205" t="str" cm="1">
        <f t="array" ref="C289">IF(D289="","",
    IF(AND(ISNUMBER(D289), D289=INT(D289)),
        $V$6 &amp; " " &amp; (IFERROR(MAX($Y$12:$Y288), 0) + 1),
        IF(ISNUMBER(SEARCH(".", D289)), "", INDEX($C$12:$C289, MATCH(2, 1/($C$12:$C289 &lt;&gt; ""))))
    )
)</f>
        <v/>
      </c>
      <c r="D289" s="206"/>
      <c r="E289" s="206" t="str">
        <f>IF(AA289 = "", "",
    IF(ISNUMBER(SEARCH("Kiện", C289)),
       " GÓI " &amp; COUNTIF($C$13:C289, "*Kiện*") &amp; "/" &amp; COUNTIF($C$13:$C$1000, "*Kiện*") &amp; " " &amp; AA289,
       AA289)
)</f>
        <v/>
      </c>
      <c r="F289" s="206"/>
      <c r="G289" s="206"/>
      <c r="H289" s="206"/>
      <c r="I289" s="206"/>
      <c r="J289" s="206" t="str">
        <f t="shared" si="88"/>
        <v/>
      </c>
      <c r="K289" s="206" t="str">
        <f t="shared" si="76"/>
        <v/>
      </c>
      <c r="L289" s="206" t="str">
        <f t="shared" si="77"/>
        <v/>
      </c>
      <c r="M289" s="206" t="str">
        <f t="shared" si="78"/>
        <v/>
      </c>
      <c r="N289" s="206" t="str">
        <f t="shared" si="89"/>
        <v/>
      </c>
      <c r="O289" s="206" t="str">
        <f t="shared" si="79"/>
        <v/>
      </c>
      <c r="P289" s="165" t="str">
        <f t="shared" si="80"/>
        <v/>
      </c>
      <c r="Q289" s="207"/>
      <c r="R289" s="141" t="str">
        <f>IF(S289="IN",'BOM_Phan II'!$Y$3,"")</f>
        <v/>
      </c>
      <c r="S289" s="153" t="str">
        <f t="shared" si="81"/>
        <v/>
      </c>
      <c r="T289">
        <f t="shared" si="82"/>
        <v>6</v>
      </c>
      <c r="U289" s="208" t="str">
        <f t="shared" si="90"/>
        <v>KIỆN 9</v>
      </c>
      <c r="V289" s="208" t="str">
        <f t="shared" si="83"/>
        <v/>
      </c>
      <c r="W289" s="240"/>
      <c r="X289" s="240"/>
      <c r="Y289" s="240" t="str">
        <f t="shared" si="84"/>
        <v/>
      </c>
      <c r="Z289" s="240"/>
      <c r="AD289" s="232" t="str">
        <f t="shared" si="85"/>
        <v/>
      </c>
      <c r="AE289" s="204"/>
      <c r="AX289" s="3" t="str">
        <f t="shared" si="75"/>
        <v/>
      </c>
    </row>
    <row r="290" spans="1:50" s="155" customFormat="1" ht="30" hidden="1" customHeight="1">
      <c r="A290" s="141" t="str">
        <f t="shared" si="86"/>
        <v/>
      </c>
      <c r="B290" s="141" t="str">
        <f t="shared" si="87"/>
        <v/>
      </c>
      <c r="C290" s="205" t="str" cm="1">
        <f t="array" ref="C290">IF(D290="","",
    IF(AND(ISNUMBER(D290), D290=INT(D290)),
        $V$6 &amp; " " &amp; (IFERROR(MAX($Y$12:$Y289), 0) + 1),
        IF(ISNUMBER(SEARCH(".", D290)), "", INDEX($C$12:$C290, MATCH(2, 1/($C$12:$C290 &lt;&gt; ""))))
    )
)</f>
        <v/>
      </c>
      <c r="D290" s="206"/>
      <c r="E290" s="206" t="str">
        <f>IF(AA290 = "", "",
    IF(ISNUMBER(SEARCH("Kiện", C290)),
       " GÓI " &amp; COUNTIF($C$13:C290, "*Kiện*") &amp; "/" &amp; COUNTIF($C$13:$C$1000, "*Kiện*") &amp; " " &amp; AA290,
       AA290)
)</f>
        <v/>
      </c>
      <c r="F290" s="206"/>
      <c r="G290" s="206"/>
      <c r="H290" s="206"/>
      <c r="I290" s="206"/>
      <c r="J290" s="206" t="str">
        <f t="shared" si="88"/>
        <v/>
      </c>
      <c r="K290" s="206" t="str">
        <f t="shared" si="76"/>
        <v/>
      </c>
      <c r="L290" s="206" t="str">
        <f t="shared" si="77"/>
        <v/>
      </c>
      <c r="M290" s="206" t="str">
        <f t="shared" si="78"/>
        <v/>
      </c>
      <c r="N290" s="206" t="str">
        <f t="shared" si="89"/>
        <v/>
      </c>
      <c r="O290" s="206" t="str">
        <f t="shared" si="79"/>
        <v/>
      </c>
      <c r="P290" s="165" t="str">
        <f t="shared" si="80"/>
        <v/>
      </c>
      <c r="Q290" s="207"/>
      <c r="R290" s="141" t="str">
        <f>IF(S290="IN",'BOM_Phan II'!$Y$3,"")</f>
        <v/>
      </c>
      <c r="S290" s="153" t="str">
        <f t="shared" si="81"/>
        <v/>
      </c>
      <c r="T290">
        <f t="shared" si="82"/>
        <v>6</v>
      </c>
      <c r="U290" s="208" t="str">
        <f t="shared" si="90"/>
        <v>KIỆN 9</v>
      </c>
      <c r="V290" s="208" t="str">
        <f t="shared" si="83"/>
        <v/>
      </c>
      <c r="W290" s="240"/>
      <c r="X290" s="240"/>
      <c r="Y290" s="240" t="str">
        <f t="shared" si="84"/>
        <v/>
      </c>
      <c r="Z290" s="240"/>
      <c r="AD290" s="232" t="str">
        <f t="shared" si="85"/>
        <v/>
      </c>
      <c r="AE290" s="204"/>
      <c r="AX290" s="3" t="str">
        <f t="shared" si="75"/>
        <v/>
      </c>
    </row>
    <row r="291" spans="1:50" s="155" customFormat="1" ht="30" hidden="1" customHeight="1">
      <c r="A291" s="141" t="str">
        <f t="shared" si="86"/>
        <v/>
      </c>
      <c r="B291" s="141" t="str">
        <f t="shared" si="87"/>
        <v/>
      </c>
      <c r="C291" s="205" t="str" cm="1">
        <f t="array" ref="C291">IF(D291="","",
    IF(AND(ISNUMBER(D291), D291=INT(D291)),
        $V$6 &amp; " " &amp; (IFERROR(MAX($Y$12:$Y290), 0) + 1),
        IF(ISNUMBER(SEARCH(".", D291)), "", INDEX($C$12:$C291, MATCH(2, 1/($C$12:$C291 &lt;&gt; ""))))
    )
)</f>
        <v/>
      </c>
      <c r="D291" s="206"/>
      <c r="E291" s="206" t="str">
        <f>IF(AA291 = "", "",
    IF(ISNUMBER(SEARCH("Kiện", C291)),
       " GÓI " &amp; COUNTIF($C$13:C291, "*Kiện*") &amp; "/" &amp; COUNTIF($C$13:$C$1000, "*Kiện*") &amp; " " &amp; AA291,
       AA291)
)</f>
        <v/>
      </c>
      <c r="F291" s="206"/>
      <c r="G291" s="206"/>
      <c r="H291" s="206"/>
      <c r="I291" s="206"/>
      <c r="J291" s="206" t="str">
        <f t="shared" si="88"/>
        <v/>
      </c>
      <c r="K291" s="206" t="str">
        <f t="shared" si="76"/>
        <v/>
      </c>
      <c r="L291" s="206" t="str">
        <f t="shared" si="77"/>
        <v/>
      </c>
      <c r="M291" s="206" t="str">
        <f t="shared" si="78"/>
        <v/>
      </c>
      <c r="N291" s="206" t="str">
        <f t="shared" si="89"/>
        <v/>
      </c>
      <c r="O291" s="206" t="str">
        <f t="shared" si="79"/>
        <v/>
      </c>
      <c r="P291" s="165" t="str">
        <f t="shared" si="80"/>
        <v/>
      </c>
      <c r="Q291" s="207"/>
      <c r="R291" s="141" t="str">
        <f>IF(S291="IN",'BOM_Phan II'!$Y$3,"")</f>
        <v/>
      </c>
      <c r="S291" s="153" t="str">
        <f t="shared" si="81"/>
        <v/>
      </c>
      <c r="T291">
        <f t="shared" si="82"/>
        <v>6</v>
      </c>
      <c r="U291" s="208" t="str">
        <f t="shared" si="90"/>
        <v>KIỆN 9</v>
      </c>
      <c r="V291" s="208" t="str">
        <f t="shared" si="83"/>
        <v/>
      </c>
      <c r="W291" s="240"/>
      <c r="X291" s="240"/>
      <c r="Y291" s="240" t="str">
        <f t="shared" si="84"/>
        <v/>
      </c>
      <c r="Z291" s="240"/>
      <c r="AD291" s="232" t="str">
        <f t="shared" si="85"/>
        <v/>
      </c>
      <c r="AE291" s="204"/>
      <c r="AX291" s="3" t="str">
        <f t="shared" si="75"/>
        <v/>
      </c>
    </row>
    <row r="292" spans="1:50" s="155" customFormat="1" ht="30" hidden="1" customHeight="1">
      <c r="A292" s="141" t="str">
        <f t="shared" si="86"/>
        <v/>
      </c>
      <c r="B292" s="141" t="str">
        <f t="shared" si="87"/>
        <v/>
      </c>
      <c r="C292" s="205" t="str" cm="1">
        <f t="array" ref="C292">IF(D292="","",
    IF(AND(ISNUMBER(D292), D292=INT(D292)),
        $V$6 &amp; " " &amp; (IFERROR(MAX($Y$12:$Y291), 0) + 1),
        IF(ISNUMBER(SEARCH(".", D292)), "", INDEX($C$12:$C292, MATCH(2, 1/($C$12:$C292 &lt;&gt; ""))))
    )
)</f>
        <v/>
      </c>
      <c r="D292" s="206"/>
      <c r="E292" s="206" t="str">
        <f>IF(AA292 = "", "",
    IF(ISNUMBER(SEARCH("Kiện", C292)),
       " GÓI " &amp; COUNTIF($C$13:C292, "*Kiện*") &amp; "/" &amp; COUNTIF($C$13:$C$1000, "*Kiện*") &amp; " " &amp; AA292,
       AA292)
)</f>
        <v/>
      </c>
      <c r="F292" s="206"/>
      <c r="G292" s="206"/>
      <c r="H292" s="206"/>
      <c r="I292" s="206"/>
      <c r="J292" s="206" t="str">
        <f t="shared" si="88"/>
        <v/>
      </c>
      <c r="K292" s="206" t="str">
        <f t="shared" si="76"/>
        <v/>
      </c>
      <c r="L292" s="206" t="str">
        <f t="shared" si="77"/>
        <v/>
      </c>
      <c r="M292" s="206" t="str">
        <f t="shared" si="78"/>
        <v/>
      </c>
      <c r="N292" s="206" t="str">
        <f t="shared" si="89"/>
        <v/>
      </c>
      <c r="O292" s="206" t="str">
        <f t="shared" si="79"/>
        <v/>
      </c>
      <c r="P292" s="165" t="str">
        <f t="shared" si="80"/>
        <v/>
      </c>
      <c r="Q292" s="207"/>
      <c r="R292" s="141" t="str">
        <f>IF(S292="IN",'BOM_Phan II'!$Y$3,"")</f>
        <v/>
      </c>
      <c r="S292" s="153" t="str">
        <f t="shared" si="81"/>
        <v/>
      </c>
      <c r="T292">
        <f t="shared" si="82"/>
        <v>6</v>
      </c>
      <c r="U292" s="208" t="str">
        <f t="shared" si="90"/>
        <v>KIỆN 9</v>
      </c>
      <c r="V292" s="208" t="str">
        <f t="shared" si="83"/>
        <v/>
      </c>
      <c r="W292" s="240"/>
      <c r="X292" s="240"/>
      <c r="Y292" s="240" t="str">
        <f t="shared" si="84"/>
        <v/>
      </c>
      <c r="Z292" s="240"/>
      <c r="AD292" s="232" t="str">
        <f t="shared" si="85"/>
        <v/>
      </c>
      <c r="AE292" s="204"/>
      <c r="AX292" s="3" t="str">
        <f t="shared" si="75"/>
        <v/>
      </c>
    </row>
    <row r="293" spans="1:50" s="155" customFormat="1" ht="30" hidden="1" customHeight="1">
      <c r="A293" s="141" t="str">
        <f t="shared" si="86"/>
        <v/>
      </c>
      <c r="B293" s="141" t="str">
        <f t="shared" si="87"/>
        <v/>
      </c>
      <c r="C293" s="205" t="str" cm="1">
        <f t="array" ref="C293">IF(D293="","",
    IF(AND(ISNUMBER(D293), D293=INT(D293)),
        $V$6 &amp; " " &amp; (IFERROR(MAX($Y$12:$Y292), 0) + 1),
        IF(ISNUMBER(SEARCH(".", D293)), "", INDEX($C$12:$C293, MATCH(2, 1/($C$12:$C293 &lt;&gt; ""))))
    )
)</f>
        <v/>
      </c>
      <c r="D293" s="206"/>
      <c r="E293" s="206" t="str">
        <f>IF(AA293 = "", "",
    IF(ISNUMBER(SEARCH("Kiện", C293)),
       " GÓI " &amp; COUNTIF($C$13:C293, "*Kiện*") &amp; "/" &amp; COUNTIF($C$13:$C$1000, "*Kiện*") &amp; " " &amp; AA293,
       AA293)
)</f>
        <v/>
      </c>
      <c r="F293" s="206"/>
      <c r="G293" s="206"/>
      <c r="H293" s="206"/>
      <c r="I293" s="206"/>
      <c r="J293" s="206" t="str">
        <f t="shared" si="88"/>
        <v/>
      </c>
      <c r="K293" s="206" t="str">
        <f t="shared" si="76"/>
        <v/>
      </c>
      <c r="L293" s="206" t="str">
        <f t="shared" si="77"/>
        <v/>
      </c>
      <c r="M293" s="206" t="str">
        <f t="shared" si="78"/>
        <v/>
      </c>
      <c r="N293" s="206" t="str">
        <f t="shared" si="89"/>
        <v/>
      </c>
      <c r="O293" s="206" t="str">
        <f t="shared" si="79"/>
        <v/>
      </c>
      <c r="P293" s="165" t="str">
        <f t="shared" si="80"/>
        <v/>
      </c>
      <c r="Q293" s="207"/>
      <c r="R293" s="141" t="str">
        <f>IF(S293="IN",'BOM_Phan II'!$Y$3,"")</f>
        <v/>
      </c>
      <c r="S293" s="153" t="str">
        <f t="shared" si="81"/>
        <v/>
      </c>
      <c r="T293">
        <f t="shared" si="82"/>
        <v>6</v>
      </c>
      <c r="U293" s="208" t="str">
        <f t="shared" si="90"/>
        <v>KIỆN 9</v>
      </c>
      <c r="V293" s="208" t="str">
        <f t="shared" si="83"/>
        <v/>
      </c>
      <c r="W293" s="240"/>
      <c r="X293" s="240"/>
      <c r="Y293" s="240" t="str">
        <f t="shared" si="84"/>
        <v/>
      </c>
      <c r="Z293" s="240"/>
      <c r="AD293" s="232" t="str">
        <f t="shared" si="85"/>
        <v/>
      </c>
      <c r="AE293" s="204"/>
      <c r="AX293" s="3" t="str">
        <f t="shared" si="75"/>
        <v/>
      </c>
    </row>
    <row r="294" spans="1:50" s="155" customFormat="1" ht="30" hidden="1" customHeight="1">
      <c r="A294" s="141" t="str">
        <f t="shared" si="86"/>
        <v/>
      </c>
      <c r="B294" s="141" t="str">
        <f t="shared" si="87"/>
        <v/>
      </c>
      <c r="C294" s="205" t="str" cm="1">
        <f t="array" ref="C294">IF(D294="","",
    IF(AND(ISNUMBER(D294), D294=INT(D294)),
        $V$6 &amp; " " &amp; (IFERROR(MAX($Y$12:$Y293), 0) + 1),
        IF(ISNUMBER(SEARCH(".", D294)), "", INDEX($C$12:$C294, MATCH(2, 1/($C$12:$C294 &lt;&gt; ""))))
    )
)</f>
        <v/>
      </c>
      <c r="D294" s="206"/>
      <c r="E294" s="206" t="str">
        <f>IF(AA294 = "", "",
    IF(ISNUMBER(SEARCH("Kiện", C294)),
       " GÓI " &amp; COUNTIF($C$13:C294, "*Kiện*") &amp; "/" &amp; COUNTIF($C$13:$C$1000, "*Kiện*") &amp; " " &amp; AA294,
       AA294)
)</f>
        <v/>
      </c>
      <c r="F294" s="206"/>
      <c r="G294" s="206"/>
      <c r="H294" s="206"/>
      <c r="I294" s="206"/>
      <c r="J294" s="206" t="str">
        <f t="shared" si="88"/>
        <v/>
      </c>
      <c r="K294" s="206" t="str">
        <f t="shared" si="76"/>
        <v/>
      </c>
      <c r="L294" s="206" t="str">
        <f t="shared" si="77"/>
        <v/>
      </c>
      <c r="M294" s="206" t="str">
        <f t="shared" si="78"/>
        <v/>
      </c>
      <c r="N294" s="206" t="str">
        <f t="shared" si="89"/>
        <v/>
      </c>
      <c r="O294" s="206" t="str">
        <f t="shared" si="79"/>
        <v/>
      </c>
      <c r="P294" s="165" t="str">
        <f t="shared" si="80"/>
        <v/>
      </c>
      <c r="Q294" s="207"/>
      <c r="R294" s="141" t="str">
        <f>IF(S294="IN",'BOM_Phan II'!$Y$3,"")</f>
        <v/>
      </c>
      <c r="S294" s="153" t="str">
        <f t="shared" si="81"/>
        <v/>
      </c>
      <c r="T294">
        <f t="shared" si="82"/>
        <v>6</v>
      </c>
      <c r="U294" s="208" t="str">
        <f t="shared" si="90"/>
        <v>KIỆN 9</v>
      </c>
      <c r="V294" s="208" t="str">
        <f t="shared" si="83"/>
        <v/>
      </c>
      <c r="W294" s="240"/>
      <c r="X294" s="240"/>
      <c r="Y294" s="240" t="str">
        <f t="shared" si="84"/>
        <v/>
      </c>
      <c r="Z294" s="240"/>
      <c r="AD294" s="232" t="str">
        <f t="shared" si="85"/>
        <v/>
      </c>
      <c r="AE294" s="204"/>
      <c r="AX294" s="3" t="str">
        <f t="shared" si="75"/>
        <v/>
      </c>
    </row>
    <row r="295" spans="1:50" s="155" customFormat="1" ht="30" hidden="1" customHeight="1">
      <c r="A295" s="141" t="str">
        <f t="shared" si="86"/>
        <v/>
      </c>
      <c r="B295" s="141" t="str">
        <f t="shared" si="87"/>
        <v/>
      </c>
      <c r="C295" s="205" t="str" cm="1">
        <f t="array" ref="C295">IF(D295="","",
    IF(AND(ISNUMBER(D295), D295=INT(D295)),
        $V$6 &amp; " " &amp; (IFERROR(MAX($Y$12:$Y294), 0) + 1),
        IF(ISNUMBER(SEARCH(".", D295)), "", INDEX($C$12:$C295, MATCH(2, 1/($C$12:$C295 &lt;&gt; ""))))
    )
)</f>
        <v/>
      </c>
      <c r="D295" s="206"/>
      <c r="E295" s="206" t="str">
        <f>IF(AA295 = "", "",
    IF(ISNUMBER(SEARCH("Kiện", C295)),
       " GÓI " &amp; COUNTIF($C$13:C295, "*Kiện*") &amp; "/" &amp; COUNTIF($C$13:$C$1000, "*Kiện*") &amp; " " &amp; AA295,
       AA295)
)</f>
        <v/>
      </c>
      <c r="F295" s="206"/>
      <c r="G295" s="206"/>
      <c r="H295" s="206"/>
      <c r="I295" s="206"/>
      <c r="J295" s="206" t="str">
        <f t="shared" si="88"/>
        <v/>
      </c>
      <c r="K295" s="206" t="str">
        <f t="shared" si="76"/>
        <v/>
      </c>
      <c r="L295" s="206" t="str">
        <f t="shared" si="77"/>
        <v/>
      </c>
      <c r="M295" s="206" t="str">
        <f t="shared" si="78"/>
        <v/>
      </c>
      <c r="N295" s="206" t="str">
        <f t="shared" si="89"/>
        <v/>
      </c>
      <c r="O295" s="206" t="str">
        <f t="shared" si="79"/>
        <v/>
      </c>
      <c r="P295" s="165" t="str">
        <f t="shared" si="80"/>
        <v/>
      </c>
      <c r="Q295" s="207"/>
      <c r="R295" s="141" t="str">
        <f>IF(S295="IN",'BOM_Phan II'!$Y$3,"")</f>
        <v/>
      </c>
      <c r="S295" s="153" t="str">
        <f t="shared" si="81"/>
        <v/>
      </c>
      <c r="T295">
        <f t="shared" si="82"/>
        <v>6</v>
      </c>
      <c r="U295" s="208" t="str">
        <f t="shared" si="90"/>
        <v>KIỆN 9</v>
      </c>
      <c r="V295" s="208" t="str">
        <f t="shared" si="83"/>
        <v/>
      </c>
      <c r="W295" s="240"/>
      <c r="X295" s="240"/>
      <c r="Y295" s="240" t="str">
        <f t="shared" si="84"/>
        <v/>
      </c>
      <c r="Z295" s="240"/>
      <c r="AD295" s="232" t="str">
        <f t="shared" si="85"/>
        <v/>
      </c>
      <c r="AE295" s="204"/>
      <c r="AX295" s="3" t="str">
        <f t="shared" si="75"/>
        <v/>
      </c>
    </row>
    <row r="296" spans="1:50" s="155" customFormat="1" ht="30" hidden="1" customHeight="1">
      <c r="A296" s="141" t="str">
        <f t="shared" si="86"/>
        <v/>
      </c>
      <c r="B296" s="141" t="str">
        <f t="shared" si="87"/>
        <v/>
      </c>
      <c r="C296" s="205" t="str" cm="1">
        <f t="array" ref="C296">IF(D296="","",
    IF(AND(ISNUMBER(D296), D296=INT(D296)),
        $V$6 &amp; " " &amp; (IFERROR(MAX($Y$12:$Y295), 0) + 1),
        IF(ISNUMBER(SEARCH(".", D296)), "", INDEX($C$12:$C296, MATCH(2, 1/($C$12:$C296 &lt;&gt; ""))))
    )
)</f>
        <v/>
      </c>
      <c r="D296" s="206"/>
      <c r="E296" s="206" t="str">
        <f>IF(AA296 = "", "",
    IF(ISNUMBER(SEARCH("Kiện", C296)),
       " GÓI " &amp; COUNTIF($C$13:C296, "*Kiện*") &amp; "/" &amp; COUNTIF($C$13:$C$1000, "*Kiện*") &amp; " " &amp; AA296,
       AA296)
)</f>
        <v/>
      </c>
      <c r="F296" s="206"/>
      <c r="G296" s="206"/>
      <c r="H296" s="206"/>
      <c r="I296" s="206"/>
      <c r="J296" s="206" t="str">
        <f t="shared" si="88"/>
        <v/>
      </c>
      <c r="K296" s="206" t="str">
        <f t="shared" si="76"/>
        <v/>
      </c>
      <c r="L296" s="206" t="str">
        <f t="shared" si="77"/>
        <v/>
      </c>
      <c r="M296" s="206" t="str">
        <f t="shared" si="78"/>
        <v/>
      </c>
      <c r="N296" s="206" t="str">
        <f t="shared" si="89"/>
        <v/>
      </c>
      <c r="O296" s="206" t="str">
        <f t="shared" si="79"/>
        <v/>
      </c>
      <c r="P296" s="165" t="str">
        <f t="shared" si="80"/>
        <v/>
      </c>
      <c r="Q296" s="207"/>
      <c r="R296" s="141" t="str">
        <f>IF(S296="IN",'BOM_Phan II'!$Y$3,"")</f>
        <v/>
      </c>
      <c r="S296" s="153" t="str">
        <f t="shared" si="81"/>
        <v/>
      </c>
      <c r="T296">
        <f t="shared" si="82"/>
        <v>6</v>
      </c>
      <c r="U296" s="208" t="str">
        <f t="shared" si="90"/>
        <v>KIỆN 9</v>
      </c>
      <c r="V296" s="208" t="str">
        <f t="shared" si="83"/>
        <v/>
      </c>
      <c r="W296" s="240"/>
      <c r="X296" s="240"/>
      <c r="Y296" s="240" t="str">
        <f t="shared" si="84"/>
        <v/>
      </c>
      <c r="Z296" s="240"/>
      <c r="AD296" s="232" t="str">
        <f t="shared" si="85"/>
        <v/>
      </c>
      <c r="AE296" s="204"/>
      <c r="AX296" s="3" t="str">
        <f t="shared" si="75"/>
        <v/>
      </c>
    </row>
    <row r="297" spans="1:50" s="155" customFormat="1" ht="30" hidden="1" customHeight="1">
      <c r="A297" s="141" t="str">
        <f t="shared" si="86"/>
        <v/>
      </c>
      <c r="B297" s="141" t="str">
        <f t="shared" si="87"/>
        <v/>
      </c>
      <c r="C297" s="205" t="str" cm="1">
        <f t="array" ref="C297">IF(D297="","",
    IF(AND(ISNUMBER(D297), D297=INT(D297)),
        $V$6 &amp; " " &amp; (IFERROR(MAX($Y$12:$Y296), 0) + 1),
        IF(ISNUMBER(SEARCH(".", D297)), "", INDEX($C$12:$C297, MATCH(2, 1/($C$12:$C297 &lt;&gt; ""))))
    )
)</f>
        <v/>
      </c>
      <c r="D297" s="206"/>
      <c r="E297" s="206" t="str">
        <f>IF(AA297 = "", "",
    IF(ISNUMBER(SEARCH("Kiện", C297)),
       " GÓI " &amp; COUNTIF($C$13:C297, "*Kiện*") &amp; "/" &amp; COUNTIF($C$13:$C$1000, "*Kiện*") &amp; " " &amp; AA297,
       AA297)
)</f>
        <v/>
      </c>
      <c r="F297" s="206"/>
      <c r="G297" s="206"/>
      <c r="H297" s="206"/>
      <c r="I297" s="206"/>
      <c r="J297" s="206" t="str">
        <f t="shared" si="88"/>
        <v/>
      </c>
      <c r="K297" s="206" t="str">
        <f t="shared" si="76"/>
        <v/>
      </c>
      <c r="L297" s="206" t="str">
        <f t="shared" si="77"/>
        <v/>
      </c>
      <c r="M297" s="206" t="str">
        <f t="shared" si="78"/>
        <v/>
      </c>
      <c r="N297" s="206" t="str">
        <f t="shared" si="89"/>
        <v/>
      </c>
      <c r="O297" s="206" t="str">
        <f t="shared" si="79"/>
        <v/>
      </c>
      <c r="P297" s="165" t="str">
        <f t="shared" si="80"/>
        <v/>
      </c>
      <c r="Q297" s="207"/>
      <c r="R297" s="141" t="str">
        <f>IF(S297="IN",'BOM_Phan II'!$Y$3,"")</f>
        <v/>
      </c>
      <c r="S297" s="153" t="str">
        <f t="shared" si="81"/>
        <v/>
      </c>
      <c r="T297">
        <f t="shared" si="82"/>
        <v>6</v>
      </c>
      <c r="U297" s="208" t="str">
        <f t="shared" si="90"/>
        <v>KIỆN 9</v>
      </c>
      <c r="V297" s="208" t="str">
        <f t="shared" si="83"/>
        <v/>
      </c>
      <c r="W297" s="240"/>
      <c r="X297" s="240"/>
      <c r="Y297" s="240" t="str">
        <f t="shared" si="84"/>
        <v/>
      </c>
      <c r="Z297" s="240"/>
      <c r="AD297" s="232" t="str">
        <f t="shared" si="85"/>
        <v/>
      </c>
      <c r="AE297" s="204"/>
      <c r="AX297" s="3" t="str">
        <f t="shared" si="75"/>
        <v/>
      </c>
    </row>
    <row r="298" spans="1:50" s="155" customFormat="1" ht="30" hidden="1" customHeight="1">
      <c r="A298" s="141" t="str">
        <f t="shared" si="86"/>
        <v/>
      </c>
      <c r="B298" s="141" t="str">
        <f t="shared" si="87"/>
        <v/>
      </c>
      <c r="C298" s="205" t="str" cm="1">
        <f t="array" ref="C298">IF(D298="","",
    IF(AND(ISNUMBER(D298), D298=INT(D298)),
        $V$6 &amp; " " &amp; (IFERROR(MAX($Y$12:$Y297), 0) + 1),
        IF(ISNUMBER(SEARCH(".", D298)), "", INDEX($C$12:$C298, MATCH(2, 1/($C$12:$C298 &lt;&gt; ""))))
    )
)</f>
        <v/>
      </c>
      <c r="D298" s="206"/>
      <c r="E298" s="206" t="str">
        <f>IF(AA298 = "", "",
    IF(ISNUMBER(SEARCH("Kiện", C298)),
       " GÓI " &amp; COUNTIF($C$13:C298, "*Kiện*") &amp; "/" &amp; COUNTIF($C$13:$C$1000, "*Kiện*") &amp; " " &amp; AA298,
       AA298)
)</f>
        <v/>
      </c>
      <c r="F298" s="206"/>
      <c r="G298" s="206"/>
      <c r="H298" s="206"/>
      <c r="I298" s="206"/>
      <c r="J298" s="206" t="str">
        <f t="shared" si="88"/>
        <v/>
      </c>
      <c r="K298" s="206" t="str">
        <f t="shared" si="76"/>
        <v/>
      </c>
      <c r="L298" s="206" t="str">
        <f t="shared" si="77"/>
        <v/>
      </c>
      <c r="M298" s="206" t="str">
        <f t="shared" si="78"/>
        <v/>
      </c>
      <c r="N298" s="206" t="str">
        <f t="shared" si="89"/>
        <v/>
      </c>
      <c r="O298" s="206" t="str">
        <f t="shared" si="79"/>
        <v/>
      </c>
      <c r="P298" s="165" t="str">
        <f t="shared" si="80"/>
        <v/>
      </c>
      <c r="Q298" s="207"/>
      <c r="R298" s="141" t="str">
        <f>IF(S298="IN",'BOM_Phan II'!$Y$3,"")</f>
        <v/>
      </c>
      <c r="S298" s="153" t="str">
        <f t="shared" si="81"/>
        <v/>
      </c>
      <c r="T298">
        <f t="shared" si="82"/>
        <v>6</v>
      </c>
      <c r="U298" s="208" t="str">
        <f t="shared" si="90"/>
        <v>KIỆN 9</v>
      </c>
      <c r="V298" s="208" t="str">
        <f t="shared" si="83"/>
        <v/>
      </c>
      <c r="W298" s="240"/>
      <c r="X298" s="240"/>
      <c r="Y298" s="240" t="str">
        <f t="shared" si="84"/>
        <v/>
      </c>
      <c r="Z298" s="240"/>
      <c r="AD298" s="232" t="str">
        <f t="shared" si="85"/>
        <v/>
      </c>
      <c r="AE298" s="204"/>
      <c r="AX298" s="3" t="str">
        <f t="shared" si="75"/>
        <v/>
      </c>
    </row>
    <row r="299" spans="1:50" s="155" customFormat="1" ht="30" hidden="1" customHeight="1">
      <c r="A299" s="141" t="str">
        <f t="shared" si="86"/>
        <v/>
      </c>
      <c r="B299" s="141" t="str">
        <f t="shared" si="87"/>
        <v/>
      </c>
      <c r="C299" s="205" t="str" cm="1">
        <f t="array" ref="C299">IF(D299="","",
    IF(AND(ISNUMBER(D299), D299=INT(D299)),
        $V$6 &amp; " " &amp; (IFERROR(MAX($Y$12:$Y298), 0) + 1),
        IF(ISNUMBER(SEARCH(".", D299)), "", INDEX($C$12:$C299, MATCH(2, 1/($C$12:$C299 &lt;&gt; ""))))
    )
)</f>
        <v/>
      </c>
      <c r="D299" s="206"/>
      <c r="E299" s="206" t="str">
        <f>IF(AA299 = "", "",
    IF(ISNUMBER(SEARCH("Kiện", C299)),
       " GÓI " &amp; COUNTIF($C$13:C299, "*Kiện*") &amp; "/" &amp; COUNTIF($C$13:$C$1000, "*Kiện*") &amp; " " &amp; AA299,
       AA299)
)</f>
        <v/>
      </c>
      <c r="F299" s="206"/>
      <c r="G299" s="206"/>
      <c r="H299" s="206"/>
      <c r="I299" s="206"/>
      <c r="J299" s="206" t="str">
        <f t="shared" si="88"/>
        <v/>
      </c>
      <c r="K299" s="206" t="str">
        <f t="shared" si="76"/>
        <v/>
      </c>
      <c r="L299" s="206" t="str">
        <f t="shared" si="77"/>
        <v/>
      </c>
      <c r="M299" s="206" t="str">
        <f t="shared" si="78"/>
        <v/>
      </c>
      <c r="N299" s="206" t="str">
        <f t="shared" si="89"/>
        <v/>
      </c>
      <c r="O299" s="206" t="str">
        <f t="shared" si="79"/>
        <v/>
      </c>
      <c r="P299" s="165" t="str">
        <f t="shared" si="80"/>
        <v/>
      </c>
      <c r="Q299" s="207"/>
      <c r="R299" s="141" t="str">
        <f>IF(S299="IN",'BOM_Phan II'!$Y$3,"")</f>
        <v/>
      </c>
      <c r="S299" s="153" t="str">
        <f t="shared" si="81"/>
        <v/>
      </c>
      <c r="T299">
        <f t="shared" si="82"/>
        <v>6</v>
      </c>
      <c r="U299" s="208" t="str">
        <f t="shared" si="90"/>
        <v>KIỆN 9</v>
      </c>
      <c r="V299" s="208" t="str">
        <f t="shared" si="83"/>
        <v/>
      </c>
      <c r="W299" s="240"/>
      <c r="X299" s="240"/>
      <c r="Y299" s="240" t="str">
        <f t="shared" si="84"/>
        <v/>
      </c>
      <c r="Z299" s="240"/>
      <c r="AD299" s="232" t="str">
        <f t="shared" si="85"/>
        <v/>
      </c>
      <c r="AE299" s="204"/>
      <c r="AX299" s="3" t="str">
        <f t="shared" si="75"/>
        <v/>
      </c>
    </row>
    <row r="300" spans="1:50" s="155" customFormat="1" ht="30" hidden="1" customHeight="1">
      <c r="A300" s="141" t="str">
        <f t="shared" si="86"/>
        <v/>
      </c>
      <c r="B300" s="141" t="str">
        <f t="shared" si="87"/>
        <v/>
      </c>
      <c r="C300" s="205" t="str" cm="1">
        <f t="array" ref="C300">IF(D300="","",
    IF(AND(ISNUMBER(D300), D300=INT(D300)),
        $V$6 &amp; " " &amp; (IFERROR(MAX($Y$12:$Y299), 0) + 1),
        IF(ISNUMBER(SEARCH(".", D300)), "", INDEX($C$12:$C300, MATCH(2, 1/($C$12:$C300 &lt;&gt; ""))))
    )
)</f>
        <v/>
      </c>
      <c r="D300" s="206"/>
      <c r="E300" s="206" t="str">
        <f>IF(AA300 = "", "",
    IF(ISNUMBER(SEARCH("Kiện", C300)),
       " GÓI " &amp; COUNTIF($C$13:C300, "*Kiện*") &amp; "/" &amp; COUNTIF($C$13:$C$1000, "*Kiện*") &amp; " " &amp; AA300,
       AA300)
)</f>
        <v/>
      </c>
      <c r="F300" s="206"/>
      <c r="G300" s="206"/>
      <c r="H300" s="206"/>
      <c r="I300" s="206"/>
      <c r="J300" s="206" t="str">
        <f t="shared" si="88"/>
        <v/>
      </c>
      <c r="K300" s="206" t="str">
        <f t="shared" si="76"/>
        <v/>
      </c>
      <c r="L300" s="206" t="str">
        <f t="shared" si="77"/>
        <v/>
      </c>
      <c r="M300" s="206" t="str">
        <f t="shared" si="78"/>
        <v/>
      </c>
      <c r="N300" s="206" t="str">
        <f t="shared" si="89"/>
        <v/>
      </c>
      <c r="O300" s="206" t="str">
        <f t="shared" si="79"/>
        <v/>
      </c>
      <c r="P300" s="165" t="str">
        <f t="shared" si="80"/>
        <v/>
      </c>
      <c r="Q300" s="207"/>
      <c r="R300" s="141" t="str">
        <f>IF(S300="IN",'BOM_Phan II'!$Y$3,"")</f>
        <v/>
      </c>
      <c r="S300" s="153" t="str">
        <f t="shared" si="81"/>
        <v/>
      </c>
      <c r="T300">
        <f t="shared" si="82"/>
        <v>6</v>
      </c>
      <c r="U300" s="208" t="str">
        <f t="shared" si="90"/>
        <v>KIỆN 9</v>
      </c>
      <c r="V300" s="208" t="str">
        <f t="shared" si="83"/>
        <v/>
      </c>
      <c r="W300" s="240"/>
      <c r="X300" s="240"/>
      <c r="Y300" s="240" t="str">
        <f t="shared" si="84"/>
        <v/>
      </c>
      <c r="Z300" s="240"/>
      <c r="AD300" s="232" t="str">
        <f t="shared" si="85"/>
        <v/>
      </c>
      <c r="AE300" s="204"/>
      <c r="AX300" s="3" t="str">
        <f t="shared" si="75"/>
        <v/>
      </c>
    </row>
    <row r="301" spans="1:50" s="155" customFormat="1" ht="30" hidden="1" customHeight="1">
      <c r="A301" s="141" t="str">
        <f t="shared" si="86"/>
        <v/>
      </c>
      <c r="B301" s="141" t="str">
        <f t="shared" si="87"/>
        <v/>
      </c>
      <c r="C301" s="205" t="str" cm="1">
        <f t="array" ref="C301">IF(D301="","",
    IF(AND(ISNUMBER(D301), D301=INT(D301)),
        $V$6 &amp; " " &amp; (IFERROR(MAX($Y$12:$Y300), 0) + 1),
        IF(ISNUMBER(SEARCH(".", D301)), "", INDEX($C$12:$C301, MATCH(2, 1/($C$12:$C301 &lt;&gt; ""))))
    )
)</f>
        <v/>
      </c>
      <c r="D301" s="206"/>
      <c r="E301" s="206" t="str">
        <f>IF(AA301 = "", "",
    IF(ISNUMBER(SEARCH("Kiện", C301)),
       " GÓI " &amp; COUNTIF($C$13:C301, "*Kiện*") &amp; "/" &amp; COUNTIF($C$13:$C$1000, "*Kiện*") &amp; " " &amp; AA301,
       AA301)
)</f>
        <v/>
      </c>
      <c r="F301" s="206"/>
      <c r="G301" s="206"/>
      <c r="H301" s="206"/>
      <c r="I301" s="206"/>
      <c r="J301" s="206" t="str">
        <f t="shared" si="88"/>
        <v/>
      </c>
      <c r="K301" s="206" t="str">
        <f t="shared" si="76"/>
        <v/>
      </c>
      <c r="L301" s="206" t="str">
        <f t="shared" si="77"/>
        <v/>
      </c>
      <c r="M301" s="206" t="str">
        <f t="shared" si="78"/>
        <v/>
      </c>
      <c r="N301" s="206" t="str">
        <f t="shared" si="89"/>
        <v/>
      </c>
      <c r="O301" s="206" t="str">
        <f t="shared" si="79"/>
        <v/>
      </c>
      <c r="P301" s="165" t="str">
        <f t="shared" si="80"/>
        <v/>
      </c>
      <c r="Q301" s="207"/>
      <c r="R301" s="141" t="str">
        <f>IF(S301="IN",'BOM_Phan II'!$Y$3,"")</f>
        <v/>
      </c>
      <c r="S301" s="153" t="str">
        <f t="shared" si="81"/>
        <v/>
      </c>
      <c r="T301">
        <f t="shared" si="82"/>
        <v>6</v>
      </c>
      <c r="U301" s="208" t="str">
        <f t="shared" si="90"/>
        <v>KIỆN 9</v>
      </c>
      <c r="V301" s="208" t="str">
        <f t="shared" si="83"/>
        <v/>
      </c>
      <c r="W301" s="240"/>
      <c r="X301" s="240"/>
      <c r="Y301" s="240" t="str">
        <f t="shared" si="84"/>
        <v/>
      </c>
      <c r="Z301" s="240"/>
      <c r="AD301" s="232" t="str">
        <f t="shared" si="85"/>
        <v/>
      </c>
      <c r="AE301" s="204"/>
      <c r="AX301" s="3" t="str">
        <f t="shared" si="75"/>
        <v/>
      </c>
    </row>
    <row r="302" spans="1:50" s="155" customFormat="1" ht="30" hidden="1" customHeight="1">
      <c r="A302" s="141" t="str">
        <f t="shared" si="86"/>
        <v/>
      </c>
      <c r="B302" s="141" t="str">
        <f t="shared" si="87"/>
        <v/>
      </c>
      <c r="C302" s="205" t="str" cm="1">
        <f t="array" ref="C302">IF(D302="","",
    IF(AND(ISNUMBER(D302), D302=INT(D302)),
        $V$6 &amp; " " &amp; (IFERROR(MAX($Y$12:$Y301), 0) + 1),
        IF(ISNUMBER(SEARCH(".", D302)), "", INDEX($C$12:$C302, MATCH(2, 1/($C$12:$C302 &lt;&gt; ""))))
    )
)</f>
        <v/>
      </c>
      <c r="D302" s="206"/>
      <c r="E302" s="206" t="str">
        <f>IF(AA302 = "", "",
    IF(ISNUMBER(SEARCH("Kiện", C302)),
       " GÓI " &amp; COUNTIF($C$13:C302, "*Kiện*") &amp; "/" &amp; COUNTIF($C$13:$C$1000, "*Kiện*") &amp; " " &amp; AA302,
       AA302)
)</f>
        <v/>
      </c>
      <c r="F302" s="206"/>
      <c r="G302" s="206"/>
      <c r="H302" s="206"/>
      <c r="I302" s="206"/>
      <c r="J302" s="206" t="str">
        <f t="shared" si="88"/>
        <v/>
      </c>
      <c r="K302" s="206" t="str">
        <f t="shared" si="76"/>
        <v/>
      </c>
      <c r="L302" s="206" t="str">
        <f t="shared" si="77"/>
        <v/>
      </c>
      <c r="M302" s="206" t="str">
        <f t="shared" si="78"/>
        <v/>
      </c>
      <c r="N302" s="206" t="str">
        <f t="shared" si="89"/>
        <v/>
      </c>
      <c r="O302" s="206" t="str">
        <f t="shared" si="79"/>
        <v/>
      </c>
      <c r="P302" s="165" t="str">
        <f t="shared" si="80"/>
        <v/>
      </c>
      <c r="Q302" s="207"/>
      <c r="R302" s="141" t="str">
        <f>IF(S302="IN",'BOM_Phan II'!$Y$3,"")</f>
        <v/>
      </c>
      <c r="S302" s="153" t="str">
        <f t="shared" si="81"/>
        <v/>
      </c>
      <c r="T302">
        <f t="shared" si="82"/>
        <v>6</v>
      </c>
      <c r="U302" s="208" t="str">
        <f t="shared" si="90"/>
        <v>KIỆN 9</v>
      </c>
      <c r="V302" s="208" t="str">
        <f t="shared" si="83"/>
        <v/>
      </c>
      <c r="W302" s="240"/>
      <c r="X302" s="240"/>
      <c r="Y302" s="240" t="str">
        <f t="shared" si="84"/>
        <v/>
      </c>
      <c r="Z302" s="240"/>
      <c r="AD302" s="232" t="str">
        <f t="shared" si="85"/>
        <v/>
      </c>
      <c r="AE302" s="204"/>
      <c r="AX302" s="3" t="str">
        <f t="shared" si="75"/>
        <v/>
      </c>
    </row>
    <row r="303" spans="1:50" s="155" customFormat="1" ht="30" hidden="1" customHeight="1">
      <c r="A303" s="141" t="str">
        <f t="shared" si="86"/>
        <v/>
      </c>
      <c r="B303" s="141" t="str">
        <f t="shared" si="87"/>
        <v/>
      </c>
      <c r="C303" s="205" t="str" cm="1">
        <f t="array" ref="C303">IF(D303="","",
    IF(AND(ISNUMBER(D303), D303=INT(D303)),
        $V$6 &amp; " " &amp; (IFERROR(MAX($Y$12:$Y302), 0) + 1),
        IF(ISNUMBER(SEARCH(".", D303)), "", INDEX($C$12:$C303, MATCH(2, 1/($C$12:$C303 &lt;&gt; ""))))
    )
)</f>
        <v/>
      </c>
      <c r="D303" s="206"/>
      <c r="E303" s="206" t="str">
        <f>IF(AA303 = "", "",
    IF(ISNUMBER(SEARCH("Kiện", C303)),
       " GÓI " &amp; COUNTIF($C$13:C303, "*Kiện*") &amp; "/" &amp; COUNTIF($C$13:$C$1000, "*Kiện*") &amp; " " &amp; AA303,
       AA303)
)</f>
        <v/>
      </c>
      <c r="F303" s="206"/>
      <c r="G303" s="206"/>
      <c r="H303" s="206"/>
      <c r="I303" s="206"/>
      <c r="J303" s="206" t="str">
        <f t="shared" si="88"/>
        <v/>
      </c>
      <c r="K303" s="206" t="str">
        <f t="shared" si="76"/>
        <v/>
      </c>
      <c r="L303" s="206" t="str">
        <f t="shared" si="77"/>
        <v/>
      </c>
      <c r="M303" s="206" t="str">
        <f t="shared" si="78"/>
        <v/>
      </c>
      <c r="N303" s="206" t="str">
        <f t="shared" si="89"/>
        <v/>
      </c>
      <c r="O303" s="206" t="str">
        <f t="shared" si="79"/>
        <v/>
      </c>
      <c r="P303" s="165" t="str">
        <f t="shared" si="80"/>
        <v/>
      </c>
      <c r="Q303" s="207"/>
      <c r="R303" s="141" t="str">
        <f>IF(S303="IN",'BOM_Phan II'!$Y$3,"")</f>
        <v/>
      </c>
      <c r="S303" s="153" t="str">
        <f t="shared" si="81"/>
        <v/>
      </c>
      <c r="T303">
        <f t="shared" si="82"/>
        <v>6</v>
      </c>
      <c r="U303" s="208" t="str">
        <f t="shared" si="90"/>
        <v>KIỆN 9</v>
      </c>
      <c r="V303" s="208" t="str">
        <f t="shared" si="83"/>
        <v/>
      </c>
      <c r="W303" s="240"/>
      <c r="X303" s="240"/>
      <c r="Y303" s="240" t="str">
        <f t="shared" si="84"/>
        <v/>
      </c>
      <c r="Z303" s="240"/>
      <c r="AD303" s="232" t="str">
        <f t="shared" si="85"/>
        <v/>
      </c>
      <c r="AE303" s="204"/>
      <c r="AX303" s="3" t="str">
        <f t="shared" si="75"/>
        <v/>
      </c>
    </row>
    <row r="304" spans="1:50" s="155" customFormat="1" ht="30" hidden="1" customHeight="1">
      <c r="A304" s="141" t="str">
        <f t="shared" si="86"/>
        <v/>
      </c>
      <c r="B304" s="141" t="str">
        <f t="shared" si="87"/>
        <v/>
      </c>
      <c r="C304" s="205" t="str" cm="1">
        <f t="array" ref="C304">IF(D304="","",
    IF(AND(ISNUMBER(D304), D304=INT(D304)),
        $V$6 &amp; " " &amp; (IFERROR(MAX($Y$12:$Y303), 0) + 1),
        IF(ISNUMBER(SEARCH(".", D304)), "", INDEX($C$12:$C304, MATCH(2, 1/($C$12:$C304 &lt;&gt; ""))))
    )
)</f>
        <v/>
      </c>
      <c r="D304" s="206"/>
      <c r="E304" s="206" t="str">
        <f>IF(AA304 = "", "",
    IF(ISNUMBER(SEARCH("Kiện", C304)),
       " GÓI " &amp; COUNTIF($C$13:C304, "*Kiện*") &amp; "/" &amp; COUNTIF($C$13:$C$1000, "*Kiện*") &amp; " " &amp; AA304,
       AA304)
)</f>
        <v/>
      </c>
      <c r="F304" s="206"/>
      <c r="G304" s="206"/>
      <c r="H304" s="206"/>
      <c r="I304" s="206"/>
      <c r="J304" s="206" t="str">
        <f t="shared" si="88"/>
        <v/>
      </c>
      <c r="K304" s="206" t="str">
        <f t="shared" si="76"/>
        <v/>
      </c>
      <c r="L304" s="206" t="str">
        <f t="shared" si="77"/>
        <v/>
      </c>
      <c r="M304" s="206" t="str">
        <f t="shared" si="78"/>
        <v/>
      </c>
      <c r="N304" s="206" t="str">
        <f t="shared" si="89"/>
        <v/>
      </c>
      <c r="O304" s="206" t="str">
        <f t="shared" si="79"/>
        <v/>
      </c>
      <c r="P304" s="165" t="str">
        <f t="shared" si="80"/>
        <v/>
      </c>
      <c r="Q304" s="207"/>
      <c r="R304" s="141" t="str">
        <f>IF(S304="IN",'BOM_Phan II'!$Y$3,"")</f>
        <v/>
      </c>
      <c r="S304" s="153" t="str">
        <f t="shared" si="81"/>
        <v/>
      </c>
      <c r="T304">
        <f t="shared" si="82"/>
        <v>6</v>
      </c>
      <c r="U304" s="208" t="str">
        <f t="shared" si="90"/>
        <v>KIỆN 9</v>
      </c>
      <c r="V304" s="208" t="str">
        <f t="shared" si="83"/>
        <v/>
      </c>
      <c r="W304" s="240"/>
      <c r="X304" s="240"/>
      <c r="Y304" s="240" t="str">
        <f t="shared" si="84"/>
        <v/>
      </c>
      <c r="Z304" s="240"/>
      <c r="AD304" s="232" t="str">
        <f t="shared" si="85"/>
        <v/>
      </c>
      <c r="AE304" s="204"/>
      <c r="AX304" s="3" t="str">
        <f t="shared" si="75"/>
        <v/>
      </c>
    </row>
    <row r="305" spans="1:50" s="155" customFormat="1" ht="30" hidden="1" customHeight="1">
      <c r="A305" s="141" t="str">
        <f t="shared" si="86"/>
        <v/>
      </c>
      <c r="B305" s="141" t="str">
        <f t="shared" si="87"/>
        <v/>
      </c>
      <c r="C305" s="205" t="str" cm="1">
        <f t="array" ref="C305">IF(D305="","",
    IF(AND(ISNUMBER(D305), D305=INT(D305)),
        $V$6 &amp; " " &amp; (IFERROR(MAX($Y$12:$Y304), 0) + 1),
        IF(ISNUMBER(SEARCH(".", D305)), "", INDEX($C$12:$C305, MATCH(2, 1/($C$12:$C305 &lt;&gt; ""))))
    )
)</f>
        <v/>
      </c>
      <c r="D305" s="206"/>
      <c r="E305" s="206" t="str">
        <f>IF(AA305 = "", "",
    IF(ISNUMBER(SEARCH("Kiện", C305)),
       " GÓI " &amp; COUNTIF($C$13:C305, "*Kiện*") &amp; "/" &amp; COUNTIF($C$13:$C$1000, "*Kiện*") &amp; " " &amp; AA305,
       AA305)
)</f>
        <v/>
      </c>
      <c r="F305" s="206"/>
      <c r="G305" s="206"/>
      <c r="H305" s="206"/>
      <c r="I305" s="206"/>
      <c r="J305" s="206" t="str">
        <f t="shared" si="88"/>
        <v/>
      </c>
      <c r="K305" s="206" t="str">
        <f t="shared" si="76"/>
        <v/>
      </c>
      <c r="L305" s="206" t="str">
        <f t="shared" si="77"/>
        <v/>
      </c>
      <c r="M305" s="206" t="str">
        <f t="shared" si="78"/>
        <v/>
      </c>
      <c r="N305" s="206" t="str">
        <f t="shared" si="89"/>
        <v/>
      </c>
      <c r="O305" s="206" t="str">
        <f t="shared" si="79"/>
        <v/>
      </c>
      <c r="P305" s="165" t="str">
        <f t="shared" si="80"/>
        <v/>
      </c>
      <c r="Q305" s="207"/>
      <c r="R305" s="141" t="str">
        <f>IF(S305="IN",'BOM_Phan II'!$Y$3,"")</f>
        <v/>
      </c>
      <c r="S305" s="153" t="str">
        <f t="shared" si="81"/>
        <v/>
      </c>
      <c r="T305">
        <f t="shared" si="82"/>
        <v>6</v>
      </c>
      <c r="U305" s="208" t="str">
        <f t="shared" si="90"/>
        <v>KIỆN 9</v>
      </c>
      <c r="V305" s="208" t="str">
        <f t="shared" si="83"/>
        <v/>
      </c>
      <c r="W305" s="240"/>
      <c r="X305" s="240"/>
      <c r="Y305" s="240" t="str">
        <f t="shared" si="84"/>
        <v/>
      </c>
      <c r="Z305" s="240"/>
      <c r="AD305" s="232" t="str">
        <f t="shared" si="85"/>
        <v/>
      </c>
      <c r="AE305" s="204"/>
      <c r="AX305" s="3" t="str">
        <f t="shared" si="75"/>
        <v/>
      </c>
    </row>
    <row r="306" spans="1:50" s="155" customFormat="1" ht="30" hidden="1" customHeight="1">
      <c r="A306" s="141" t="str">
        <f t="shared" si="86"/>
        <v/>
      </c>
      <c r="B306" s="141" t="str">
        <f t="shared" si="87"/>
        <v/>
      </c>
      <c r="C306" s="205" t="str" cm="1">
        <f t="array" ref="C306">IF(D306="","",
    IF(AND(ISNUMBER(D306), D306=INT(D306)),
        $V$6 &amp; " " &amp; (IFERROR(MAX($Y$12:$Y305), 0) + 1),
        IF(ISNUMBER(SEARCH(".", D306)), "", INDEX($C$12:$C306, MATCH(2, 1/($C$12:$C306 &lt;&gt; ""))))
    )
)</f>
        <v/>
      </c>
      <c r="D306" s="206"/>
      <c r="E306" s="206" t="str">
        <f>IF(AA306 = "", "",
    IF(ISNUMBER(SEARCH("Kiện", C306)),
       " GÓI " &amp; COUNTIF($C$13:C306, "*Kiện*") &amp; "/" &amp; COUNTIF($C$13:$C$1000, "*Kiện*") &amp; " " &amp; AA306,
       AA306)
)</f>
        <v/>
      </c>
      <c r="F306" s="206"/>
      <c r="G306" s="206"/>
      <c r="H306" s="206"/>
      <c r="I306" s="206"/>
      <c r="J306" s="206" t="str">
        <f t="shared" si="88"/>
        <v/>
      </c>
      <c r="K306" s="206" t="str">
        <f t="shared" si="76"/>
        <v/>
      </c>
      <c r="L306" s="206" t="str">
        <f t="shared" si="77"/>
        <v/>
      </c>
      <c r="M306" s="206" t="str">
        <f t="shared" si="78"/>
        <v/>
      </c>
      <c r="N306" s="206" t="str">
        <f t="shared" si="89"/>
        <v/>
      </c>
      <c r="O306" s="206" t="str">
        <f t="shared" si="79"/>
        <v/>
      </c>
      <c r="P306" s="165" t="str">
        <f t="shared" si="80"/>
        <v/>
      </c>
      <c r="Q306" s="207"/>
      <c r="R306" s="141" t="str">
        <f>IF(S306="IN",'BOM_Phan II'!$Y$3,"")</f>
        <v/>
      </c>
      <c r="S306" s="153" t="str">
        <f t="shared" si="81"/>
        <v/>
      </c>
      <c r="T306">
        <f t="shared" si="82"/>
        <v>6</v>
      </c>
      <c r="U306" s="208" t="str">
        <f t="shared" si="90"/>
        <v>KIỆN 9</v>
      </c>
      <c r="V306" s="208" t="str">
        <f t="shared" si="83"/>
        <v/>
      </c>
      <c r="W306" s="240"/>
      <c r="X306" s="240"/>
      <c r="Y306" s="240" t="str">
        <f t="shared" si="84"/>
        <v/>
      </c>
      <c r="Z306" s="240"/>
      <c r="AD306" s="232" t="str">
        <f t="shared" si="85"/>
        <v/>
      </c>
      <c r="AE306" s="204"/>
      <c r="AX306" s="3" t="str">
        <f t="shared" si="75"/>
        <v/>
      </c>
    </row>
    <row r="307" spans="1:50" s="155" customFormat="1" ht="30" hidden="1" customHeight="1">
      <c r="A307" s="141" t="str">
        <f t="shared" si="86"/>
        <v/>
      </c>
      <c r="B307" s="141" t="str">
        <f t="shared" si="87"/>
        <v/>
      </c>
      <c r="C307" s="205" t="str" cm="1">
        <f t="array" ref="C307">IF(D307="","",
    IF(AND(ISNUMBER(D307), D307=INT(D307)),
        $V$6 &amp; " " &amp; (IFERROR(MAX($Y$12:$Y306), 0) + 1),
        IF(ISNUMBER(SEARCH(".", D307)), "", INDEX($C$12:$C307, MATCH(2, 1/($C$12:$C307 &lt;&gt; ""))))
    )
)</f>
        <v/>
      </c>
      <c r="D307" s="206"/>
      <c r="E307" s="206" t="str">
        <f>IF(AA307 = "", "",
    IF(ISNUMBER(SEARCH("Kiện", C307)),
       " GÓI " &amp; COUNTIF($C$13:C307, "*Kiện*") &amp; "/" &amp; COUNTIF($C$13:$C$1000, "*Kiện*") &amp; " " &amp; AA307,
       AA307)
)</f>
        <v/>
      </c>
      <c r="F307" s="206"/>
      <c r="G307" s="206"/>
      <c r="H307" s="206"/>
      <c r="I307" s="206"/>
      <c r="J307" s="206" t="str">
        <f t="shared" si="88"/>
        <v/>
      </c>
      <c r="K307" s="206" t="str">
        <f t="shared" si="76"/>
        <v/>
      </c>
      <c r="L307" s="206" t="str">
        <f t="shared" si="77"/>
        <v/>
      </c>
      <c r="M307" s="206" t="str">
        <f t="shared" si="78"/>
        <v/>
      </c>
      <c r="N307" s="206" t="str">
        <f t="shared" si="89"/>
        <v/>
      </c>
      <c r="O307" s="206" t="str">
        <f t="shared" si="79"/>
        <v/>
      </c>
      <c r="P307" s="165" t="str">
        <f t="shared" si="80"/>
        <v/>
      </c>
      <c r="Q307" s="207"/>
      <c r="R307" s="141" t="str">
        <f>IF(S307="IN",'BOM_Phan II'!$Y$3,"")</f>
        <v/>
      </c>
      <c r="S307" s="153" t="str">
        <f t="shared" si="81"/>
        <v/>
      </c>
      <c r="T307">
        <f t="shared" si="82"/>
        <v>6</v>
      </c>
      <c r="U307" s="208" t="str">
        <f t="shared" si="90"/>
        <v>KIỆN 9</v>
      </c>
      <c r="V307" s="208" t="str">
        <f t="shared" si="83"/>
        <v/>
      </c>
      <c r="W307" s="240"/>
      <c r="X307" s="240"/>
      <c r="Y307" s="240" t="str">
        <f t="shared" si="84"/>
        <v/>
      </c>
      <c r="Z307" s="240"/>
      <c r="AD307" s="232" t="str">
        <f t="shared" si="85"/>
        <v/>
      </c>
      <c r="AE307" s="204"/>
      <c r="AX307" s="3" t="str">
        <f t="shared" si="75"/>
        <v/>
      </c>
    </row>
    <row r="308" spans="1:50" s="155" customFormat="1" ht="30" hidden="1" customHeight="1">
      <c r="A308" s="141" t="str">
        <f t="shared" si="86"/>
        <v/>
      </c>
      <c r="B308" s="141" t="str">
        <f t="shared" si="87"/>
        <v/>
      </c>
      <c r="C308" s="205" t="str" cm="1">
        <f t="array" ref="C308">IF(D308="","",
    IF(AND(ISNUMBER(D308), D308=INT(D308)),
        $V$6 &amp; " " &amp; (IFERROR(MAX($Y$12:$Y307), 0) + 1),
        IF(ISNUMBER(SEARCH(".", D308)), "", INDEX($C$12:$C308, MATCH(2, 1/($C$12:$C308 &lt;&gt; ""))))
    )
)</f>
        <v/>
      </c>
      <c r="D308" s="206"/>
      <c r="E308" s="206" t="str">
        <f>IF(AA308 = "", "",
    IF(ISNUMBER(SEARCH("Kiện", C308)),
       " GÓI " &amp; COUNTIF($C$13:C308, "*Kiện*") &amp; "/" &amp; COUNTIF($C$13:$C$1000, "*Kiện*") &amp; " " &amp; AA308,
       AA308)
)</f>
        <v/>
      </c>
      <c r="F308" s="206"/>
      <c r="G308" s="206"/>
      <c r="H308" s="206"/>
      <c r="I308" s="206"/>
      <c r="J308" s="206" t="str">
        <f t="shared" si="88"/>
        <v/>
      </c>
      <c r="K308" s="206" t="str">
        <f t="shared" si="76"/>
        <v/>
      </c>
      <c r="L308" s="206" t="str">
        <f t="shared" si="77"/>
        <v/>
      </c>
      <c r="M308" s="206" t="str">
        <f t="shared" si="78"/>
        <v/>
      </c>
      <c r="N308" s="206" t="str">
        <f t="shared" si="89"/>
        <v/>
      </c>
      <c r="O308" s="206" t="str">
        <f t="shared" si="79"/>
        <v/>
      </c>
      <c r="P308" s="165" t="str">
        <f t="shared" si="80"/>
        <v/>
      </c>
      <c r="Q308" s="207"/>
      <c r="R308" s="141" t="str">
        <f>IF(S308="IN",'BOM_Phan II'!$Y$3,"")</f>
        <v/>
      </c>
      <c r="S308" s="153" t="str">
        <f t="shared" si="81"/>
        <v/>
      </c>
      <c r="T308">
        <f t="shared" si="82"/>
        <v>6</v>
      </c>
      <c r="U308" s="208" t="str">
        <f t="shared" si="90"/>
        <v>KIỆN 9</v>
      </c>
      <c r="V308" s="208" t="str">
        <f t="shared" si="83"/>
        <v/>
      </c>
      <c r="W308" s="240"/>
      <c r="X308" s="240"/>
      <c r="Y308" s="240" t="str">
        <f t="shared" si="84"/>
        <v/>
      </c>
      <c r="Z308" s="240"/>
      <c r="AD308" s="232" t="str">
        <f t="shared" si="85"/>
        <v/>
      </c>
      <c r="AE308" s="204"/>
      <c r="AX308" s="3" t="str">
        <f t="shared" si="75"/>
        <v/>
      </c>
    </row>
    <row r="309" spans="1:50" s="155" customFormat="1" ht="30" hidden="1" customHeight="1">
      <c r="A309" s="141" t="str">
        <f t="shared" si="86"/>
        <v/>
      </c>
      <c r="B309" s="141" t="str">
        <f t="shared" si="87"/>
        <v/>
      </c>
      <c r="C309" s="205" t="str" cm="1">
        <f t="array" ref="C309">IF(D309="","",
    IF(AND(ISNUMBER(D309), D309=INT(D309)),
        $V$6 &amp; " " &amp; (IFERROR(MAX($Y$12:$Y308), 0) + 1),
        IF(ISNUMBER(SEARCH(".", D309)), "", INDEX($C$12:$C309, MATCH(2, 1/($C$12:$C309 &lt;&gt; ""))))
    )
)</f>
        <v/>
      </c>
      <c r="D309" s="206"/>
      <c r="E309" s="206" t="str">
        <f>IF(AA309 = "", "",
    IF(ISNUMBER(SEARCH("Kiện", C309)),
       " GÓI " &amp; COUNTIF($C$13:C309, "*Kiện*") &amp; "/" &amp; COUNTIF($C$13:$C$1000, "*Kiện*") &amp; " " &amp; AA309,
       AA309)
)</f>
        <v/>
      </c>
      <c r="F309" s="206"/>
      <c r="G309" s="206"/>
      <c r="H309" s="206"/>
      <c r="I309" s="206"/>
      <c r="J309" s="206" t="str">
        <f t="shared" si="88"/>
        <v/>
      </c>
      <c r="K309" s="206" t="str">
        <f t="shared" si="76"/>
        <v/>
      </c>
      <c r="L309" s="206" t="str">
        <f t="shared" si="77"/>
        <v/>
      </c>
      <c r="M309" s="206" t="str">
        <f t="shared" si="78"/>
        <v/>
      </c>
      <c r="N309" s="206" t="str">
        <f t="shared" si="89"/>
        <v/>
      </c>
      <c r="O309" s="206" t="str">
        <f t="shared" si="79"/>
        <v/>
      </c>
      <c r="P309" s="165" t="str">
        <f t="shared" si="80"/>
        <v/>
      </c>
      <c r="Q309" s="207"/>
      <c r="R309" s="141" t="str">
        <f>IF(S309="IN",'BOM_Phan II'!$Y$3,"")</f>
        <v/>
      </c>
      <c r="S309" s="153" t="str">
        <f t="shared" si="81"/>
        <v/>
      </c>
      <c r="T309">
        <f t="shared" si="82"/>
        <v>6</v>
      </c>
      <c r="U309" s="208" t="str">
        <f t="shared" si="90"/>
        <v>KIỆN 9</v>
      </c>
      <c r="V309" s="208" t="str">
        <f t="shared" si="83"/>
        <v/>
      </c>
      <c r="W309" s="240"/>
      <c r="X309" s="240"/>
      <c r="Y309" s="240" t="str">
        <f t="shared" si="84"/>
        <v/>
      </c>
      <c r="Z309" s="240"/>
      <c r="AD309" s="232" t="str">
        <f t="shared" si="85"/>
        <v/>
      </c>
      <c r="AE309" s="204"/>
      <c r="AX309" s="3" t="str">
        <f t="shared" si="75"/>
        <v/>
      </c>
    </row>
    <row r="310" spans="1:50" s="155" customFormat="1" ht="30" hidden="1" customHeight="1">
      <c r="A310" s="141" t="str">
        <f t="shared" si="86"/>
        <v/>
      </c>
      <c r="B310" s="141" t="str">
        <f t="shared" si="87"/>
        <v/>
      </c>
      <c r="C310" s="205" t="str" cm="1">
        <f t="array" ref="C310">IF(D310="","",
    IF(AND(ISNUMBER(D310), D310=INT(D310)),
        $V$6 &amp; " " &amp; (IFERROR(MAX($Y$12:$Y309), 0) + 1),
        IF(ISNUMBER(SEARCH(".", D310)), "", INDEX($C$12:$C310, MATCH(2, 1/($C$12:$C310 &lt;&gt; ""))))
    )
)</f>
        <v/>
      </c>
      <c r="D310" s="206"/>
      <c r="E310" s="206" t="str">
        <f>IF(AA310 = "", "",
    IF(ISNUMBER(SEARCH("Kiện", C310)),
       " GÓI " &amp; COUNTIF($C$13:C310, "*Kiện*") &amp; "/" &amp; COUNTIF($C$13:$C$1000, "*Kiện*") &amp; " " &amp; AA310,
       AA310)
)</f>
        <v/>
      </c>
      <c r="F310" s="206"/>
      <c r="G310" s="206"/>
      <c r="H310" s="206"/>
      <c r="I310" s="206"/>
      <c r="J310" s="206" t="str">
        <f t="shared" si="88"/>
        <v/>
      </c>
      <c r="K310" s="206" t="str">
        <f t="shared" si="76"/>
        <v/>
      </c>
      <c r="L310" s="206" t="str">
        <f t="shared" si="77"/>
        <v/>
      </c>
      <c r="M310" s="206" t="str">
        <f t="shared" si="78"/>
        <v/>
      </c>
      <c r="N310" s="206" t="str">
        <f t="shared" si="89"/>
        <v/>
      </c>
      <c r="O310" s="206" t="str">
        <f t="shared" si="79"/>
        <v/>
      </c>
      <c r="P310" s="165" t="str">
        <f t="shared" si="80"/>
        <v/>
      </c>
      <c r="Q310" s="207"/>
      <c r="R310" s="141" t="str">
        <f>IF(S310="IN",'BOM_Phan II'!$Y$3,"")</f>
        <v/>
      </c>
      <c r="S310" s="153" t="str">
        <f t="shared" si="81"/>
        <v/>
      </c>
      <c r="T310">
        <f t="shared" si="82"/>
        <v>6</v>
      </c>
      <c r="U310" s="208" t="str">
        <f t="shared" si="90"/>
        <v>KIỆN 9</v>
      </c>
      <c r="V310" s="208" t="str">
        <f t="shared" si="83"/>
        <v/>
      </c>
      <c r="W310" s="240"/>
      <c r="X310" s="240"/>
      <c r="Y310" s="240" t="str">
        <f t="shared" si="84"/>
        <v/>
      </c>
      <c r="Z310" s="240"/>
      <c r="AD310" s="232" t="str">
        <f t="shared" si="85"/>
        <v/>
      </c>
      <c r="AE310" s="204"/>
      <c r="AX310" s="3" t="str">
        <f t="shared" si="75"/>
        <v/>
      </c>
    </row>
    <row r="311" spans="1:50" s="155" customFormat="1" ht="30" hidden="1" customHeight="1">
      <c r="A311" s="141" t="str">
        <f t="shared" si="86"/>
        <v/>
      </c>
      <c r="B311" s="141" t="str">
        <f t="shared" si="87"/>
        <v/>
      </c>
      <c r="C311" s="205" t="str" cm="1">
        <f t="array" ref="C311">IF(D311="","",
    IF(AND(ISNUMBER(D311), D311=INT(D311)),
        $V$6 &amp; " " &amp; (IFERROR(MAX($Y$12:$Y310), 0) + 1),
        IF(ISNUMBER(SEARCH(".", D311)), "", INDEX($C$12:$C311, MATCH(2, 1/($C$12:$C311 &lt;&gt; ""))))
    )
)</f>
        <v/>
      </c>
      <c r="D311" s="206"/>
      <c r="E311" s="206" t="str">
        <f>IF(AA311 = "", "",
    IF(ISNUMBER(SEARCH("Kiện", C311)),
       " GÓI " &amp; COUNTIF($C$13:C311, "*Kiện*") &amp; "/" &amp; COUNTIF($C$13:$C$1000, "*Kiện*") &amp; " " &amp; AA311,
       AA311)
)</f>
        <v/>
      </c>
      <c r="F311" s="206"/>
      <c r="G311" s="206"/>
      <c r="H311" s="206"/>
      <c r="I311" s="206"/>
      <c r="J311" s="206" t="str">
        <f t="shared" si="88"/>
        <v/>
      </c>
      <c r="K311" s="206" t="str">
        <f t="shared" si="76"/>
        <v/>
      </c>
      <c r="L311" s="206" t="str">
        <f t="shared" si="77"/>
        <v/>
      </c>
      <c r="M311" s="206" t="str">
        <f t="shared" si="78"/>
        <v/>
      </c>
      <c r="N311" s="206" t="str">
        <f t="shared" si="89"/>
        <v/>
      </c>
      <c r="O311" s="206" t="str">
        <f t="shared" si="79"/>
        <v/>
      </c>
      <c r="P311" s="165" t="str">
        <f t="shared" si="80"/>
        <v/>
      </c>
      <c r="Q311" s="207"/>
      <c r="R311" s="141" t="str">
        <f>IF(S311="IN",'BOM_Phan II'!$Y$3,"")</f>
        <v/>
      </c>
      <c r="S311" s="153" t="str">
        <f t="shared" si="81"/>
        <v/>
      </c>
      <c r="T311">
        <f t="shared" si="82"/>
        <v>6</v>
      </c>
      <c r="U311" s="208" t="str">
        <f t="shared" si="90"/>
        <v>KIỆN 9</v>
      </c>
      <c r="V311" s="208" t="str">
        <f t="shared" si="83"/>
        <v/>
      </c>
      <c r="W311" s="240"/>
      <c r="X311" s="240"/>
      <c r="Y311" s="240" t="str">
        <f t="shared" si="84"/>
        <v/>
      </c>
      <c r="Z311" s="240"/>
      <c r="AD311" s="232" t="str">
        <f t="shared" si="85"/>
        <v/>
      </c>
      <c r="AE311" s="204"/>
      <c r="AX311" s="3" t="str">
        <f t="shared" si="75"/>
        <v/>
      </c>
    </row>
    <row r="312" spans="1:50" s="155" customFormat="1" ht="30" hidden="1" customHeight="1">
      <c r="A312" s="141" t="str">
        <f t="shared" si="86"/>
        <v/>
      </c>
      <c r="B312" s="141" t="str">
        <f t="shared" si="87"/>
        <v/>
      </c>
      <c r="C312" s="205" t="str" cm="1">
        <f t="array" ref="C312">IF(D312="","",
    IF(AND(ISNUMBER(D312), D312=INT(D312)),
        $V$6 &amp; " " &amp; (IFERROR(MAX($Y$12:$Y311), 0) + 1),
        IF(ISNUMBER(SEARCH(".", D312)), "", INDEX($C$12:$C312, MATCH(2, 1/($C$12:$C312 &lt;&gt; ""))))
    )
)</f>
        <v/>
      </c>
      <c r="D312" s="206"/>
      <c r="E312" s="206" t="str">
        <f>IF(AA312 = "", "",
    IF(ISNUMBER(SEARCH("Kiện", C312)),
       " GÓI " &amp; COUNTIF($C$13:C312, "*Kiện*") &amp; "/" &amp; COUNTIF($C$13:$C$1000, "*Kiện*") &amp; " " &amp; AA312,
       AA312)
)</f>
        <v/>
      </c>
      <c r="F312" s="206"/>
      <c r="G312" s="206"/>
      <c r="H312" s="206"/>
      <c r="I312" s="206"/>
      <c r="J312" s="206" t="str">
        <f t="shared" si="88"/>
        <v/>
      </c>
      <c r="K312" s="206" t="str">
        <f t="shared" si="76"/>
        <v/>
      </c>
      <c r="L312" s="206" t="str">
        <f t="shared" si="77"/>
        <v/>
      </c>
      <c r="M312" s="206" t="str">
        <f t="shared" si="78"/>
        <v/>
      </c>
      <c r="N312" s="206" t="str">
        <f t="shared" si="89"/>
        <v/>
      </c>
      <c r="O312" s="206" t="str">
        <f t="shared" si="79"/>
        <v/>
      </c>
      <c r="P312" s="165" t="str">
        <f t="shared" si="80"/>
        <v/>
      </c>
      <c r="Q312" s="207"/>
      <c r="R312" s="141" t="str">
        <f>IF(S312="IN",'BOM_Phan II'!$Y$3,"")</f>
        <v/>
      </c>
      <c r="S312" s="153" t="str">
        <f t="shared" si="81"/>
        <v/>
      </c>
      <c r="T312">
        <f t="shared" si="82"/>
        <v>6</v>
      </c>
      <c r="U312" s="208" t="str">
        <f t="shared" si="90"/>
        <v>KIỆN 9</v>
      </c>
      <c r="V312" s="208" t="str">
        <f t="shared" si="83"/>
        <v/>
      </c>
      <c r="W312" s="240"/>
      <c r="X312" s="240"/>
      <c r="Y312" s="240" t="str">
        <f t="shared" si="84"/>
        <v/>
      </c>
      <c r="Z312" s="240"/>
      <c r="AD312" s="232" t="str">
        <f t="shared" si="85"/>
        <v/>
      </c>
      <c r="AE312" s="204"/>
      <c r="AX312" s="3" t="str">
        <f t="shared" si="75"/>
        <v/>
      </c>
    </row>
    <row r="313" spans="1:50" s="155" customFormat="1" ht="30" hidden="1" customHeight="1">
      <c r="A313" s="141" t="str">
        <f t="shared" si="86"/>
        <v/>
      </c>
      <c r="B313" s="141" t="str">
        <f t="shared" si="87"/>
        <v/>
      </c>
      <c r="C313" s="205" t="str" cm="1">
        <f t="array" ref="C313">IF(D313="","",
    IF(AND(ISNUMBER(D313), D313=INT(D313)),
        $V$6 &amp; " " &amp; (IFERROR(MAX($Y$12:$Y312), 0) + 1),
        IF(ISNUMBER(SEARCH(".", D313)), "", INDEX($C$12:$C313, MATCH(2, 1/($C$12:$C313 &lt;&gt; ""))))
    )
)</f>
        <v/>
      </c>
      <c r="D313" s="206"/>
      <c r="E313" s="206" t="str">
        <f>IF(AA313 = "", "",
    IF(ISNUMBER(SEARCH("Kiện", C313)),
       " GÓI " &amp; COUNTIF($C$13:C313, "*Kiện*") &amp; "/" &amp; COUNTIF($C$13:$C$1000, "*Kiện*") &amp; " " &amp; AA313,
       AA313)
)</f>
        <v/>
      </c>
      <c r="F313" s="206"/>
      <c r="G313" s="206"/>
      <c r="H313" s="206"/>
      <c r="I313" s="206"/>
      <c r="J313" s="206" t="str">
        <f t="shared" si="88"/>
        <v/>
      </c>
      <c r="K313" s="206" t="str">
        <f t="shared" si="76"/>
        <v/>
      </c>
      <c r="L313" s="206" t="str">
        <f t="shared" si="77"/>
        <v/>
      </c>
      <c r="M313" s="206" t="str">
        <f t="shared" si="78"/>
        <v/>
      </c>
      <c r="N313" s="206" t="str">
        <f t="shared" si="89"/>
        <v/>
      </c>
      <c r="O313" s="206" t="str">
        <f t="shared" si="79"/>
        <v/>
      </c>
      <c r="P313" s="165" t="str">
        <f t="shared" si="80"/>
        <v/>
      </c>
      <c r="Q313" s="207"/>
      <c r="R313" s="141" t="str">
        <f>IF(S313="IN",'BOM_Phan II'!$Y$3,"")</f>
        <v/>
      </c>
      <c r="S313" s="153" t="str">
        <f t="shared" si="81"/>
        <v/>
      </c>
      <c r="T313">
        <f t="shared" si="82"/>
        <v>6</v>
      </c>
      <c r="U313" s="208" t="str">
        <f t="shared" si="90"/>
        <v>KIỆN 9</v>
      </c>
      <c r="V313" s="208" t="str">
        <f t="shared" si="83"/>
        <v/>
      </c>
      <c r="W313" s="240"/>
      <c r="X313" s="240"/>
      <c r="Y313" s="240" t="str">
        <f t="shared" si="84"/>
        <v/>
      </c>
      <c r="Z313" s="240"/>
      <c r="AD313" s="232" t="str">
        <f t="shared" si="85"/>
        <v/>
      </c>
      <c r="AE313" s="204"/>
      <c r="AX313" s="3" t="str">
        <f t="shared" si="75"/>
        <v/>
      </c>
    </row>
    <row r="314" spans="1:50" s="155" customFormat="1" ht="30" hidden="1" customHeight="1">
      <c r="A314" s="141" t="str">
        <f t="shared" si="86"/>
        <v/>
      </c>
      <c r="B314" s="141" t="str">
        <f t="shared" si="87"/>
        <v/>
      </c>
      <c r="C314" s="205" t="str" cm="1">
        <f t="array" ref="C314">IF(D314="","",
    IF(AND(ISNUMBER(D314), D314=INT(D314)),
        $V$6 &amp; " " &amp; (IFERROR(MAX($Y$12:$Y313), 0) + 1),
        IF(ISNUMBER(SEARCH(".", D314)), "", INDEX($C$12:$C314, MATCH(2, 1/($C$12:$C314 &lt;&gt; ""))))
    )
)</f>
        <v/>
      </c>
      <c r="D314" s="206"/>
      <c r="E314" s="206" t="str">
        <f>IF(AA314 = "", "",
    IF(ISNUMBER(SEARCH("Kiện", C314)),
       " GÓI " &amp; COUNTIF($C$13:C314, "*Kiện*") &amp; "/" &amp; COUNTIF($C$13:$C$1000, "*Kiện*") &amp; " " &amp; AA314,
       AA314)
)</f>
        <v/>
      </c>
      <c r="F314" s="206"/>
      <c r="G314" s="206"/>
      <c r="H314" s="206"/>
      <c r="I314" s="206"/>
      <c r="J314" s="206" t="str">
        <f t="shared" si="88"/>
        <v/>
      </c>
      <c r="K314" s="206" t="str">
        <f t="shared" si="76"/>
        <v/>
      </c>
      <c r="L314" s="206" t="str">
        <f t="shared" si="77"/>
        <v/>
      </c>
      <c r="M314" s="206" t="str">
        <f t="shared" si="78"/>
        <v/>
      </c>
      <c r="N314" s="206" t="str">
        <f t="shared" si="89"/>
        <v/>
      </c>
      <c r="O314" s="206" t="str">
        <f t="shared" si="79"/>
        <v/>
      </c>
      <c r="P314" s="165" t="str">
        <f t="shared" si="80"/>
        <v/>
      </c>
      <c r="Q314" s="207"/>
      <c r="R314" s="141" t="str">
        <f>IF(S314="IN",'BOM_Phan II'!$Y$3,"")</f>
        <v/>
      </c>
      <c r="S314" s="153" t="str">
        <f t="shared" si="81"/>
        <v/>
      </c>
      <c r="T314">
        <f t="shared" si="82"/>
        <v>6</v>
      </c>
      <c r="U314" s="208" t="str">
        <f t="shared" si="90"/>
        <v>KIỆN 9</v>
      </c>
      <c r="V314" s="208" t="str">
        <f t="shared" si="83"/>
        <v/>
      </c>
      <c r="W314" s="240"/>
      <c r="X314" s="240"/>
      <c r="Y314" s="240" t="str">
        <f t="shared" si="84"/>
        <v/>
      </c>
      <c r="Z314" s="240"/>
      <c r="AD314" s="232" t="str">
        <f t="shared" si="85"/>
        <v/>
      </c>
      <c r="AE314" s="204"/>
      <c r="AX314" s="3" t="str">
        <f t="shared" si="75"/>
        <v/>
      </c>
    </row>
    <row r="315" spans="1:50" s="155" customFormat="1" ht="30" hidden="1" customHeight="1">
      <c r="A315" s="141" t="str">
        <f t="shared" si="86"/>
        <v/>
      </c>
      <c r="B315" s="141" t="str">
        <f t="shared" si="87"/>
        <v/>
      </c>
      <c r="C315" s="205" t="str" cm="1">
        <f t="array" ref="C315">IF(D315="","",
    IF(AND(ISNUMBER(D315), D315=INT(D315)),
        $V$6 &amp; " " &amp; (IFERROR(MAX($Y$12:$Y314), 0) + 1),
        IF(ISNUMBER(SEARCH(".", D315)), "", INDEX($C$12:$C315, MATCH(2, 1/($C$12:$C315 &lt;&gt; ""))))
    )
)</f>
        <v/>
      </c>
      <c r="D315" s="206"/>
      <c r="E315" s="206" t="str">
        <f>IF(AA315 = "", "",
    IF(ISNUMBER(SEARCH("Kiện", C315)),
       " GÓI " &amp; COUNTIF($C$13:C315, "*Kiện*") &amp; "/" &amp; COUNTIF($C$13:$C$1000, "*Kiện*") &amp; " " &amp; AA315,
       AA315)
)</f>
        <v/>
      </c>
      <c r="F315" s="206"/>
      <c r="G315" s="206"/>
      <c r="H315" s="206"/>
      <c r="I315" s="206"/>
      <c r="J315" s="206" t="str">
        <f t="shared" si="88"/>
        <v/>
      </c>
      <c r="K315" s="206" t="str">
        <f t="shared" si="76"/>
        <v/>
      </c>
      <c r="L315" s="206" t="str">
        <f t="shared" si="77"/>
        <v/>
      </c>
      <c r="M315" s="206" t="str">
        <f t="shared" si="78"/>
        <v/>
      </c>
      <c r="N315" s="206" t="str">
        <f t="shared" si="89"/>
        <v/>
      </c>
      <c r="O315" s="206" t="str">
        <f t="shared" si="79"/>
        <v/>
      </c>
      <c r="P315" s="165" t="str">
        <f t="shared" si="80"/>
        <v/>
      </c>
      <c r="Q315" s="207"/>
      <c r="R315" s="141" t="str">
        <f>IF(S315="IN",'BOM_Phan II'!$Y$3,"")</f>
        <v/>
      </c>
      <c r="S315" s="153" t="str">
        <f t="shared" si="81"/>
        <v/>
      </c>
      <c r="T315">
        <f t="shared" si="82"/>
        <v>6</v>
      </c>
      <c r="U315" s="208" t="str">
        <f t="shared" si="90"/>
        <v>KIỆN 9</v>
      </c>
      <c r="V315" s="208" t="str">
        <f t="shared" si="83"/>
        <v/>
      </c>
      <c r="W315" s="240"/>
      <c r="X315" s="240"/>
      <c r="Y315" s="240" t="str">
        <f t="shared" si="84"/>
        <v/>
      </c>
      <c r="Z315" s="240"/>
      <c r="AD315" s="232" t="str">
        <f t="shared" si="85"/>
        <v/>
      </c>
      <c r="AE315" s="204"/>
      <c r="AX315" s="3" t="str">
        <f t="shared" si="75"/>
        <v/>
      </c>
    </row>
    <row r="316" spans="1:50" s="155" customFormat="1" ht="30" hidden="1" customHeight="1">
      <c r="A316" s="141" t="str">
        <f t="shared" si="86"/>
        <v/>
      </c>
      <c r="B316" s="141" t="str">
        <f t="shared" si="87"/>
        <v/>
      </c>
      <c r="C316" s="205" t="str" cm="1">
        <f t="array" ref="C316">IF(D316="","",
    IF(AND(ISNUMBER(D316), D316=INT(D316)),
        $V$6 &amp; " " &amp; (IFERROR(MAX($Y$12:$Y315), 0) + 1),
        IF(ISNUMBER(SEARCH(".", D316)), "", INDEX($C$12:$C316, MATCH(2, 1/($C$12:$C316 &lt;&gt; ""))))
    )
)</f>
        <v/>
      </c>
      <c r="D316" s="206"/>
      <c r="E316" s="206" t="str">
        <f>IF(AA316 = "", "",
    IF(ISNUMBER(SEARCH("Kiện", C316)),
       " GÓI " &amp; COUNTIF($C$13:C316, "*Kiện*") &amp; "/" &amp; COUNTIF($C$13:$C$1000, "*Kiện*") &amp; " " &amp; AA316,
       AA316)
)</f>
        <v/>
      </c>
      <c r="F316" s="206"/>
      <c r="G316" s="206"/>
      <c r="H316" s="206"/>
      <c r="I316" s="206"/>
      <c r="J316" s="206" t="str">
        <f t="shared" si="88"/>
        <v/>
      </c>
      <c r="K316" s="206" t="str">
        <f t="shared" si="76"/>
        <v/>
      </c>
      <c r="L316" s="206" t="str">
        <f t="shared" si="77"/>
        <v/>
      </c>
      <c r="M316" s="206" t="str">
        <f t="shared" si="78"/>
        <v/>
      </c>
      <c r="N316" s="206" t="str">
        <f t="shared" si="89"/>
        <v/>
      </c>
      <c r="O316" s="206" t="str">
        <f t="shared" si="79"/>
        <v/>
      </c>
      <c r="P316" s="165" t="str">
        <f t="shared" si="80"/>
        <v/>
      </c>
      <c r="Q316" s="207"/>
      <c r="R316" s="141" t="str">
        <f>IF(S316="IN",'BOM_Phan II'!$Y$3,"")</f>
        <v/>
      </c>
      <c r="S316" s="153" t="str">
        <f t="shared" si="81"/>
        <v/>
      </c>
      <c r="T316">
        <f t="shared" si="82"/>
        <v>6</v>
      </c>
      <c r="U316" s="208" t="str">
        <f t="shared" si="90"/>
        <v>KIỆN 9</v>
      </c>
      <c r="V316" s="208" t="str">
        <f t="shared" si="83"/>
        <v/>
      </c>
      <c r="W316" s="240"/>
      <c r="X316" s="240"/>
      <c r="Y316" s="240" t="str">
        <f t="shared" si="84"/>
        <v/>
      </c>
      <c r="Z316" s="240"/>
      <c r="AD316" s="232" t="str">
        <f t="shared" si="85"/>
        <v/>
      </c>
      <c r="AE316" s="204"/>
      <c r="AX316" s="3" t="str">
        <f t="shared" si="75"/>
        <v/>
      </c>
    </row>
    <row r="317" spans="1:50" s="155" customFormat="1" ht="30" hidden="1" customHeight="1">
      <c r="A317" s="141" t="str">
        <f t="shared" si="86"/>
        <v/>
      </c>
      <c r="B317" s="141" t="str">
        <f t="shared" si="87"/>
        <v/>
      </c>
      <c r="C317" s="205" t="str" cm="1">
        <f t="array" ref="C317">IF(D317="","",
    IF(AND(ISNUMBER(D317), D317=INT(D317)),
        $V$6 &amp; " " &amp; (IFERROR(MAX($Y$12:$Y316), 0) + 1),
        IF(ISNUMBER(SEARCH(".", D317)), "", INDEX($C$12:$C317, MATCH(2, 1/($C$12:$C317 &lt;&gt; ""))))
    )
)</f>
        <v/>
      </c>
      <c r="D317" s="206"/>
      <c r="E317" s="206" t="str">
        <f>IF(AA317 = "", "",
    IF(ISNUMBER(SEARCH("Kiện", C317)),
       " GÓI " &amp; COUNTIF($C$13:C317, "*Kiện*") &amp; "/" &amp; COUNTIF($C$13:$C$1000, "*Kiện*") &amp; " " &amp; AA317,
       AA317)
)</f>
        <v/>
      </c>
      <c r="F317" s="206"/>
      <c r="G317" s="206"/>
      <c r="H317" s="206"/>
      <c r="I317" s="206"/>
      <c r="J317" s="206" t="str">
        <f t="shared" si="88"/>
        <v/>
      </c>
      <c r="K317" s="206" t="str">
        <f t="shared" si="76"/>
        <v/>
      </c>
      <c r="L317" s="206" t="str">
        <f t="shared" si="77"/>
        <v/>
      </c>
      <c r="M317" s="206" t="str">
        <f t="shared" si="78"/>
        <v/>
      </c>
      <c r="N317" s="206" t="str">
        <f t="shared" si="89"/>
        <v/>
      </c>
      <c r="O317" s="206" t="str">
        <f t="shared" si="79"/>
        <v/>
      </c>
      <c r="P317" s="165" t="str">
        <f t="shared" si="80"/>
        <v/>
      </c>
      <c r="Q317" s="207"/>
      <c r="R317" s="141" t="str">
        <f>IF(S317="IN",'BOM_Phan II'!$Y$3,"")</f>
        <v/>
      </c>
      <c r="S317" s="153" t="str">
        <f t="shared" si="81"/>
        <v/>
      </c>
      <c r="T317">
        <f t="shared" si="82"/>
        <v>6</v>
      </c>
      <c r="U317" s="208" t="str">
        <f t="shared" si="90"/>
        <v>KIỆN 9</v>
      </c>
      <c r="V317" s="208" t="str">
        <f t="shared" si="83"/>
        <v/>
      </c>
      <c r="W317" s="240"/>
      <c r="X317" s="240"/>
      <c r="Y317" s="240" t="str">
        <f t="shared" si="84"/>
        <v/>
      </c>
      <c r="Z317" s="240"/>
      <c r="AD317" s="232" t="str">
        <f t="shared" si="85"/>
        <v/>
      </c>
      <c r="AE317" s="204"/>
      <c r="AX317" s="3" t="str">
        <f t="shared" si="75"/>
        <v/>
      </c>
    </row>
    <row r="318" spans="1:50" s="155" customFormat="1" ht="30" hidden="1" customHeight="1">
      <c r="A318" s="141" t="str">
        <f t="shared" si="86"/>
        <v/>
      </c>
      <c r="B318" s="141" t="str">
        <f t="shared" si="87"/>
        <v/>
      </c>
      <c r="C318" s="205" t="str" cm="1">
        <f t="array" ref="C318">IF(D318="","",
    IF(AND(ISNUMBER(D318), D318=INT(D318)),
        $V$6 &amp; " " &amp; (IFERROR(MAX($Y$12:$Y317), 0) + 1),
        IF(ISNUMBER(SEARCH(".", D318)), "", INDEX($C$12:$C318, MATCH(2, 1/($C$12:$C318 &lt;&gt; ""))))
    )
)</f>
        <v/>
      </c>
      <c r="D318" s="206"/>
      <c r="E318" s="206" t="str">
        <f>IF(AA318 = "", "",
    IF(ISNUMBER(SEARCH("Kiện", C318)),
       " GÓI " &amp; COUNTIF($C$13:C318, "*Kiện*") &amp; "/" &amp; COUNTIF($C$13:$C$1000, "*Kiện*") &amp; " " &amp; AA318,
       AA318)
)</f>
        <v/>
      </c>
      <c r="F318" s="206"/>
      <c r="G318" s="206"/>
      <c r="H318" s="206"/>
      <c r="I318" s="206"/>
      <c r="J318" s="206" t="str">
        <f t="shared" si="88"/>
        <v/>
      </c>
      <c r="K318" s="206" t="str">
        <f t="shared" si="76"/>
        <v/>
      </c>
      <c r="L318" s="206" t="str">
        <f t="shared" si="77"/>
        <v/>
      </c>
      <c r="M318" s="206" t="str">
        <f t="shared" si="78"/>
        <v/>
      </c>
      <c r="N318" s="206" t="str">
        <f t="shared" si="89"/>
        <v/>
      </c>
      <c r="O318" s="206" t="str">
        <f t="shared" si="79"/>
        <v/>
      </c>
      <c r="P318" s="165" t="str">
        <f t="shared" si="80"/>
        <v/>
      </c>
      <c r="Q318" s="207"/>
      <c r="R318" s="141" t="str">
        <f>IF(S318="IN",'BOM_Phan II'!$Y$3,"")</f>
        <v/>
      </c>
      <c r="S318" s="153" t="str">
        <f t="shared" si="81"/>
        <v/>
      </c>
      <c r="T318">
        <f t="shared" si="82"/>
        <v>6</v>
      </c>
      <c r="U318" s="208" t="str">
        <f t="shared" si="90"/>
        <v>KIỆN 9</v>
      </c>
      <c r="V318" s="208" t="str">
        <f t="shared" si="83"/>
        <v/>
      </c>
      <c r="W318" s="240"/>
      <c r="X318" s="240"/>
      <c r="Y318" s="240" t="str">
        <f t="shared" si="84"/>
        <v/>
      </c>
      <c r="Z318" s="240"/>
      <c r="AD318" s="232" t="str">
        <f t="shared" si="85"/>
        <v/>
      </c>
      <c r="AE318" s="204"/>
      <c r="AX318" s="3" t="str">
        <f t="shared" si="75"/>
        <v/>
      </c>
    </row>
    <row r="319" spans="1:50" s="155" customFormat="1" ht="30" hidden="1" customHeight="1">
      <c r="A319" s="141" t="str">
        <f t="shared" si="86"/>
        <v/>
      </c>
      <c r="B319" s="141" t="str">
        <f t="shared" si="87"/>
        <v/>
      </c>
      <c r="C319" s="205" t="str" cm="1">
        <f t="array" ref="C319">IF(D319="","",
    IF(AND(ISNUMBER(D319), D319=INT(D319)),
        $V$6 &amp; " " &amp; (IFERROR(MAX($Y$12:$Y318), 0) + 1),
        IF(ISNUMBER(SEARCH(".", D319)), "", INDEX($C$12:$C319, MATCH(2, 1/($C$12:$C319 &lt;&gt; ""))))
    )
)</f>
        <v/>
      </c>
      <c r="D319" s="206"/>
      <c r="E319" s="206" t="str">
        <f>IF(AA319 = "", "",
    IF(ISNUMBER(SEARCH("Kiện", C319)),
       " GÓI " &amp; COUNTIF($C$13:C319, "*Kiện*") &amp; "/" &amp; COUNTIF($C$13:$C$1000, "*Kiện*") &amp; " " &amp; AA319,
       AA319)
)</f>
        <v/>
      </c>
      <c r="F319" s="206"/>
      <c r="G319" s="206"/>
      <c r="H319" s="206"/>
      <c r="I319" s="206"/>
      <c r="J319" s="206" t="str">
        <f t="shared" si="88"/>
        <v/>
      </c>
      <c r="K319" s="206" t="str">
        <f t="shared" si="76"/>
        <v/>
      </c>
      <c r="L319" s="206" t="str">
        <f t="shared" si="77"/>
        <v/>
      </c>
      <c r="M319" s="206" t="str">
        <f t="shared" si="78"/>
        <v/>
      </c>
      <c r="N319" s="206" t="str">
        <f t="shared" si="89"/>
        <v/>
      </c>
      <c r="O319" s="206" t="str">
        <f t="shared" si="79"/>
        <v/>
      </c>
      <c r="P319" s="165" t="str">
        <f t="shared" si="80"/>
        <v/>
      </c>
      <c r="Q319" s="207"/>
      <c r="R319" s="141" t="str">
        <f>IF(S319="IN",'BOM_Phan II'!$Y$3,"")</f>
        <v/>
      </c>
      <c r="S319" s="153" t="str">
        <f t="shared" si="81"/>
        <v/>
      </c>
      <c r="T319">
        <f t="shared" si="82"/>
        <v>6</v>
      </c>
      <c r="U319" s="208" t="str">
        <f t="shared" si="90"/>
        <v>KIỆN 9</v>
      </c>
      <c r="V319" s="208" t="str">
        <f t="shared" si="83"/>
        <v/>
      </c>
      <c r="W319" s="240"/>
      <c r="X319" s="240"/>
      <c r="Y319" s="240" t="str">
        <f t="shared" si="84"/>
        <v/>
      </c>
      <c r="Z319" s="240"/>
      <c r="AD319" s="232" t="str">
        <f t="shared" si="85"/>
        <v/>
      </c>
      <c r="AE319" s="204"/>
      <c r="AX319" s="3" t="str">
        <f t="shared" si="75"/>
        <v/>
      </c>
    </row>
    <row r="320" spans="1:50" s="155" customFormat="1" ht="30" hidden="1" customHeight="1">
      <c r="A320" s="141" t="str">
        <f t="shared" si="86"/>
        <v/>
      </c>
      <c r="B320" s="141" t="str">
        <f t="shared" si="87"/>
        <v/>
      </c>
      <c r="C320" s="205" t="str" cm="1">
        <f t="array" ref="C320">IF(D320="","",
    IF(AND(ISNUMBER(D320), D320=INT(D320)),
        $V$6 &amp; " " &amp; (IFERROR(MAX($Y$12:$Y319), 0) + 1),
        IF(ISNUMBER(SEARCH(".", D320)), "", INDEX($C$12:$C320, MATCH(2, 1/($C$12:$C320 &lt;&gt; ""))))
    )
)</f>
        <v/>
      </c>
      <c r="D320" s="206"/>
      <c r="E320" s="206" t="str">
        <f>IF(AA320 = "", "",
    IF(ISNUMBER(SEARCH("Kiện", C320)),
       " GÓI " &amp; COUNTIF($C$13:C320, "*Kiện*") &amp; "/" &amp; COUNTIF($C$13:$C$1000, "*Kiện*") &amp; " " &amp; AA320,
       AA320)
)</f>
        <v/>
      </c>
      <c r="F320" s="206"/>
      <c r="G320" s="206"/>
      <c r="H320" s="206"/>
      <c r="I320" s="206"/>
      <c r="J320" s="206" t="str">
        <f t="shared" si="88"/>
        <v/>
      </c>
      <c r="K320" s="206" t="str">
        <f t="shared" si="76"/>
        <v/>
      </c>
      <c r="L320" s="206" t="str">
        <f t="shared" si="77"/>
        <v/>
      </c>
      <c r="M320" s="206" t="str">
        <f t="shared" si="78"/>
        <v/>
      </c>
      <c r="N320" s="206" t="str">
        <f t="shared" si="89"/>
        <v/>
      </c>
      <c r="O320" s="206" t="str">
        <f t="shared" si="79"/>
        <v/>
      </c>
      <c r="P320" s="165" t="str">
        <f t="shared" si="80"/>
        <v/>
      </c>
      <c r="Q320" s="207"/>
      <c r="R320" s="141" t="str">
        <f>IF(S320="IN",'BOM_Phan II'!$Y$3,"")</f>
        <v/>
      </c>
      <c r="S320" s="153" t="str">
        <f t="shared" si="81"/>
        <v/>
      </c>
      <c r="T320">
        <f t="shared" si="82"/>
        <v>6</v>
      </c>
      <c r="U320" s="208" t="str">
        <f t="shared" si="90"/>
        <v>KIỆN 9</v>
      </c>
      <c r="V320" s="208" t="str">
        <f t="shared" si="83"/>
        <v/>
      </c>
      <c r="W320" s="240"/>
      <c r="X320" s="240"/>
      <c r="Y320" s="240" t="str">
        <f t="shared" si="84"/>
        <v/>
      </c>
      <c r="Z320" s="240"/>
      <c r="AD320" s="232" t="str">
        <f t="shared" si="85"/>
        <v/>
      </c>
      <c r="AE320" s="204"/>
      <c r="AX320" s="3" t="str">
        <f t="shared" si="75"/>
        <v/>
      </c>
    </row>
    <row r="321" spans="1:50" s="155" customFormat="1" ht="30" hidden="1" customHeight="1">
      <c r="A321" s="141" t="str">
        <f t="shared" si="86"/>
        <v/>
      </c>
      <c r="B321" s="141" t="str">
        <f t="shared" si="87"/>
        <v/>
      </c>
      <c r="C321" s="205" t="str" cm="1">
        <f t="array" ref="C321">IF(D321="","",
    IF(AND(ISNUMBER(D321), D321=INT(D321)),
        $V$6 &amp; " " &amp; (IFERROR(MAX($Y$12:$Y320), 0) + 1),
        IF(ISNUMBER(SEARCH(".", D321)), "", INDEX($C$12:$C321, MATCH(2, 1/($C$12:$C321 &lt;&gt; ""))))
    )
)</f>
        <v/>
      </c>
      <c r="D321" s="206"/>
      <c r="E321" s="206" t="str">
        <f>IF(AA321 = "", "",
    IF(ISNUMBER(SEARCH("Kiện", C321)),
       " GÓI " &amp; COUNTIF($C$13:C321, "*Kiện*") &amp; "/" &amp; COUNTIF($C$13:$C$1000, "*Kiện*") &amp; " " &amp; AA321,
       AA321)
)</f>
        <v/>
      </c>
      <c r="F321" s="206"/>
      <c r="G321" s="206"/>
      <c r="H321" s="206"/>
      <c r="I321" s="206"/>
      <c r="J321" s="206" t="str">
        <f t="shared" si="88"/>
        <v/>
      </c>
      <c r="K321" s="206" t="str">
        <f t="shared" si="76"/>
        <v/>
      </c>
      <c r="L321" s="206" t="str">
        <f t="shared" si="77"/>
        <v/>
      </c>
      <c r="M321" s="206" t="str">
        <f t="shared" si="78"/>
        <v/>
      </c>
      <c r="N321" s="206" t="str">
        <f t="shared" si="89"/>
        <v/>
      </c>
      <c r="O321" s="206" t="str">
        <f t="shared" si="79"/>
        <v/>
      </c>
      <c r="P321" s="165" t="str">
        <f t="shared" si="80"/>
        <v/>
      </c>
      <c r="Q321" s="207"/>
      <c r="R321" s="141" t="str">
        <f>IF(S321="IN",'BOM_Phan II'!$Y$3,"")</f>
        <v/>
      </c>
      <c r="S321" s="153" t="str">
        <f t="shared" si="81"/>
        <v/>
      </c>
      <c r="T321">
        <f t="shared" si="82"/>
        <v>6</v>
      </c>
      <c r="U321" s="208" t="str">
        <f t="shared" si="90"/>
        <v>KIỆN 9</v>
      </c>
      <c r="V321" s="208" t="str">
        <f t="shared" si="83"/>
        <v/>
      </c>
      <c r="W321" s="240"/>
      <c r="X321" s="240"/>
      <c r="Y321" s="240" t="str">
        <f t="shared" si="84"/>
        <v/>
      </c>
      <c r="Z321" s="240"/>
      <c r="AD321" s="232" t="str">
        <f t="shared" si="85"/>
        <v/>
      </c>
      <c r="AE321" s="204"/>
      <c r="AX321" s="3" t="str">
        <f t="shared" si="75"/>
        <v/>
      </c>
    </row>
    <row r="322" spans="1:50" s="155" customFormat="1" ht="30" hidden="1" customHeight="1">
      <c r="A322" s="141" t="str">
        <f t="shared" si="86"/>
        <v/>
      </c>
      <c r="B322" s="141" t="str">
        <f t="shared" si="87"/>
        <v/>
      </c>
      <c r="C322" s="205" t="str" cm="1">
        <f t="array" ref="C322">IF(D322="","",
    IF(AND(ISNUMBER(D322), D322=INT(D322)),
        $V$6 &amp; " " &amp; (IFERROR(MAX($Y$12:$Y321), 0) + 1),
        IF(ISNUMBER(SEARCH(".", D322)), "", INDEX($C$12:$C322, MATCH(2, 1/($C$12:$C322 &lt;&gt; ""))))
    )
)</f>
        <v/>
      </c>
      <c r="D322" s="206"/>
      <c r="E322" s="206" t="str">
        <f>IF(AA322 = "", "",
    IF(ISNUMBER(SEARCH("Kiện", C322)),
       " GÓI " &amp; COUNTIF($C$13:C322, "*Kiện*") &amp; "/" &amp; COUNTIF($C$13:$C$1000, "*Kiện*") &amp; " " &amp; AA322,
       AA322)
)</f>
        <v/>
      </c>
      <c r="F322" s="206"/>
      <c r="G322" s="206"/>
      <c r="H322" s="206"/>
      <c r="I322" s="206"/>
      <c r="J322" s="206" t="str">
        <f t="shared" si="88"/>
        <v/>
      </c>
      <c r="K322" s="206" t="str">
        <f t="shared" si="76"/>
        <v/>
      </c>
      <c r="L322" s="206" t="str">
        <f t="shared" si="77"/>
        <v/>
      </c>
      <c r="M322" s="206" t="str">
        <f t="shared" si="78"/>
        <v/>
      </c>
      <c r="N322" s="206" t="str">
        <f t="shared" si="89"/>
        <v/>
      </c>
      <c r="O322" s="206" t="str">
        <f t="shared" si="79"/>
        <v/>
      </c>
      <c r="P322" s="165" t="str">
        <f t="shared" si="80"/>
        <v/>
      </c>
      <c r="Q322" s="207"/>
      <c r="R322" s="141" t="str">
        <f>IF(S322="IN",'BOM_Phan II'!$Y$3,"")</f>
        <v/>
      </c>
      <c r="S322" s="153" t="str">
        <f t="shared" si="81"/>
        <v/>
      </c>
      <c r="T322">
        <f t="shared" si="82"/>
        <v>6</v>
      </c>
      <c r="U322" s="208" t="str">
        <f t="shared" si="90"/>
        <v>KIỆN 9</v>
      </c>
      <c r="V322" s="208" t="str">
        <f t="shared" si="83"/>
        <v/>
      </c>
      <c r="W322" s="240"/>
      <c r="X322" s="240"/>
      <c r="Y322" s="240" t="str">
        <f t="shared" si="84"/>
        <v/>
      </c>
      <c r="Z322" s="240"/>
      <c r="AD322" s="232" t="str">
        <f t="shared" si="85"/>
        <v/>
      </c>
      <c r="AE322" s="204"/>
      <c r="AX322" s="3" t="str">
        <f t="shared" si="75"/>
        <v/>
      </c>
    </row>
    <row r="323" spans="1:50" s="155" customFormat="1" ht="30" hidden="1" customHeight="1">
      <c r="A323" s="141" t="str">
        <f t="shared" si="86"/>
        <v/>
      </c>
      <c r="B323" s="141" t="str">
        <f t="shared" si="87"/>
        <v/>
      </c>
      <c r="C323" s="205" t="str" cm="1">
        <f t="array" ref="C323">IF(D323="","",
    IF(AND(ISNUMBER(D323), D323=INT(D323)),
        $V$6 &amp; " " &amp; (IFERROR(MAX($Y$12:$Y322), 0) + 1),
        IF(ISNUMBER(SEARCH(".", D323)), "", INDEX($C$12:$C323, MATCH(2, 1/($C$12:$C323 &lt;&gt; ""))))
    )
)</f>
        <v/>
      </c>
      <c r="D323" s="206"/>
      <c r="E323" s="206" t="str">
        <f>IF(AA323 = "", "",
    IF(ISNUMBER(SEARCH("Kiện", C323)),
       " GÓI " &amp; COUNTIF($C$13:C323, "*Kiện*") &amp; "/" &amp; COUNTIF($C$13:$C$1000, "*Kiện*") &amp; " " &amp; AA323,
       AA323)
)</f>
        <v/>
      </c>
      <c r="F323" s="206"/>
      <c r="G323" s="206"/>
      <c r="H323" s="206"/>
      <c r="I323" s="206"/>
      <c r="J323" s="206" t="str">
        <f t="shared" si="88"/>
        <v/>
      </c>
      <c r="K323" s="206" t="str">
        <f t="shared" si="76"/>
        <v/>
      </c>
      <c r="L323" s="206" t="str">
        <f t="shared" si="77"/>
        <v/>
      </c>
      <c r="M323" s="206" t="str">
        <f t="shared" si="78"/>
        <v/>
      </c>
      <c r="N323" s="206" t="str">
        <f t="shared" si="89"/>
        <v/>
      </c>
      <c r="O323" s="206" t="str">
        <f t="shared" si="79"/>
        <v/>
      </c>
      <c r="P323" s="165" t="str">
        <f t="shared" si="80"/>
        <v/>
      </c>
      <c r="Q323" s="207"/>
      <c r="R323" s="141" t="str">
        <f>IF(S323="IN",'BOM_Phan II'!$Y$3,"")</f>
        <v/>
      </c>
      <c r="S323" s="153" t="str">
        <f t="shared" si="81"/>
        <v/>
      </c>
      <c r="T323">
        <f t="shared" si="82"/>
        <v>6</v>
      </c>
      <c r="U323" s="208" t="str">
        <f t="shared" si="90"/>
        <v>KIỆN 9</v>
      </c>
      <c r="V323" s="208" t="str">
        <f t="shared" si="83"/>
        <v/>
      </c>
      <c r="W323" s="240"/>
      <c r="X323" s="240"/>
      <c r="Y323" s="240" t="str">
        <f t="shared" si="84"/>
        <v/>
      </c>
      <c r="Z323" s="240"/>
      <c r="AD323" s="232" t="str">
        <f t="shared" si="85"/>
        <v/>
      </c>
      <c r="AE323" s="204"/>
      <c r="AX323" s="3" t="str">
        <f t="shared" si="75"/>
        <v/>
      </c>
    </row>
    <row r="324" spans="1:50" s="155" customFormat="1" ht="30" hidden="1" customHeight="1">
      <c r="A324" s="141" t="str">
        <f t="shared" si="86"/>
        <v/>
      </c>
      <c r="B324" s="141" t="str">
        <f t="shared" si="87"/>
        <v/>
      </c>
      <c r="C324" s="205" t="str" cm="1">
        <f t="array" ref="C324">IF(D324="","",
    IF(AND(ISNUMBER(D324), D324=INT(D324)),
        $V$6 &amp; " " &amp; (IFERROR(MAX($Y$12:$Y323), 0) + 1),
        IF(ISNUMBER(SEARCH(".", D324)), "", INDEX($C$12:$C324, MATCH(2, 1/($C$12:$C324 &lt;&gt; ""))))
    )
)</f>
        <v/>
      </c>
      <c r="D324" s="206"/>
      <c r="E324" s="206" t="str">
        <f>IF(AA324 = "", "",
    IF(ISNUMBER(SEARCH("Kiện", C324)),
       " GÓI " &amp; COUNTIF($C$13:C324, "*Kiện*") &amp; "/" &amp; COUNTIF($C$13:$C$1000, "*Kiện*") &amp; " " &amp; AA324,
       AA324)
)</f>
        <v/>
      </c>
      <c r="F324" s="206"/>
      <c r="G324" s="206"/>
      <c r="H324" s="206"/>
      <c r="I324" s="206"/>
      <c r="J324" s="206" t="str">
        <f t="shared" si="88"/>
        <v/>
      </c>
      <c r="K324" s="206" t="str">
        <f t="shared" si="76"/>
        <v/>
      </c>
      <c r="L324" s="206" t="str">
        <f t="shared" si="77"/>
        <v/>
      </c>
      <c r="M324" s="206" t="str">
        <f t="shared" si="78"/>
        <v/>
      </c>
      <c r="N324" s="206" t="str">
        <f t="shared" si="89"/>
        <v/>
      </c>
      <c r="O324" s="206" t="str">
        <f t="shared" si="79"/>
        <v/>
      </c>
      <c r="P324" s="165" t="str">
        <f t="shared" si="80"/>
        <v/>
      </c>
      <c r="Q324" s="207"/>
      <c r="R324" s="141" t="str">
        <f>IF(S324="IN",'BOM_Phan II'!$Y$3,"")</f>
        <v/>
      </c>
      <c r="S324" s="153" t="str">
        <f t="shared" si="81"/>
        <v/>
      </c>
      <c r="T324">
        <f t="shared" si="82"/>
        <v>6</v>
      </c>
      <c r="U324" s="208" t="str">
        <f t="shared" si="90"/>
        <v>KIỆN 9</v>
      </c>
      <c r="V324" s="208" t="str">
        <f t="shared" si="83"/>
        <v/>
      </c>
      <c r="W324" s="240"/>
      <c r="X324" s="240"/>
      <c r="Y324" s="240" t="str">
        <f t="shared" si="84"/>
        <v/>
      </c>
      <c r="Z324" s="240"/>
      <c r="AD324" s="232" t="str">
        <f t="shared" si="85"/>
        <v/>
      </c>
      <c r="AE324" s="204"/>
      <c r="AX324" s="3" t="str">
        <f t="shared" si="75"/>
        <v/>
      </c>
    </row>
    <row r="325" spans="1:50" s="155" customFormat="1" ht="30" hidden="1" customHeight="1">
      <c r="A325" s="141" t="str">
        <f t="shared" si="86"/>
        <v/>
      </c>
      <c r="B325" s="141" t="str">
        <f t="shared" si="87"/>
        <v/>
      </c>
      <c r="C325" s="205" t="str" cm="1">
        <f t="array" ref="C325">IF(D325="","",
    IF(AND(ISNUMBER(D325), D325=INT(D325)),
        $V$6 &amp; " " &amp; (IFERROR(MAX($Y$12:$Y324), 0) + 1),
        IF(ISNUMBER(SEARCH(".", D325)), "", INDEX($C$12:$C325, MATCH(2, 1/($C$12:$C325 &lt;&gt; ""))))
    )
)</f>
        <v/>
      </c>
      <c r="D325" s="206"/>
      <c r="E325" s="206" t="str">
        <f>IF(AA325 = "", "",
    IF(ISNUMBER(SEARCH("Kiện", C325)),
       " GÓI " &amp; COUNTIF($C$13:C325, "*Kiện*") &amp; "/" &amp; COUNTIF($C$13:$C$1000, "*Kiện*") &amp; " " &amp; AA325,
       AA325)
)</f>
        <v/>
      </c>
      <c r="F325" s="206"/>
      <c r="G325" s="206"/>
      <c r="H325" s="206"/>
      <c r="I325" s="206"/>
      <c r="J325" s="206" t="str">
        <f t="shared" si="88"/>
        <v/>
      </c>
      <c r="K325" s="206" t="str">
        <f t="shared" si="76"/>
        <v/>
      </c>
      <c r="L325" s="206" t="str">
        <f t="shared" si="77"/>
        <v/>
      </c>
      <c r="M325" s="206" t="str">
        <f t="shared" si="78"/>
        <v/>
      </c>
      <c r="N325" s="206" t="str">
        <f t="shared" si="89"/>
        <v/>
      </c>
      <c r="O325" s="206" t="str">
        <f t="shared" si="79"/>
        <v/>
      </c>
      <c r="P325" s="165" t="str">
        <f t="shared" si="80"/>
        <v/>
      </c>
      <c r="Q325" s="207"/>
      <c r="R325" s="141" t="str">
        <f>IF(S325="IN",'BOM_Phan II'!$Y$3,"")</f>
        <v/>
      </c>
      <c r="S325" s="153" t="str">
        <f t="shared" si="81"/>
        <v/>
      </c>
      <c r="T325">
        <f t="shared" si="82"/>
        <v>6</v>
      </c>
      <c r="U325" s="208" t="str">
        <f t="shared" si="90"/>
        <v>KIỆN 9</v>
      </c>
      <c r="V325" s="208" t="str">
        <f t="shared" si="83"/>
        <v/>
      </c>
      <c r="W325" s="240"/>
      <c r="X325" s="240"/>
      <c r="Y325" s="240" t="str">
        <f t="shared" si="84"/>
        <v/>
      </c>
      <c r="Z325" s="240"/>
      <c r="AD325" s="232" t="str">
        <f t="shared" si="85"/>
        <v/>
      </c>
      <c r="AE325" s="204"/>
      <c r="AX325" s="3" t="str">
        <f t="shared" si="75"/>
        <v/>
      </c>
    </row>
    <row r="326" spans="1:50" s="155" customFormat="1" ht="30" hidden="1" customHeight="1">
      <c r="A326" s="141" t="str">
        <f t="shared" si="86"/>
        <v/>
      </c>
      <c r="B326" s="141" t="str">
        <f t="shared" si="87"/>
        <v/>
      </c>
      <c r="C326" s="205" t="str" cm="1">
        <f t="array" ref="C326">IF(D326="","",
    IF(AND(ISNUMBER(D326), D326=INT(D326)),
        $V$6 &amp; " " &amp; (IFERROR(MAX($Y$12:$Y325), 0) + 1),
        IF(ISNUMBER(SEARCH(".", D326)), "", INDEX($C$12:$C326, MATCH(2, 1/($C$12:$C326 &lt;&gt; ""))))
    )
)</f>
        <v/>
      </c>
      <c r="D326" s="206"/>
      <c r="E326" s="206" t="str">
        <f>IF(AA326 = "", "",
    IF(ISNUMBER(SEARCH("Kiện", C326)),
       " GÓI " &amp; COUNTIF($C$13:C326, "*Kiện*") &amp; "/" &amp; COUNTIF($C$13:$C$1000, "*Kiện*") &amp; " " &amp; AA326,
       AA326)
)</f>
        <v/>
      </c>
      <c r="F326" s="206"/>
      <c r="G326" s="206"/>
      <c r="H326" s="206"/>
      <c r="I326" s="206"/>
      <c r="J326" s="206" t="str">
        <f t="shared" si="88"/>
        <v/>
      </c>
      <c r="K326" s="206" t="str">
        <f t="shared" si="76"/>
        <v/>
      </c>
      <c r="L326" s="206" t="str">
        <f t="shared" si="77"/>
        <v/>
      </c>
      <c r="M326" s="206" t="str">
        <f t="shared" si="78"/>
        <v/>
      </c>
      <c r="N326" s="206" t="str">
        <f t="shared" si="89"/>
        <v/>
      </c>
      <c r="O326" s="206" t="str">
        <f t="shared" si="79"/>
        <v/>
      </c>
      <c r="P326" s="165" t="str">
        <f t="shared" si="80"/>
        <v/>
      </c>
      <c r="Q326" s="207"/>
      <c r="R326" s="141" t="str">
        <f>IF(S326="IN",'BOM_Phan II'!$Y$3,"")</f>
        <v/>
      </c>
      <c r="S326" s="153" t="str">
        <f t="shared" si="81"/>
        <v/>
      </c>
      <c r="T326">
        <f t="shared" si="82"/>
        <v>6</v>
      </c>
      <c r="U326" s="208" t="str">
        <f t="shared" si="90"/>
        <v>KIỆN 9</v>
      </c>
      <c r="V326" s="208" t="str">
        <f t="shared" si="83"/>
        <v/>
      </c>
      <c r="W326" s="240"/>
      <c r="X326" s="240"/>
      <c r="Y326" s="240" t="str">
        <f t="shared" si="84"/>
        <v/>
      </c>
      <c r="Z326" s="240"/>
      <c r="AD326" s="232" t="str">
        <f t="shared" si="85"/>
        <v/>
      </c>
      <c r="AE326" s="204"/>
      <c r="AX326" s="3" t="str">
        <f t="shared" si="75"/>
        <v/>
      </c>
    </row>
    <row r="327" spans="1:50" s="155" customFormat="1" ht="30" hidden="1" customHeight="1">
      <c r="A327" s="141" t="str">
        <f t="shared" si="86"/>
        <v/>
      </c>
      <c r="B327" s="141" t="str">
        <f t="shared" si="87"/>
        <v/>
      </c>
      <c r="C327" s="205" t="str" cm="1">
        <f t="array" ref="C327">IF(D327="","",
    IF(AND(ISNUMBER(D327), D327=INT(D327)),
        $V$6 &amp; " " &amp; (IFERROR(MAX($Y$12:$Y326), 0) + 1),
        IF(ISNUMBER(SEARCH(".", D327)), "", INDEX($C$12:$C327, MATCH(2, 1/($C$12:$C327 &lt;&gt; ""))))
    )
)</f>
        <v/>
      </c>
      <c r="D327" s="206"/>
      <c r="E327" s="206" t="str">
        <f>IF(AA327 = "", "",
    IF(ISNUMBER(SEARCH("Kiện", C327)),
       " GÓI " &amp; COUNTIF($C$13:C327, "*Kiện*") &amp; "/" &amp; COUNTIF($C$13:$C$1000, "*Kiện*") &amp; " " &amp; AA327,
       AA327)
)</f>
        <v/>
      </c>
      <c r="F327" s="206"/>
      <c r="G327" s="206"/>
      <c r="H327" s="206"/>
      <c r="I327" s="206"/>
      <c r="J327" s="206" t="str">
        <f t="shared" si="88"/>
        <v/>
      </c>
      <c r="K327" s="206" t="str">
        <f t="shared" si="76"/>
        <v/>
      </c>
      <c r="L327" s="206" t="str">
        <f t="shared" si="77"/>
        <v/>
      </c>
      <c r="M327" s="206" t="str">
        <f t="shared" si="78"/>
        <v/>
      </c>
      <c r="N327" s="206" t="str">
        <f t="shared" si="89"/>
        <v/>
      </c>
      <c r="O327" s="206" t="str">
        <f t="shared" si="79"/>
        <v/>
      </c>
      <c r="P327" s="165" t="str">
        <f t="shared" si="80"/>
        <v/>
      </c>
      <c r="Q327" s="207"/>
      <c r="R327" s="141" t="str">
        <f>IF(S327="IN",'BOM_Phan II'!$Y$3,"")</f>
        <v/>
      </c>
      <c r="S327" s="153" t="str">
        <f t="shared" si="81"/>
        <v/>
      </c>
      <c r="T327">
        <f t="shared" si="82"/>
        <v>6</v>
      </c>
      <c r="U327" s="208" t="str">
        <f t="shared" si="90"/>
        <v>KIỆN 9</v>
      </c>
      <c r="V327" s="208" t="str">
        <f t="shared" si="83"/>
        <v/>
      </c>
      <c r="W327" s="240"/>
      <c r="X327" s="240"/>
      <c r="Y327" s="240" t="str">
        <f t="shared" si="84"/>
        <v/>
      </c>
      <c r="Z327" s="240"/>
      <c r="AD327" s="232" t="str">
        <f t="shared" si="85"/>
        <v/>
      </c>
      <c r="AE327" s="204"/>
      <c r="AX327" s="3" t="str">
        <f t="shared" si="75"/>
        <v/>
      </c>
    </row>
    <row r="328" spans="1:50" s="155" customFormat="1" ht="30" hidden="1" customHeight="1">
      <c r="A328" s="141" t="str">
        <f t="shared" si="86"/>
        <v/>
      </c>
      <c r="B328" s="141" t="str">
        <f t="shared" si="87"/>
        <v/>
      </c>
      <c r="C328" s="205" t="str" cm="1">
        <f t="array" ref="C328">IF(D328="","",
    IF(AND(ISNUMBER(D328), D328=INT(D328)),
        $V$6 &amp; " " &amp; (IFERROR(MAX($Y$12:$Y327), 0) + 1),
        IF(ISNUMBER(SEARCH(".", D328)), "", INDEX($C$12:$C328, MATCH(2, 1/($C$12:$C328 &lt;&gt; ""))))
    )
)</f>
        <v/>
      </c>
      <c r="D328" s="206"/>
      <c r="E328" s="206" t="str">
        <f>IF(AA328 = "", "",
    IF(ISNUMBER(SEARCH("Kiện", C328)),
       " GÓI " &amp; COUNTIF($C$13:C328, "*Kiện*") &amp; "/" &amp; COUNTIF($C$13:$C$1000, "*Kiện*") &amp; " " &amp; AA328,
       AA328)
)</f>
        <v/>
      </c>
      <c r="F328" s="206"/>
      <c r="G328" s="206"/>
      <c r="H328" s="206"/>
      <c r="I328" s="206"/>
      <c r="J328" s="206" t="str">
        <f t="shared" si="88"/>
        <v/>
      </c>
      <c r="K328" s="206" t="str">
        <f t="shared" si="76"/>
        <v/>
      </c>
      <c r="L328" s="206" t="str">
        <f t="shared" si="77"/>
        <v/>
      </c>
      <c r="M328" s="206" t="str">
        <f t="shared" si="78"/>
        <v/>
      </c>
      <c r="N328" s="206" t="str">
        <f t="shared" si="89"/>
        <v/>
      </c>
      <c r="O328" s="206" t="str">
        <f t="shared" si="79"/>
        <v/>
      </c>
      <c r="P328" s="165" t="str">
        <f t="shared" si="80"/>
        <v/>
      </c>
      <c r="Q328" s="207"/>
      <c r="R328" s="141" t="str">
        <f>IF(S328="IN",'BOM_Phan II'!$Y$3,"")</f>
        <v/>
      </c>
      <c r="S328" s="153" t="str">
        <f t="shared" si="81"/>
        <v/>
      </c>
      <c r="T328">
        <f t="shared" si="82"/>
        <v>6</v>
      </c>
      <c r="U328" s="208" t="str">
        <f t="shared" si="90"/>
        <v>KIỆN 9</v>
      </c>
      <c r="V328" s="208" t="str">
        <f t="shared" si="83"/>
        <v/>
      </c>
      <c r="W328" s="240"/>
      <c r="X328" s="240"/>
      <c r="Y328" s="240" t="str">
        <f t="shared" si="84"/>
        <v/>
      </c>
      <c r="Z328" s="240"/>
      <c r="AD328" s="232" t="str">
        <f t="shared" si="85"/>
        <v/>
      </c>
      <c r="AE328" s="204"/>
      <c r="AX328" s="3" t="str">
        <f t="shared" si="75"/>
        <v/>
      </c>
    </row>
    <row r="329" spans="1:50" s="155" customFormat="1" ht="30" hidden="1" customHeight="1">
      <c r="A329" s="141" t="str">
        <f t="shared" si="86"/>
        <v/>
      </c>
      <c r="B329" s="141" t="str">
        <f t="shared" si="87"/>
        <v/>
      </c>
      <c r="C329" s="205" t="str" cm="1">
        <f t="array" ref="C329">IF(D329="","",
    IF(AND(ISNUMBER(D329), D329=INT(D329)),
        $V$6 &amp; " " &amp; (IFERROR(MAX($Y$12:$Y328), 0) + 1),
        IF(ISNUMBER(SEARCH(".", D329)), "", INDEX($C$12:$C329, MATCH(2, 1/($C$12:$C329 &lt;&gt; ""))))
    )
)</f>
        <v/>
      </c>
      <c r="D329" s="206"/>
      <c r="E329" s="206" t="str">
        <f>IF(AA329 = "", "",
    IF(ISNUMBER(SEARCH("Kiện", C329)),
       " GÓI " &amp; COUNTIF($C$13:C329, "*Kiện*") &amp; "/" &amp; COUNTIF($C$13:$C$1000, "*Kiện*") &amp; " " &amp; AA329,
       AA329)
)</f>
        <v/>
      </c>
      <c r="F329" s="206"/>
      <c r="G329" s="206"/>
      <c r="H329" s="206"/>
      <c r="I329" s="206"/>
      <c r="J329" s="206" t="str">
        <f t="shared" si="88"/>
        <v/>
      </c>
      <c r="K329" s="206" t="str">
        <f t="shared" si="76"/>
        <v/>
      </c>
      <c r="L329" s="206" t="str">
        <f t="shared" si="77"/>
        <v/>
      </c>
      <c r="M329" s="206" t="str">
        <f t="shared" si="78"/>
        <v/>
      </c>
      <c r="N329" s="206" t="str">
        <f t="shared" si="89"/>
        <v/>
      </c>
      <c r="O329" s="206" t="str">
        <f t="shared" si="79"/>
        <v/>
      </c>
      <c r="P329" s="165" t="str">
        <f t="shared" si="80"/>
        <v/>
      </c>
      <c r="Q329" s="207"/>
      <c r="R329" s="141" t="str">
        <f>IF(S329="IN",'BOM_Phan II'!$Y$3,"")</f>
        <v/>
      </c>
      <c r="S329" s="153" t="str">
        <f t="shared" si="81"/>
        <v/>
      </c>
      <c r="T329">
        <f t="shared" si="82"/>
        <v>6</v>
      </c>
      <c r="U329" s="208" t="str">
        <f t="shared" si="90"/>
        <v>KIỆN 9</v>
      </c>
      <c r="V329" s="208" t="str">
        <f t="shared" si="83"/>
        <v/>
      </c>
      <c r="W329" s="240"/>
      <c r="X329" s="240"/>
      <c r="Y329" s="240" t="str">
        <f t="shared" si="84"/>
        <v/>
      </c>
      <c r="Z329" s="240"/>
      <c r="AD329" s="232" t="str">
        <f t="shared" si="85"/>
        <v/>
      </c>
      <c r="AE329" s="204"/>
      <c r="AX329" s="3" t="str">
        <f t="shared" si="75"/>
        <v/>
      </c>
    </row>
    <row r="330" spans="1:50" s="155" customFormat="1" ht="30" hidden="1" customHeight="1">
      <c r="A330" s="141" t="str">
        <f t="shared" si="86"/>
        <v/>
      </c>
      <c r="B330" s="141" t="str">
        <f t="shared" si="87"/>
        <v/>
      </c>
      <c r="C330" s="205" t="str" cm="1">
        <f t="array" ref="C330">IF(D330="","",
    IF(AND(ISNUMBER(D330), D330=INT(D330)),
        $V$6 &amp; " " &amp; (IFERROR(MAX($Y$12:$Y329), 0) + 1),
        IF(ISNUMBER(SEARCH(".", D330)), "", INDEX($C$12:$C330, MATCH(2, 1/($C$12:$C330 &lt;&gt; ""))))
    )
)</f>
        <v/>
      </c>
      <c r="D330" s="206"/>
      <c r="E330" s="206" t="str">
        <f>IF(AA330 = "", "",
    IF(ISNUMBER(SEARCH("Kiện", C330)),
       " GÓI " &amp; COUNTIF($C$13:C330, "*Kiện*") &amp; "/" &amp; COUNTIF($C$13:$C$1000, "*Kiện*") &amp; " " &amp; AA330,
       AA330)
)</f>
        <v/>
      </c>
      <c r="F330" s="206"/>
      <c r="G330" s="206"/>
      <c r="H330" s="206"/>
      <c r="I330" s="206"/>
      <c r="J330" s="206" t="str">
        <f t="shared" si="88"/>
        <v/>
      </c>
      <c r="K330" s="206" t="str">
        <f t="shared" si="76"/>
        <v/>
      </c>
      <c r="L330" s="206" t="str">
        <f t="shared" si="77"/>
        <v/>
      </c>
      <c r="M330" s="206" t="str">
        <f t="shared" si="78"/>
        <v/>
      </c>
      <c r="N330" s="206" t="str">
        <f t="shared" si="89"/>
        <v/>
      </c>
      <c r="O330" s="206" t="str">
        <f t="shared" si="79"/>
        <v/>
      </c>
      <c r="P330" s="165" t="str">
        <f t="shared" si="80"/>
        <v/>
      </c>
      <c r="Q330" s="207"/>
      <c r="R330" s="141" t="str">
        <f>IF(S330="IN",'BOM_Phan II'!$Y$3,"")</f>
        <v/>
      </c>
      <c r="S330" s="153" t="str">
        <f t="shared" si="81"/>
        <v/>
      </c>
      <c r="T330">
        <f t="shared" si="82"/>
        <v>6</v>
      </c>
      <c r="U330" s="208" t="str">
        <f t="shared" si="90"/>
        <v>KIỆN 9</v>
      </c>
      <c r="V330" s="208" t="str">
        <f t="shared" si="83"/>
        <v/>
      </c>
      <c r="W330" s="240"/>
      <c r="X330" s="240"/>
      <c r="Y330" s="240" t="str">
        <f t="shared" si="84"/>
        <v/>
      </c>
      <c r="Z330" s="240"/>
      <c r="AD330" s="232" t="str">
        <f t="shared" si="85"/>
        <v/>
      </c>
      <c r="AE330" s="204"/>
      <c r="AX330" s="3" t="str">
        <f t="shared" si="75"/>
        <v/>
      </c>
    </row>
    <row r="331" spans="1:50" s="155" customFormat="1" ht="30" hidden="1" customHeight="1">
      <c r="A331" s="141" t="str">
        <f t="shared" si="86"/>
        <v/>
      </c>
      <c r="B331" s="141" t="str">
        <f t="shared" si="87"/>
        <v/>
      </c>
      <c r="C331" s="205" t="str" cm="1">
        <f t="array" ref="C331">IF(D331="","",
    IF(AND(ISNUMBER(D331), D331=INT(D331)),
        $V$6 &amp; " " &amp; (IFERROR(MAX($Y$12:$Y330), 0) + 1),
        IF(ISNUMBER(SEARCH(".", D331)), "", INDEX($C$12:$C331, MATCH(2, 1/($C$12:$C331 &lt;&gt; ""))))
    )
)</f>
        <v/>
      </c>
      <c r="D331" s="206"/>
      <c r="E331" s="206" t="str">
        <f>IF(AA331 = "", "",
    IF(ISNUMBER(SEARCH("Kiện", C331)),
       " GÓI " &amp; COUNTIF($C$13:C331, "*Kiện*") &amp; "/" &amp; COUNTIF($C$13:$C$1000, "*Kiện*") &amp; " " &amp; AA331,
       AA331)
)</f>
        <v/>
      </c>
      <c r="F331" s="206"/>
      <c r="G331" s="206"/>
      <c r="H331" s="206"/>
      <c r="I331" s="206"/>
      <c r="J331" s="206" t="str">
        <f t="shared" si="88"/>
        <v/>
      </c>
      <c r="K331" s="206" t="str">
        <f t="shared" si="76"/>
        <v/>
      </c>
      <c r="L331" s="206" t="str">
        <f t="shared" si="77"/>
        <v/>
      </c>
      <c r="M331" s="206" t="str">
        <f t="shared" si="78"/>
        <v/>
      </c>
      <c r="N331" s="206" t="str">
        <f t="shared" si="89"/>
        <v/>
      </c>
      <c r="O331" s="206" t="str">
        <f t="shared" si="79"/>
        <v/>
      </c>
      <c r="P331" s="165" t="str">
        <f t="shared" si="80"/>
        <v/>
      </c>
      <c r="Q331" s="207"/>
      <c r="R331" s="141" t="str">
        <f>IF(S331="IN",'BOM_Phan II'!$Y$3,"")</f>
        <v/>
      </c>
      <c r="S331" s="153" t="str">
        <f t="shared" si="81"/>
        <v/>
      </c>
      <c r="T331">
        <f t="shared" si="82"/>
        <v>6</v>
      </c>
      <c r="U331" s="208" t="str">
        <f t="shared" si="90"/>
        <v>KIỆN 9</v>
      </c>
      <c r="V331" s="208" t="str">
        <f t="shared" si="83"/>
        <v/>
      </c>
      <c r="W331" s="240"/>
      <c r="X331" s="240"/>
      <c r="Y331" s="240" t="str">
        <f t="shared" si="84"/>
        <v/>
      </c>
      <c r="Z331" s="240"/>
      <c r="AD331" s="232" t="str">
        <f t="shared" si="85"/>
        <v/>
      </c>
      <c r="AE331" s="204"/>
      <c r="AX331" s="3" t="str">
        <f t="shared" si="75"/>
        <v/>
      </c>
    </row>
    <row r="332" spans="1:50" s="155" customFormat="1" ht="30" hidden="1" customHeight="1">
      <c r="A332" s="141" t="str">
        <f t="shared" si="86"/>
        <v/>
      </c>
      <c r="B332" s="141" t="str">
        <f t="shared" si="87"/>
        <v/>
      </c>
      <c r="C332" s="205" t="str" cm="1">
        <f t="array" ref="C332">IF(D332="","",
    IF(AND(ISNUMBER(D332), D332=INT(D332)),
        $V$6 &amp; " " &amp; (IFERROR(MAX($Y$12:$Y331), 0) + 1),
        IF(ISNUMBER(SEARCH(".", D332)), "", INDEX($C$12:$C332, MATCH(2, 1/($C$12:$C332 &lt;&gt; ""))))
    )
)</f>
        <v/>
      </c>
      <c r="D332" s="206"/>
      <c r="E332" s="206" t="str">
        <f>IF(AA332 = "", "",
    IF(ISNUMBER(SEARCH("Kiện", C332)),
       " GÓI " &amp; COUNTIF($C$13:C332, "*Kiện*") &amp; "/" &amp; COUNTIF($C$13:$C$1000, "*Kiện*") &amp; " " &amp; AA332,
       AA332)
)</f>
        <v/>
      </c>
      <c r="F332" s="206"/>
      <c r="G332" s="206"/>
      <c r="H332" s="206"/>
      <c r="I332" s="206"/>
      <c r="J332" s="206" t="str">
        <f t="shared" si="88"/>
        <v/>
      </c>
      <c r="K332" s="206" t="str">
        <f t="shared" si="76"/>
        <v/>
      </c>
      <c r="L332" s="206" t="str">
        <f t="shared" si="77"/>
        <v/>
      </c>
      <c r="M332" s="206" t="str">
        <f t="shared" si="78"/>
        <v/>
      </c>
      <c r="N332" s="206" t="str">
        <f t="shared" si="89"/>
        <v/>
      </c>
      <c r="O332" s="206" t="str">
        <f t="shared" si="79"/>
        <v/>
      </c>
      <c r="P332" s="165" t="str">
        <f t="shared" si="80"/>
        <v/>
      </c>
      <c r="Q332" s="207"/>
      <c r="R332" s="141" t="str">
        <f>IF(S332="IN",'BOM_Phan II'!$Y$3,"")</f>
        <v/>
      </c>
      <c r="S332" s="153" t="str">
        <f t="shared" si="81"/>
        <v/>
      </c>
      <c r="T332">
        <f t="shared" si="82"/>
        <v>6</v>
      </c>
      <c r="U332" s="208" t="str">
        <f t="shared" si="90"/>
        <v>KIỆN 9</v>
      </c>
      <c r="V332" s="208" t="str">
        <f t="shared" si="83"/>
        <v/>
      </c>
      <c r="W332" s="240"/>
      <c r="X332" s="240"/>
      <c r="Y332" s="240" t="str">
        <f t="shared" si="84"/>
        <v/>
      </c>
      <c r="Z332" s="240"/>
      <c r="AD332" s="232" t="str">
        <f t="shared" si="85"/>
        <v/>
      </c>
      <c r="AE332" s="204"/>
      <c r="AX332" s="3" t="str">
        <f t="shared" ref="AX332:AX395" si="91">+S332</f>
        <v/>
      </c>
    </row>
    <row r="333" spans="1:50" s="155" customFormat="1" ht="30" hidden="1" customHeight="1">
      <c r="A333" s="141" t="str">
        <f t="shared" si="86"/>
        <v/>
      </c>
      <c r="B333" s="141" t="str">
        <f t="shared" si="87"/>
        <v/>
      </c>
      <c r="C333" s="205" t="str" cm="1">
        <f t="array" ref="C333">IF(D333="","",
    IF(AND(ISNUMBER(D333), D333=INT(D333)),
        $V$6 &amp; " " &amp; (IFERROR(MAX($Y$12:$Y332), 0) + 1),
        IF(ISNUMBER(SEARCH(".", D333)), "", INDEX($C$12:$C333, MATCH(2, 1/($C$12:$C333 &lt;&gt; ""))))
    )
)</f>
        <v/>
      </c>
      <c r="D333" s="206"/>
      <c r="E333" s="206" t="str">
        <f>IF(AA333 = "", "",
    IF(ISNUMBER(SEARCH("Kiện", C333)),
       " GÓI " &amp; COUNTIF($C$13:C333, "*Kiện*") &amp; "/" &amp; COUNTIF($C$13:$C$1000, "*Kiện*") &amp; " " &amp; AA333,
       AA333)
)</f>
        <v/>
      </c>
      <c r="F333" s="206"/>
      <c r="G333" s="206"/>
      <c r="H333" s="206"/>
      <c r="I333" s="206"/>
      <c r="J333" s="206" t="str">
        <f t="shared" si="88"/>
        <v/>
      </c>
      <c r="K333" s="206" t="str">
        <f t="shared" si="76"/>
        <v/>
      </c>
      <c r="L333" s="206" t="str">
        <f t="shared" si="77"/>
        <v/>
      </c>
      <c r="M333" s="206" t="str">
        <f t="shared" si="78"/>
        <v/>
      </c>
      <c r="N333" s="206" t="str">
        <f t="shared" si="89"/>
        <v/>
      </c>
      <c r="O333" s="206" t="str">
        <f t="shared" si="79"/>
        <v/>
      </c>
      <c r="P333" s="165" t="str">
        <f t="shared" si="80"/>
        <v/>
      </c>
      <c r="Q333" s="207"/>
      <c r="R333" s="141" t="str">
        <f>IF(S333="IN",'BOM_Phan II'!$Y$3,"")</f>
        <v/>
      </c>
      <c r="S333" s="153" t="str">
        <f t="shared" si="81"/>
        <v/>
      </c>
      <c r="T333">
        <f t="shared" si="82"/>
        <v>6</v>
      </c>
      <c r="U333" s="208" t="str">
        <f t="shared" si="90"/>
        <v>KIỆN 9</v>
      </c>
      <c r="V333" s="208" t="str">
        <f t="shared" si="83"/>
        <v/>
      </c>
      <c r="W333" s="240"/>
      <c r="X333" s="240"/>
      <c r="Y333" s="240" t="str">
        <f t="shared" si="84"/>
        <v/>
      </c>
      <c r="Z333" s="240"/>
      <c r="AD333" s="232" t="str">
        <f t="shared" si="85"/>
        <v/>
      </c>
      <c r="AE333" s="204"/>
      <c r="AX333" s="3" t="str">
        <f t="shared" si="91"/>
        <v/>
      </c>
    </row>
    <row r="334" spans="1:50" s="155" customFormat="1" ht="30" hidden="1" customHeight="1">
      <c r="A334" s="141" t="str">
        <f t="shared" si="86"/>
        <v/>
      </c>
      <c r="B334" s="141" t="str">
        <f t="shared" si="87"/>
        <v/>
      </c>
      <c r="C334" s="205" t="str" cm="1">
        <f t="array" ref="C334">IF(D334="","",
    IF(AND(ISNUMBER(D334), D334=INT(D334)),
        $V$6 &amp; " " &amp; (IFERROR(MAX($Y$12:$Y333), 0) + 1),
        IF(ISNUMBER(SEARCH(".", D334)), "", INDEX($C$12:$C334, MATCH(2, 1/($C$12:$C334 &lt;&gt; ""))))
    )
)</f>
        <v/>
      </c>
      <c r="D334" s="206"/>
      <c r="E334" s="206" t="str">
        <f>IF(AA334 = "", "",
    IF(ISNUMBER(SEARCH("Kiện", C334)),
       " GÓI " &amp; COUNTIF($C$13:C334, "*Kiện*") &amp; "/" &amp; COUNTIF($C$13:$C$1000, "*Kiện*") &amp; " " &amp; AA334,
       AA334)
)</f>
        <v/>
      </c>
      <c r="F334" s="206"/>
      <c r="G334" s="206"/>
      <c r="H334" s="206"/>
      <c r="I334" s="206"/>
      <c r="J334" s="206" t="str">
        <f t="shared" si="88"/>
        <v/>
      </c>
      <c r="K334" s="206" t="str">
        <f t="shared" ref="K334:K397" si="92">IFERROR(IF($C334&lt;&gt;"",IF($T$13=1,F334+20,IF($T$13=2,F334+20,IF($T$13=3,F334+50,IF($T$13=4,F334+40,IF($T$13=5,F334+50,IF($T$13=51,F334+50,IF($T$13=6,F334+50,IF($T$13=7,F334+50,"")))))))),""),"")</f>
        <v/>
      </c>
      <c r="L334" s="206" t="str">
        <f t="shared" ref="L334:L397" si="93">IFERROR(IF($C334&lt;&gt;"",IF($T$13=1,G334+20,IF($T$13=2,G334+20,IF($T$13=3,G334+50,IF($T$13=4,G334+40,IF($T$13=5,G334+50,IF($T$13=51,G334+50,IF($T$13=6,G334+50,IF($T$13=7,G334+50,"")))))))),""),"")</f>
        <v/>
      </c>
      <c r="M334" s="206" t="str">
        <f t="shared" ref="M334:M397" si="94">IFERROR(IF($C334&lt;&gt;"",IF($T$13=1,H334+20,IF($T$13=2,H334+20,IF($T$13=3,H334+70,IF($T$13=4,H334+40,IF($T$13=5,H334+50,IF($T$13=51,H334+150,IF($T$13=6,H334+50,IF($T$13=7,H334+50,"")))))))),""),"")</f>
        <v/>
      </c>
      <c r="N334" s="206" t="str">
        <f t="shared" si="89"/>
        <v/>
      </c>
      <c r="O334" s="206" t="str">
        <f t="shared" ref="O334:O397" si="95">IF(C334&lt;&gt;"",$O$12,"")</f>
        <v/>
      </c>
      <c r="P334" s="165" t="str">
        <f t="shared" ref="P334:P397" si="96">IFERROR(IF(C334&lt;&gt;"",SUMIFS($V$13:$V$969,$U$13:$U$969,C334)*$S$6,V334*$S$6),"")</f>
        <v/>
      </c>
      <c r="Q334" s="207"/>
      <c r="R334" s="141" t="str">
        <f>IF(S334="IN",'BOM_Phan II'!$Y$3,"")</f>
        <v/>
      </c>
      <c r="S334" s="153" t="str">
        <f t="shared" ref="S334:S397" si="97">IF(OR(E334&lt;&gt;"",D334&lt;&gt;""),"IN","")</f>
        <v/>
      </c>
      <c r="T334">
        <f t="shared" ref="T334:T397" si="98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334" s="208" t="str">
        <f t="shared" si="90"/>
        <v>KIỆN 9</v>
      </c>
      <c r="V334" s="208" t="str">
        <f t="shared" ref="V334:V397" si="99">IFERROR(IF(AND(C334="", OR($W334="1", $W334="2")), IF(I334="", "", F334*G334*H334*I334/10^9), ""), "")</f>
        <v/>
      </c>
      <c r="W334" s="240"/>
      <c r="X334" s="240"/>
      <c r="Y334" s="240" t="str">
        <f t="shared" ref="Y334:Y397" si="100">IFERROR(VALUE(RIGHT(C334,LEN(C334)-5)),"")</f>
        <v/>
      </c>
      <c r="Z334" s="240"/>
      <c r="AD334" s="232" t="str">
        <f t="shared" ref="AD334:AD397" si="101">IFERROR(VALUE(RIGHT(C334,LEN(C334)-5)),"")</f>
        <v/>
      </c>
      <c r="AE334" s="204"/>
      <c r="AX334" s="3" t="str">
        <f t="shared" si="91"/>
        <v/>
      </c>
    </row>
    <row r="335" spans="1:50" s="155" customFormat="1" ht="30" hidden="1" customHeight="1">
      <c r="A335" s="141" t="str">
        <f t="shared" si="86"/>
        <v/>
      </c>
      <c r="B335" s="141" t="str">
        <f t="shared" si="87"/>
        <v/>
      </c>
      <c r="C335" s="205" t="str" cm="1">
        <f t="array" ref="C335">IF(D335="","",
    IF(AND(ISNUMBER(D335), D335=INT(D335)),
        $V$6 &amp; " " &amp; (IFERROR(MAX($Y$12:$Y334), 0) + 1),
        IF(ISNUMBER(SEARCH(".", D335)), "", INDEX($C$12:$C335, MATCH(2, 1/($C$12:$C335 &lt;&gt; ""))))
    )
)</f>
        <v/>
      </c>
      <c r="D335" s="206"/>
      <c r="E335" s="206" t="str">
        <f>IF(AA335 = "", "",
    IF(ISNUMBER(SEARCH("Kiện", C335)),
       " GÓI " &amp; COUNTIF($C$13:C335, "*Kiện*") &amp; "/" &amp; COUNTIF($C$13:$C$1000, "*Kiện*") &amp; " " &amp; AA335,
       AA335)
)</f>
        <v/>
      </c>
      <c r="F335" s="206"/>
      <c r="G335" s="206"/>
      <c r="H335" s="206"/>
      <c r="I335" s="206"/>
      <c r="J335" s="206" t="str">
        <f t="shared" si="88"/>
        <v/>
      </c>
      <c r="K335" s="206" t="str">
        <f t="shared" si="92"/>
        <v/>
      </c>
      <c r="L335" s="206" t="str">
        <f t="shared" si="93"/>
        <v/>
      </c>
      <c r="M335" s="206" t="str">
        <f t="shared" si="94"/>
        <v/>
      </c>
      <c r="N335" s="206" t="str">
        <f t="shared" si="89"/>
        <v/>
      </c>
      <c r="O335" s="206" t="str">
        <f t="shared" si="95"/>
        <v/>
      </c>
      <c r="P335" s="165" t="str">
        <f t="shared" si="96"/>
        <v/>
      </c>
      <c r="Q335" s="207"/>
      <c r="R335" s="141" t="str">
        <f>IF(S335="IN",'BOM_Phan II'!$Y$3,"")</f>
        <v/>
      </c>
      <c r="S335" s="153" t="str">
        <f t="shared" si="97"/>
        <v/>
      </c>
      <c r="T335">
        <f t="shared" si="98"/>
        <v>6</v>
      </c>
      <c r="U335" s="208" t="str">
        <f t="shared" si="90"/>
        <v>KIỆN 9</v>
      </c>
      <c r="V335" s="208" t="str">
        <f t="shared" si="99"/>
        <v/>
      </c>
      <c r="W335" s="240"/>
      <c r="X335" s="240"/>
      <c r="Y335" s="240" t="str">
        <f t="shared" si="100"/>
        <v/>
      </c>
      <c r="Z335" s="240"/>
      <c r="AD335" s="232" t="str">
        <f t="shared" si="101"/>
        <v/>
      </c>
      <c r="AE335" s="204"/>
      <c r="AX335" s="3" t="str">
        <f t="shared" si="91"/>
        <v/>
      </c>
    </row>
    <row r="336" spans="1:50" s="155" customFormat="1" ht="30" hidden="1" customHeight="1">
      <c r="A336" s="141" t="str">
        <f t="shared" ref="A336:A399" si="102">IF(S336="IN",$E$6,"")</f>
        <v/>
      </c>
      <c r="B336" s="141" t="str">
        <f t="shared" ref="B336:B399" si="103">IF(S336="IN","Muc "&amp;$E$7,"")</f>
        <v/>
      </c>
      <c r="C336" s="205" t="str" cm="1">
        <f t="array" ref="C336">IF(D336="","",
    IF(AND(ISNUMBER(D336), D336=INT(D336)),
        $V$6 &amp; " " &amp; (IFERROR(MAX($Y$12:$Y335), 0) + 1),
        IF(ISNUMBER(SEARCH(".", D336)), "", INDEX($C$12:$C336, MATCH(2, 1/($C$12:$C336 &lt;&gt; ""))))
    )
)</f>
        <v/>
      </c>
      <c r="D336" s="206"/>
      <c r="E336" s="206" t="str">
        <f>IF(AA336 = "", "",
    IF(ISNUMBER(SEARCH("Kiện", C336)),
       " GÓI " &amp; COUNTIF($C$13:C336, "*Kiện*") &amp; "/" &amp; COUNTIF($C$13:$C$1000, "*Kiện*") &amp; " " &amp; AA336,
       AA336)
)</f>
        <v/>
      </c>
      <c r="F336" s="206"/>
      <c r="G336" s="206"/>
      <c r="H336" s="206"/>
      <c r="I336" s="206"/>
      <c r="J336" s="206" t="str">
        <f t="shared" ref="J336:J399" si="104">IF(C336&lt;&gt;"",C336&amp;"_"&amp;$E$6,"")</f>
        <v/>
      </c>
      <c r="K336" s="206" t="str">
        <f t="shared" si="92"/>
        <v/>
      </c>
      <c r="L336" s="206" t="str">
        <f t="shared" si="93"/>
        <v/>
      </c>
      <c r="M336" s="206" t="str">
        <f t="shared" si="94"/>
        <v/>
      </c>
      <c r="N336" s="206" t="str">
        <f t="shared" ref="N336:N399" si="105">IF(C336&lt;&gt;"",I336,"")</f>
        <v/>
      </c>
      <c r="O336" s="206" t="str">
        <f t="shared" si="95"/>
        <v/>
      </c>
      <c r="P336" s="165" t="str">
        <f t="shared" si="96"/>
        <v/>
      </c>
      <c r="Q336" s="207"/>
      <c r="R336" s="141" t="str">
        <f>IF(S336="IN",'BOM_Phan II'!$Y$3,"")</f>
        <v/>
      </c>
      <c r="S336" s="153" t="str">
        <f t="shared" si="97"/>
        <v/>
      </c>
      <c r="T336">
        <f t="shared" si="98"/>
        <v>6</v>
      </c>
      <c r="U336" s="208" t="str">
        <f t="shared" ref="U336:U399" si="106">IF(C336="",U335,C336)</f>
        <v>KIỆN 9</v>
      </c>
      <c r="V336" s="208" t="str">
        <f t="shared" si="99"/>
        <v/>
      </c>
      <c r="W336" s="240"/>
      <c r="X336" s="240"/>
      <c r="Y336" s="240" t="str">
        <f t="shared" si="100"/>
        <v/>
      </c>
      <c r="Z336" s="240"/>
      <c r="AD336" s="232" t="str">
        <f t="shared" si="101"/>
        <v/>
      </c>
      <c r="AE336" s="204"/>
      <c r="AX336" s="3" t="str">
        <f t="shared" si="91"/>
        <v/>
      </c>
    </row>
    <row r="337" spans="1:50" s="155" customFormat="1" ht="30" hidden="1" customHeight="1">
      <c r="A337" s="141" t="str">
        <f t="shared" si="102"/>
        <v/>
      </c>
      <c r="B337" s="141" t="str">
        <f t="shared" si="103"/>
        <v/>
      </c>
      <c r="C337" s="205" t="str" cm="1">
        <f t="array" ref="C337">IF(D337="","",
    IF(AND(ISNUMBER(D337), D337=INT(D337)),
        $V$6 &amp; " " &amp; (IFERROR(MAX($Y$12:$Y336), 0) + 1),
        IF(ISNUMBER(SEARCH(".", D337)), "", INDEX($C$12:$C337, MATCH(2, 1/($C$12:$C337 &lt;&gt; ""))))
    )
)</f>
        <v/>
      </c>
      <c r="D337" s="206"/>
      <c r="E337" s="206" t="str">
        <f>IF(AA337 = "", "",
    IF(ISNUMBER(SEARCH("Kiện", C337)),
       " GÓI " &amp; COUNTIF($C$13:C337, "*Kiện*") &amp; "/" &amp; COUNTIF($C$13:$C$1000, "*Kiện*") &amp; " " &amp; AA337,
       AA337)
)</f>
        <v/>
      </c>
      <c r="F337" s="206"/>
      <c r="G337" s="206"/>
      <c r="H337" s="206"/>
      <c r="I337" s="206"/>
      <c r="J337" s="206" t="str">
        <f t="shared" si="104"/>
        <v/>
      </c>
      <c r="K337" s="206" t="str">
        <f t="shared" si="92"/>
        <v/>
      </c>
      <c r="L337" s="206" t="str">
        <f t="shared" si="93"/>
        <v/>
      </c>
      <c r="M337" s="206" t="str">
        <f t="shared" si="94"/>
        <v/>
      </c>
      <c r="N337" s="206" t="str">
        <f t="shared" si="105"/>
        <v/>
      </c>
      <c r="O337" s="206" t="str">
        <f t="shared" si="95"/>
        <v/>
      </c>
      <c r="P337" s="165" t="str">
        <f t="shared" si="96"/>
        <v/>
      </c>
      <c r="Q337" s="207"/>
      <c r="R337" s="141" t="str">
        <f>IF(S337="IN",'BOM_Phan II'!$Y$3,"")</f>
        <v/>
      </c>
      <c r="S337" s="153" t="str">
        <f t="shared" si="97"/>
        <v/>
      </c>
      <c r="T337">
        <f t="shared" si="98"/>
        <v>6</v>
      </c>
      <c r="U337" s="208" t="str">
        <f t="shared" si="106"/>
        <v>KIỆN 9</v>
      </c>
      <c r="V337" s="208" t="str">
        <f t="shared" si="99"/>
        <v/>
      </c>
      <c r="W337" s="240"/>
      <c r="X337" s="240"/>
      <c r="Y337" s="240" t="str">
        <f t="shared" si="100"/>
        <v/>
      </c>
      <c r="Z337" s="240"/>
      <c r="AD337" s="232" t="str">
        <f t="shared" si="101"/>
        <v/>
      </c>
      <c r="AE337" s="204"/>
      <c r="AX337" s="3" t="str">
        <f t="shared" si="91"/>
        <v/>
      </c>
    </row>
    <row r="338" spans="1:50" s="155" customFormat="1" ht="30" hidden="1" customHeight="1">
      <c r="A338" s="141" t="str">
        <f t="shared" si="102"/>
        <v/>
      </c>
      <c r="B338" s="141" t="str">
        <f t="shared" si="103"/>
        <v/>
      </c>
      <c r="C338" s="205" t="str" cm="1">
        <f t="array" ref="C338">IF(D338="","",
    IF(AND(ISNUMBER(D338), D338=INT(D338)),
        $V$6 &amp; " " &amp; (IFERROR(MAX($Y$12:$Y337), 0) + 1),
        IF(ISNUMBER(SEARCH(".", D338)), "", INDEX($C$12:$C338, MATCH(2, 1/($C$12:$C338 &lt;&gt; ""))))
    )
)</f>
        <v/>
      </c>
      <c r="D338" s="206"/>
      <c r="E338" s="206" t="str">
        <f>IF(AA338 = "", "",
    IF(ISNUMBER(SEARCH("Kiện", C338)),
       " GÓI " &amp; COUNTIF($C$13:C338, "*Kiện*") &amp; "/" &amp; COUNTIF($C$13:$C$1000, "*Kiện*") &amp; " " &amp; AA338,
       AA338)
)</f>
        <v/>
      </c>
      <c r="F338" s="206"/>
      <c r="G338" s="206"/>
      <c r="H338" s="206"/>
      <c r="I338" s="206"/>
      <c r="J338" s="206" t="str">
        <f t="shared" si="104"/>
        <v/>
      </c>
      <c r="K338" s="206" t="str">
        <f t="shared" si="92"/>
        <v/>
      </c>
      <c r="L338" s="206" t="str">
        <f t="shared" si="93"/>
        <v/>
      </c>
      <c r="M338" s="206" t="str">
        <f t="shared" si="94"/>
        <v/>
      </c>
      <c r="N338" s="206" t="str">
        <f t="shared" si="105"/>
        <v/>
      </c>
      <c r="O338" s="206" t="str">
        <f t="shared" si="95"/>
        <v/>
      </c>
      <c r="P338" s="165" t="str">
        <f t="shared" si="96"/>
        <v/>
      </c>
      <c r="Q338" s="207"/>
      <c r="R338" s="141" t="str">
        <f>IF(S338="IN",'BOM_Phan II'!$Y$3,"")</f>
        <v/>
      </c>
      <c r="S338" s="153" t="str">
        <f t="shared" si="97"/>
        <v/>
      </c>
      <c r="T338">
        <f t="shared" si="98"/>
        <v>6</v>
      </c>
      <c r="U338" s="208" t="str">
        <f t="shared" si="106"/>
        <v>KIỆN 9</v>
      </c>
      <c r="V338" s="208" t="str">
        <f t="shared" si="99"/>
        <v/>
      </c>
      <c r="W338" s="240"/>
      <c r="X338" s="240"/>
      <c r="Y338" s="240" t="str">
        <f t="shared" si="100"/>
        <v/>
      </c>
      <c r="Z338" s="240"/>
      <c r="AD338" s="232" t="str">
        <f t="shared" si="101"/>
        <v/>
      </c>
      <c r="AE338" s="204"/>
      <c r="AX338" s="3" t="str">
        <f t="shared" si="91"/>
        <v/>
      </c>
    </row>
    <row r="339" spans="1:50" s="155" customFormat="1" ht="30" hidden="1" customHeight="1">
      <c r="A339" s="141" t="str">
        <f t="shared" si="102"/>
        <v/>
      </c>
      <c r="B339" s="141" t="str">
        <f t="shared" si="103"/>
        <v/>
      </c>
      <c r="C339" s="205" t="str" cm="1">
        <f t="array" ref="C339">IF(D339="","",
    IF(AND(ISNUMBER(D339), D339=INT(D339)),
        $V$6 &amp; " " &amp; (IFERROR(MAX($Y$12:$Y338), 0) + 1),
        IF(ISNUMBER(SEARCH(".", D339)), "", INDEX($C$12:$C339, MATCH(2, 1/($C$12:$C339 &lt;&gt; ""))))
    )
)</f>
        <v/>
      </c>
      <c r="D339" s="206"/>
      <c r="E339" s="206" t="str">
        <f>IF(AA339 = "", "",
    IF(ISNUMBER(SEARCH("Kiện", C339)),
       " GÓI " &amp; COUNTIF($C$13:C339, "*Kiện*") &amp; "/" &amp; COUNTIF($C$13:$C$1000, "*Kiện*") &amp; " " &amp; AA339,
       AA339)
)</f>
        <v/>
      </c>
      <c r="F339" s="206"/>
      <c r="G339" s="206"/>
      <c r="H339" s="206"/>
      <c r="I339" s="206"/>
      <c r="J339" s="206" t="str">
        <f t="shared" si="104"/>
        <v/>
      </c>
      <c r="K339" s="206" t="str">
        <f t="shared" si="92"/>
        <v/>
      </c>
      <c r="L339" s="206" t="str">
        <f t="shared" si="93"/>
        <v/>
      </c>
      <c r="M339" s="206" t="str">
        <f t="shared" si="94"/>
        <v/>
      </c>
      <c r="N339" s="206" t="str">
        <f t="shared" si="105"/>
        <v/>
      </c>
      <c r="O339" s="206" t="str">
        <f t="shared" si="95"/>
        <v/>
      </c>
      <c r="P339" s="165" t="str">
        <f t="shared" si="96"/>
        <v/>
      </c>
      <c r="Q339" s="207"/>
      <c r="R339" s="141" t="str">
        <f>IF(S339="IN",'BOM_Phan II'!$Y$3,"")</f>
        <v/>
      </c>
      <c r="S339" s="153" t="str">
        <f t="shared" si="97"/>
        <v/>
      </c>
      <c r="T339">
        <f t="shared" si="98"/>
        <v>6</v>
      </c>
      <c r="U339" s="208" t="str">
        <f t="shared" si="106"/>
        <v>KIỆN 9</v>
      </c>
      <c r="V339" s="208" t="str">
        <f t="shared" si="99"/>
        <v/>
      </c>
      <c r="W339" s="240"/>
      <c r="X339" s="240"/>
      <c r="Y339" s="240" t="str">
        <f t="shared" si="100"/>
        <v/>
      </c>
      <c r="Z339" s="240"/>
      <c r="AD339" s="232" t="str">
        <f t="shared" si="101"/>
        <v/>
      </c>
      <c r="AE339" s="204"/>
      <c r="AX339" s="3" t="str">
        <f t="shared" si="91"/>
        <v/>
      </c>
    </row>
    <row r="340" spans="1:50" s="155" customFormat="1" ht="30" hidden="1" customHeight="1">
      <c r="A340" s="141" t="str">
        <f t="shared" si="102"/>
        <v/>
      </c>
      <c r="B340" s="141" t="str">
        <f t="shared" si="103"/>
        <v/>
      </c>
      <c r="C340" s="205" t="str" cm="1">
        <f t="array" ref="C340">IF(D340="","",
    IF(AND(ISNUMBER(D340), D340=INT(D340)),
        $V$6 &amp; " " &amp; (IFERROR(MAX($Y$12:$Y339), 0) + 1),
        IF(ISNUMBER(SEARCH(".", D340)), "", INDEX($C$12:$C340, MATCH(2, 1/($C$12:$C340 &lt;&gt; ""))))
    )
)</f>
        <v/>
      </c>
      <c r="D340" s="206"/>
      <c r="E340" s="206" t="str">
        <f>IF(AA340 = "", "",
    IF(ISNUMBER(SEARCH("Kiện", C340)),
       " GÓI " &amp; COUNTIF($C$13:C340, "*Kiện*") &amp; "/" &amp; COUNTIF($C$13:$C$1000, "*Kiện*") &amp; " " &amp; AA340,
       AA340)
)</f>
        <v/>
      </c>
      <c r="F340" s="206"/>
      <c r="G340" s="206"/>
      <c r="H340" s="206"/>
      <c r="I340" s="206"/>
      <c r="J340" s="206" t="str">
        <f t="shared" si="104"/>
        <v/>
      </c>
      <c r="K340" s="206" t="str">
        <f t="shared" si="92"/>
        <v/>
      </c>
      <c r="L340" s="206" t="str">
        <f t="shared" si="93"/>
        <v/>
      </c>
      <c r="M340" s="206" t="str">
        <f t="shared" si="94"/>
        <v/>
      </c>
      <c r="N340" s="206" t="str">
        <f t="shared" si="105"/>
        <v/>
      </c>
      <c r="O340" s="206" t="str">
        <f t="shared" si="95"/>
        <v/>
      </c>
      <c r="P340" s="165" t="str">
        <f t="shared" si="96"/>
        <v/>
      </c>
      <c r="Q340" s="207"/>
      <c r="R340" s="141" t="str">
        <f>IF(S340="IN",'BOM_Phan II'!$Y$3,"")</f>
        <v/>
      </c>
      <c r="S340" s="153" t="str">
        <f t="shared" si="97"/>
        <v/>
      </c>
      <c r="T340">
        <f t="shared" si="98"/>
        <v>6</v>
      </c>
      <c r="U340" s="208" t="str">
        <f t="shared" si="106"/>
        <v>KIỆN 9</v>
      </c>
      <c r="V340" s="208" t="str">
        <f t="shared" si="99"/>
        <v/>
      </c>
      <c r="W340" s="240"/>
      <c r="X340" s="240"/>
      <c r="Y340" s="240" t="str">
        <f t="shared" si="100"/>
        <v/>
      </c>
      <c r="Z340" s="240"/>
      <c r="AD340" s="232" t="str">
        <f t="shared" si="101"/>
        <v/>
      </c>
      <c r="AE340" s="204"/>
      <c r="AX340" s="3" t="str">
        <f t="shared" si="91"/>
        <v/>
      </c>
    </row>
    <row r="341" spans="1:50" s="155" customFormat="1" ht="30" hidden="1" customHeight="1">
      <c r="A341" s="141" t="str">
        <f t="shared" si="102"/>
        <v/>
      </c>
      <c r="B341" s="141" t="str">
        <f t="shared" si="103"/>
        <v/>
      </c>
      <c r="C341" s="205" t="str" cm="1">
        <f t="array" ref="C341">IF(D341="","",
    IF(AND(ISNUMBER(D341), D341=INT(D341)),
        $V$6 &amp; " " &amp; (IFERROR(MAX($Y$12:$Y340), 0) + 1),
        IF(ISNUMBER(SEARCH(".", D341)), "", INDEX($C$12:$C341, MATCH(2, 1/($C$12:$C341 &lt;&gt; ""))))
    )
)</f>
        <v/>
      </c>
      <c r="D341" s="206"/>
      <c r="E341" s="206" t="str">
        <f>IF(AA341 = "", "",
    IF(ISNUMBER(SEARCH("Kiện", C341)),
       " GÓI " &amp; COUNTIF($C$13:C341, "*Kiện*") &amp; "/" &amp; COUNTIF($C$13:$C$1000, "*Kiện*") &amp; " " &amp; AA341,
       AA341)
)</f>
        <v/>
      </c>
      <c r="F341" s="206"/>
      <c r="G341" s="206"/>
      <c r="H341" s="206"/>
      <c r="I341" s="206"/>
      <c r="J341" s="206" t="str">
        <f t="shared" si="104"/>
        <v/>
      </c>
      <c r="K341" s="206" t="str">
        <f t="shared" si="92"/>
        <v/>
      </c>
      <c r="L341" s="206" t="str">
        <f t="shared" si="93"/>
        <v/>
      </c>
      <c r="M341" s="206" t="str">
        <f t="shared" si="94"/>
        <v/>
      </c>
      <c r="N341" s="206" t="str">
        <f t="shared" si="105"/>
        <v/>
      </c>
      <c r="O341" s="206" t="str">
        <f t="shared" si="95"/>
        <v/>
      </c>
      <c r="P341" s="165" t="str">
        <f t="shared" si="96"/>
        <v/>
      </c>
      <c r="Q341" s="207"/>
      <c r="R341" s="141" t="str">
        <f>IF(S341="IN",'BOM_Phan II'!$Y$3,"")</f>
        <v/>
      </c>
      <c r="S341" s="153" t="str">
        <f t="shared" si="97"/>
        <v/>
      </c>
      <c r="T341">
        <f t="shared" si="98"/>
        <v>6</v>
      </c>
      <c r="U341" s="208" t="str">
        <f t="shared" si="106"/>
        <v>KIỆN 9</v>
      </c>
      <c r="V341" s="208" t="str">
        <f t="shared" si="99"/>
        <v/>
      </c>
      <c r="W341" s="240"/>
      <c r="X341" s="240"/>
      <c r="Y341" s="240" t="str">
        <f t="shared" si="100"/>
        <v/>
      </c>
      <c r="Z341" s="240"/>
      <c r="AD341" s="232" t="str">
        <f t="shared" si="101"/>
        <v/>
      </c>
      <c r="AE341" s="204"/>
      <c r="AX341" s="3" t="str">
        <f t="shared" si="91"/>
        <v/>
      </c>
    </row>
    <row r="342" spans="1:50" s="155" customFormat="1" ht="30" hidden="1" customHeight="1">
      <c r="A342" s="141" t="str">
        <f t="shared" si="102"/>
        <v/>
      </c>
      <c r="B342" s="141" t="str">
        <f t="shared" si="103"/>
        <v/>
      </c>
      <c r="C342" s="205" t="str" cm="1">
        <f t="array" ref="C342">IF(D342="","",
    IF(AND(ISNUMBER(D342), D342=INT(D342)),
        $V$6 &amp; " " &amp; (IFERROR(MAX($Y$12:$Y341), 0) + 1),
        IF(ISNUMBER(SEARCH(".", D342)), "", INDEX($C$12:$C342, MATCH(2, 1/($C$12:$C342 &lt;&gt; ""))))
    )
)</f>
        <v/>
      </c>
      <c r="D342" s="206"/>
      <c r="E342" s="206" t="str">
        <f>IF(AA342 = "", "",
    IF(ISNUMBER(SEARCH("Kiện", C342)),
       " GÓI " &amp; COUNTIF($C$13:C342, "*Kiện*") &amp; "/" &amp; COUNTIF($C$13:$C$1000, "*Kiện*") &amp; " " &amp; AA342,
       AA342)
)</f>
        <v/>
      </c>
      <c r="F342" s="206"/>
      <c r="G342" s="206"/>
      <c r="H342" s="206"/>
      <c r="I342" s="206"/>
      <c r="J342" s="206" t="str">
        <f t="shared" si="104"/>
        <v/>
      </c>
      <c r="K342" s="206" t="str">
        <f t="shared" si="92"/>
        <v/>
      </c>
      <c r="L342" s="206" t="str">
        <f t="shared" si="93"/>
        <v/>
      </c>
      <c r="M342" s="206" t="str">
        <f t="shared" si="94"/>
        <v/>
      </c>
      <c r="N342" s="206" t="str">
        <f t="shared" si="105"/>
        <v/>
      </c>
      <c r="O342" s="206" t="str">
        <f t="shared" si="95"/>
        <v/>
      </c>
      <c r="P342" s="165" t="str">
        <f t="shared" si="96"/>
        <v/>
      </c>
      <c r="Q342" s="207"/>
      <c r="R342" s="141" t="str">
        <f>IF(S342="IN",'BOM_Phan II'!$Y$3,"")</f>
        <v/>
      </c>
      <c r="S342" s="153" t="str">
        <f t="shared" si="97"/>
        <v/>
      </c>
      <c r="T342">
        <f t="shared" si="98"/>
        <v>6</v>
      </c>
      <c r="U342" s="208" t="str">
        <f t="shared" si="106"/>
        <v>KIỆN 9</v>
      </c>
      <c r="V342" s="208" t="str">
        <f t="shared" si="99"/>
        <v/>
      </c>
      <c r="W342" s="240"/>
      <c r="X342" s="240"/>
      <c r="Y342" s="240" t="str">
        <f t="shared" si="100"/>
        <v/>
      </c>
      <c r="Z342" s="240"/>
      <c r="AD342" s="232" t="str">
        <f t="shared" si="101"/>
        <v/>
      </c>
      <c r="AE342" s="204"/>
      <c r="AX342" s="3" t="str">
        <f t="shared" si="91"/>
        <v/>
      </c>
    </row>
    <row r="343" spans="1:50" s="155" customFormat="1" ht="30" hidden="1" customHeight="1">
      <c r="A343" s="141" t="str">
        <f t="shared" si="102"/>
        <v/>
      </c>
      <c r="B343" s="141" t="str">
        <f t="shared" si="103"/>
        <v/>
      </c>
      <c r="C343" s="205" t="str" cm="1">
        <f t="array" ref="C343">IF(D343="","",
    IF(AND(ISNUMBER(D343), D343=INT(D343)),
        $V$6 &amp; " " &amp; (IFERROR(MAX($Y$12:$Y342), 0) + 1),
        IF(ISNUMBER(SEARCH(".", D343)), "", INDEX($C$12:$C343, MATCH(2, 1/($C$12:$C343 &lt;&gt; ""))))
    )
)</f>
        <v/>
      </c>
      <c r="D343" s="206"/>
      <c r="E343" s="206" t="str">
        <f>IF(AA343 = "", "",
    IF(ISNUMBER(SEARCH("Kiện", C343)),
       " GÓI " &amp; COUNTIF($C$13:C343, "*Kiện*") &amp; "/" &amp; COUNTIF($C$13:$C$1000, "*Kiện*") &amp; " " &amp; AA343,
       AA343)
)</f>
        <v/>
      </c>
      <c r="F343" s="206"/>
      <c r="G343" s="206"/>
      <c r="H343" s="206"/>
      <c r="I343" s="206"/>
      <c r="J343" s="206" t="str">
        <f t="shared" si="104"/>
        <v/>
      </c>
      <c r="K343" s="206" t="str">
        <f t="shared" si="92"/>
        <v/>
      </c>
      <c r="L343" s="206" t="str">
        <f t="shared" si="93"/>
        <v/>
      </c>
      <c r="M343" s="206" t="str">
        <f t="shared" si="94"/>
        <v/>
      </c>
      <c r="N343" s="206" t="str">
        <f t="shared" si="105"/>
        <v/>
      </c>
      <c r="O343" s="206" t="str">
        <f t="shared" si="95"/>
        <v/>
      </c>
      <c r="P343" s="165" t="str">
        <f t="shared" si="96"/>
        <v/>
      </c>
      <c r="Q343" s="207"/>
      <c r="R343" s="141" t="str">
        <f>IF(S343="IN",'BOM_Phan II'!$Y$3,"")</f>
        <v/>
      </c>
      <c r="S343" s="153" t="str">
        <f t="shared" si="97"/>
        <v/>
      </c>
      <c r="T343">
        <f t="shared" si="98"/>
        <v>6</v>
      </c>
      <c r="U343" s="208" t="str">
        <f t="shared" si="106"/>
        <v>KIỆN 9</v>
      </c>
      <c r="V343" s="208" t="str">
        <f t="shared" si="99"/>
        <v/>
      </c>
      <c r="W343" s="240"/>
      <c r="X343" s="240"/>
      <c r="Y343" s="240" t="str">
        <f t="shared" si="100"/>
        <v/>
      </c>
      <c r="Z343" s="240"/>
      <c r="AD343" s="232" t="str">
        <f t="shared" si="101"/>
        <v/>
      </c>
      <c r="AE343" s="204"/>
      <c r="AX343" s="3" t="str">
        <f t="shared" si="91"/>
        <v/>
      </c>
    </row>
    <row r="344" spans="1:50" s="155" customFormat="1" ht="30" hidden="1" customHeight="1">
      <c r="A344" s="141" t="str">
        <f t="shared" si="102"/>
        <v/>
      </c>
      <c r="B344" s="141" t="str">
        <f t="shared" si="103"/>
        <v/>
      </c>
      <c r="C344" s="205" t="str" cm="1">
        <f t="array" ref="C344">IF(D344="","",
    IF(AND(ISNUMBER(D344), D344=INT(D344)),
        $V$6 &amp; " " &amp; (IFERROR(MAX($Y$12:$Y343), 0) + 1),
        IF(ISNUMBER(SEARCH(".", D344)), "", INDEX($C$12:$C344, MATCH(2, 1/($C$12:$C344 &lt;&gt; ""))))
    )
)</f>
        <v/>
      </c>
      <c r="D344" s="206"/>
      <c r="E344" s="206" t="str">
        <f>IF(AA344 = "", "",
    IF(ISNUMBER(SEARCH("Kiện", C344)),
       " GÓI " &amp; COUNTIF($C$13:C344, "*Kiện*") &amp; "/" &amp; COUNTIF($C$13:$C$1000, "*Kiện*") &amp; " " &amp; AA344,
       AA344)
)</f>
        <v/>
      </c>
      <c r="F344" s="206"/>
      <c r="G344" s="206"/>
      <c r="H344" s="206"/>
      <c r="I344" s="206"/>
      <c r="J344" s="206" t="str">
        <f t="shared" si="104"/>
        <v/>
      </c>
      <c r="K344" s="206" t="str">
        <f t="shared" si="92"/>
        <v/>
      </c>
      <c r="L344" s="206" t="str">
        <f t="shared" si="93"/>
        <v/>
      </c>
      <c r="M344" s="206" t="str">
        <f t="shared" si="94"/>
        <v/>
      </c>
      <c r="N344" s="206" t="str">
        <f t="shared" si="105"/>
        <v/>
      </c>
      <c r="O344" s="206" t="str">
        <f t="shared" si="95"/>
        <v/>
      </c>
      <c r="P344" s="165" t="str">
        <f t="shared" si="96"/>
        <v/>
      </c>
      <c r="Q344" s="207"/>
      <c r="R344" s="141" t="str">
        <f>IF(S344="IN",'BOM_Phan II'!$Y$3,"")</f>
        <v/>
      </c>
      <c r="S344" s="153" t="str">
        <f t="shared" si="97"/>
        <v/>
      </c>
      <c r="T344">
        <f t="shared" si="98"/>
        <v>6</v>
      </c>
      <c r="U344" s="208" t="str">
        <f t="shared" si="106"/>
        <v>KIỆN 9</v>
      </c>
      <c r="V344" s="208" t="str">
        <f t="shared" si="99"/>
        <v/>
      </c>
      <c r="W344" s="240"/>
      <c r="X344" s="240"/>
      <c r="Y344" s="240" t="str">
        <f t="shared" si="100"/>
        <v/>
      </c>
      <c r="Z344" s="240"/>
      <c r="AD344" s="232" t="str">
        <f t="shared" si="101"/>
        <v/>
      </c>
      <c r="AE344" s="204"/>
      <c r="AX344" s="3" t="str">
        <f t="shared" si="91"/>
        <v/>
      </c>
    </row>
    <row r="345" spans="1:50" s="155" customFormat="1" ht="30" hidden="1" customHeight="1">
      <c r="A345" s="141" t="str">
        <f t="shared" si="102"/>
        <v/>
      </c>
      <c r="B345" s="141" t="str">
        <f t="shared" si="103"/>
        <v/>
      </c>
      <c r="C345" s="205" t="str" cm="1">
        <f t="array" ref="C345">IF(D345="","",
    IF(AND(ISNUMBER(D345), D345=INT(D345)),
        $V$6 &amp; " " &amp; (IFERROR(MAX($Y$12:$Y344), 0) + 1),
        IF(ISNUMBER(SEARCH(".", D345)), "", INDEX($C$12:$C345, MATCH(2, 1/($C$12:$C345 &lt;&gt; ""))))
    )
)</f>
        <v/>
      </c>
      <c r="D345" s="206"/>
      <c r="E345" s="206" t="str">
        <f>IF(AA345 = "", "",
    IF(ISNUMBER(SEARCH("Kiện", C345)),
       " GÓI " &amp; COUNTIF($C$13:C345, "*Kiện*") &amp; "/" &amp; COUNTIF($C$13:$C$1000, "*Kiện*") &amp; " " &amp; AA345,
       AA345)
)</f>
        <v/>
      </c>
      <c r="F345" s="206"/>
      <c r="G345" s="206"/>
      <c r="H345" s="206"/>
      <c r="I345" s="206"/>
      <c r="J345" s="206" t="str">
        <f t="shared" si="104"/>
        <v/>
      </c>
      <c r="K345" s="206" t="str">
        <f t="shared" si="92"/>
        <v/>
      </c>
      <c r="L345" s="206" t="str">
        <f t="shared" si="93"/>
        <v/>
      </c>
      <c r="M345" s="206" t="str">
        <f t="shared" si="94"/>
        <v/>
      </c>
      <c r="N345" s="206" t="str">
        <f t="shared" si="105"/>
        <v/>
      </c>
      <c r="O345" s="206" t="str">
        <f t="shared" si="95"/>
        <v/>
      </c>
      <c r="P345" s="165" t="str">
        <f t="shared" si="96"/>
        <v/>
      </c>
      <c r="Q345" s="207"/>
      <c r="R345" s="141" t="str">
        <f>IF(S345="IN",'BOM_Phan II'!$Y$3,"")</f>
        <v/>
      </c>
      <c r="S345" s="153" t="str">
        <f t="shared" si="97"/>
        <v/>
      </c>
      <c r="T345">
        <f t="shared" si="98"/>
        <v>6</v>
      </c>
      <c r="U345" s="208" t="str">
        <f t="shared" si="106"/>
        <v>KIỆN 9</v>
      </c>
      <c r="V345" s="208" t="str">
        <f t="shared" si="99"/>
        <v/>
      </c>
      <c r="W345" s="240"/>
      <c r="X345" s="240"/>
      <c r="Y345" s="240" t="str">
        <f t="shared" si="100"/>
        <v/>
      </c>
      <c r="Z345" s="240"/>
      <c r="AD345" s="232" t="str">
        <f t="shared" si="101"/>
        <v/>
      </c>
      <c r="AE345" s="204"/>
      <c r="AX345" s="3" t="str">
        <f t="shared" si="91"/>
        <v/>
      </c>
    </row>
    <row r="346" spans="1:50" s="155" customFormat="1" ht="30" hidden="1" customHeight="1">
      <c r="A346" s="141" t="str">
        <f t="shared" si="102"/>
        <v/>
      </c>
      <c r="B346" s="141" t="str">
        <f t="shared" si="103"/>
        <v/>
      </c>
      <c r="C346" s="205" t="str" cm="1">
        <f t="array" ref="C346">IF(D346="","",
    IF(AND(ISNUMBER(D346), D346=INT(D346)),
        $V$6 &amp; " " &amp; (IFERROR(MAX($Y$12:$Y345), 0) + 1),
        IF(ISNUMBER(SEARCH(".", D346)), "", INDEX($C$12:$C346, MATCH(2, 1/($C$12:$C346 &lt;&gt; ""))))
    )
)</f>
        <v/>
      </c>
      <c r="D346" s="206"/>
      <c r="E346" s="206" t="str">
        <f>IF(AA346 = "", "",
    IF(ISNUMBER(SEARCH("Kiện", C346)),
       " GÓI " &amp; COUNTIF($C$13:C346, "*Kiện*") &amp; "/" &amp; COUNTIF($C$13:$C$1000, "*Kiện*") &amp; " " &amp; AA346,
       AA346)
)</f>
        <v/>
      </c>
      <c r="F346" s="206"/>
      <c r="G346" s="206"/>
      <c r="H346" s="206"/>
      <c r="I346" s="206"/>
      <c r="J346" s="206" t="str">
        <f t="shared" si="104"/>
        <v/>
      </c>
      <c r="K346" s="206" t="str">
        <f t="shared" si="92"/>
        <v/>
      </c>
      <c r="L346" s="206" t="str">
        <f t="shared" si="93"/>
        <v/>
      </c>
      <c r="M346" s="206" t="str">
        <f t="shared" si="94"/>
        <v/>
      </c>
      <c r="N346" s="206" t="str">
        <f t="shared" si="105"/>
        <v/>
      </c>
      <c r="O346" s="206" t="str">
        <f t="shared" si="95"/>
        <v/>
      </c>
      <c r="P346" s="165" t="str">
        <f t="shared" si="96"/>
        <v/>
      </c>
      <c r="Q346" s="207"/>
      <c r="R346" s="141" t="str">
        <f>IF(S346="IN",'BOM_Phan II'!$Y$3,"")</f>
        <v/>
      </c>
      <c r="S346" s="153" t="str">
        <f t="shared" si="97"/>
        <v/>
      </c>
      <c r="T346">
        <f t="shared" si="98"/>
        <v>6</v>
      </c>
      <c r="U346" s="208" t="str">
        <f t="shared" si="106"/>
        <v>KIỆN 9</v>
      </c>
      <c r="V346" s="208" t="str">
        <f t="shared" si="99"/>
        <v/>
      </c>
      <c r="W346" s="240"/>
      <c r="X346" s="240"/>
      <c r="Y346" s="240" t="str">
        <f t="shared" si="100"/>
        <v/>
      </c>
      <c r="Z346" s="240"/>
      <c r="AD346" s="232" t="str">
        <f t="shared" si="101"/>
        <v/>
      </c>
      <c r="AE346" s="204"/>
      <c r="AX346" s="3" t="str">
        <f t="shared" si="91"/>
        <v/>
      </c>
    </row>
    <row r="347" spans="1:50" s="155" customFormat="1" ht="30" hidden="1" customHeight="1">
      <c r="A347" s="141" t="str">
        <f t="shared" si="102"/>
        <v/>
      </c>
      <c r="B347" s="141" t="str">
        <f t="shared" si="103"/>
        <v/>
      </c>
      <c r="C347" s="205" t="str" cm="1">
        <f t="array" ref="C347">IF(D347="","",
    IF(AND(ISNUMBER(D347), D347=INT(D347)),
        $V$6 &amp; " " &amp; (IFERROR(MAX($Y$12:$Y346), 0) + 1),
        IF(ISNUMBER(SEARCH(".", D347)), "", INDEX($C$12:$C347, MATCH(2, 1/($C$12:$C347 &lt;&gt; ""))))
    )
)</f>
        <v/>
      </c>
      <c r="D347" s="206"/>
      <c r="E347" s="206" t="str">
        <f>IF(AA347 = "", "",
    IF(ISNUMBER(SEARCH("Kiện", C347)),
       " GÓI " &amp; COUNTIF($C$13:C347, "*Kiện*") &amp; "/" &amp; COUNTIF($C$13:$C$1000, "*Kiện*") &amp; " " &amp; AA347,
       AA347)
)</f>
        <v/>
      </c>
      <c r="F347" s="206"/>
      <c r="G347" s="206"/>
      <c r="H347" s="206"/>
      <c r="I347" s="206"/>
      <c r="J347" s="206" t="str">
        <f t="shared" si="104"/>
        <v/>
      </c>
      <c r="K347" s="206" t="str">
        <f t="shared" si="92"/>
        <v/>
      </c>
      <c r="L347" s="206" t="str">
        <f t="shared" si="93"/>
        <v/>
      </c>
      <c r="M347" s="206" t="str">
        <f t="shared" si="94"/>
        <v/>
      </c>
      <c r="N347" s="206" t="str">
        <f t="shared" si="105"/>
        <v/>
      </c>
      <c r="O347" s="206" t="str">
        <f t="shared" si="95"/>
        <v/>
      </c>
      <c r="P347" s="165" t="str">
        <f t="shared" si="96"/>
        <v/>
      </c>
      <c r="Q347" s="207"/>
      <c r="R347" s="141" t="str">
        <f>IF(S347="IN",'BOM_Phan II'!$Y$3,"")</f>
        <v/>
      </c>
      <c r="S347" s="153" t="str">
        <f t="shared" si="97"/>
        <v/>
      </c>
      <c r="T347">
        <f t="shared" si="98"/>
        <v>6</v>
      </c>
      <c r="U347" s="208" t="str">
        <f t="shared" si="106"/>
        <v>KIỆN 9</v>
      </c>
      <c r="V347" s="208" t="str">
        <f t="shared" si="99"/>
        <v/>
      </c>
      <c r="W347" s="240"/>
      <c r="X347" s="240"/>
      <c r="Y347" s="240" t="str">
        <f t="shared" si="100"/>
        <v/>
      </c>
      <c r="Z347" s="240"/>
      <c r="AD347" s="232" t="str">
        <f t="shared" si="101"/>
        <v/>
      </c>
      <c r="AE347" s="204"/>
      <c r="AX347" s="3" t="str">
        <f t="shared" si="91"/>
        <v/>
      </c>
    </row>
    <row r="348" spans="1:50" s="155" customFormat="1" ht="30" hidden="1" customHeight="1">
      <c r="A348" s="141" t="str">
        <f t="shared" si="102"/>
        <v/>
      </c>
      <c r="B348" s="141" t="str">
        <f t="shared" si="103"/>
        <v/>
      </c>
      <c r="C348" s="205" t="str" cm="1">
        <f t="array" ref="C348">IF(D348="","",
    IF(AND(ISNUMBER(D348), D348=INT(D348)),
        $V$6 &amp; " " &amp; (IFERROR(MAX($Y$12:$Y347), 0) + 1),
        IF(ISNUMBER(SEARCH(".", D348)), "", INDEX($C$12:$C348, MATCH(2, 1/($C$12:$C348 &lt;&gt; ""))))
    )
)</f>
        <v/>
      </c>
      <c r="D348" s="206"/>
      <c r="E348" s="206" t="str">
        <f>IF(AA348 = "", "",
    IF(ISNUMBER(SEARCH("Kiện", C348)),
       " GÓI " &amp; COUNTIF($C$13:C348, "*Kiện*") &amp; "/" &amp; COUNTIF($C$13:$C$1000, "*Kiện*") &amp; " " &amp; AA348,
       AA348)
)</f>
        <v/>
      </c>
      <c r="F348" s="206"/>
      <c r="G348" s="206"/>
      <c r="H348" s="206"/>
      <c r="I348" s="206"/>
      <c r="J348" s="206" t="str">
        <f t="shared" si="104"/>
        <v/>
      </c>
      <c r="K348" s="206" t="str">
        <f t="shared" si="92"/>
        <v/>
      </c>
      <c r="L348" s="206" t="str">
        <f t="shared" si="93"/>
        <v/>
      </c>
      <c r="M348" s="206" t="str">
        <f t="shared" si="94"/>
        <v/>
      </c>
      <c r="N348" s="206" t="str">
        <f t="shared" si="105"/>
        <v/>
      </c>
      <c r="O348" s="206" t="str">
        <f t="shared" si="95"/>
        <v/>
      </c>
      <c r="P348" s="165" t="str">
        <f t="shared" si="96"/>
        <v/>
      </c>
      <c r="Q348" s="207"/>
      <c r="R348" s="141" t="str">
        <f>IF(S348="IN",'BOM_Phan II'!$Y$3,"")</f>
        <v/>
      </c>
      <c r="S348" s="153" t="str">
        <f t="shared" si="97"/>
        <v/>
      </c>
      <c r="T348">
        <f t="shared" si="98"/>
        <v>6</v>
      </c>
      <c r="U348" s="208" t="str">
        <f t="shared" si="106"/>
        <v>KIỆN 9</v>
      </c>
      <c r="V348" s="208" t="str">
        <f t="shared" si="99"/>
        <v/>
      </c>
      <c r="W348" s="240"/>
      <c r="X348" s="240"/>
      <c r="Y348" s="240" t="str">
        <f t="shared" si="100"/>
        <v/>
      </c>
      <c r="Z348" s="240"/>
      <c r="AD348" s="232" t="str">
        <f t="shared" si="101"/>
        <v/>
      </c>
      <c r="AE348" s="204"/>
      <c r="AX348" s="3" t="str">
        <f t="shared" si="91"/>
        <v/>
      </c>
    </row>
    <row r="349" spans="1:50" s="155" customFormat="1" ht="30" hidden="1" customHeight="1">
      <c r="A349" s="141" t="str">
        <f t="shared" si="102"/>
        <v/>
      </c>
      <c r="B349" s="141" t="str">
        <f t="shared" si="103"/>
        <v/>
      </c>
      <c r="C349" s="205" t="str" cm="1">
        <f t="array" ref="C349">IF(D349="","",
    IF(AND(ISNUMBER(D349), D349=INT(D349)),
        $V$6 &amp; " " &amp; (IFERROR(MAX($Y$12:$Y348), 0) + 1),
        IF(ISNUMBER(SEARCH(".", D349)), "", INDEX($C$12:$C349, MATCH(2, 1/($C$12:$C349 &lt;&gt; ""))))
    )
)</f>
        <v/>
      </c>
      <c r="D349" s="206"/>
      <c r="E349" s="206" t="str">
        <f>IF(AA349 = "", "",
    IF(ISNUMBER(SEARCH("Kiện", C349)),
       " GÓI " &amp; COUNTIF($C$13:C349, "*Kiện*") &amp; "/" &amp; COUNTIF($C$13:$C$1000, "*Kiện*") &amp; " " &amp; AA349,
       AA349)
)</f>
        <v/>
      </c>
      <c r="F349" s="206"/>
      <c r="G349" s="206"/>
      <c r="H349" s="206"/>
      <c r="I349" s="206"/>
      <c r="J349" s="206" t="str">
        <f t="shared" si="104"/>
        <v/>
      </c>
      <c r="K349" s="206" t="str">
        <f t="shared" si="92"/>
        <v/>
      </c>
      <c r="L349" s="206" t="str">
        <f t="shared" si="93"/>
        <v/>
      </c>
      <c r="M349" s="206" t="str">
        <f t="shared" si="94"/>
        <v/>
      </c>
      <c r="N349" s="206" t="str">
        <f t="shared" si="105"/>
        <v/>
      </c>
      <c r="O349" s="206" t="str">
        <f t="shared" si="95"/>
        <v/>
      </c>
      <c r="P349" s="165" t="str">
        <f t="shared" si="96"/>
        <v/>
      </c>
      <c r="Q349" s="207"/>
      <c r="R349" s="141" t="str">
        <f>IF(S349="IN",'BOM_Phan II'!$Y$3,"")</f>
        <v/>
      </c>
      <c r="S349" s="153" t="str">
        <f t="shared" si="97"/>
        <v/>
      </c>
      <c r="T349">
        <f t="shared" si="98"/>
        <v>6</v>
      </c>
      <c r="U349" s="208" t="str">
        <f t="shared" si="106"/>
        <v>KIỆN 9</v>
      </c>
      <c r="V349" s="208" t="str">
        <f t="shared" si="99"/>
        <v/>
      </c>
      <c r="W349" s="240"/>
      <c r="X349" s="240"/>
      <c r="Y349" s="240" t="str">
        <f t="shared" si="100"/>
        <v/>
      </c>
      <c r="Z349" s="240"/>
      <c r="AD349" s="232" t="str">
        <f t="shared" si="101"/>
        <v/>
      </c>
      <c r="AE349" s="204"/>
      <c r="AX349" s="3" t="str">
        <f t="shared" si="91"/>
        <v/>
      </c>
    </row>
    <row r="350" spans="1:50" s="155" customFormat="1" ht="30" hidden="1" customHeight="1">
      <c r="A350" s="141" t="str">
        <f t="shared" si="102"/>
        <v/>
      </c>
      <c r="B350" s="141" t="str">
        <f t="shared" si="103"/>
        <v/>
      </c>
      <c r="C350" s="205" t="str" cm="1">
        <f t="array" ref="C350">IF(D350="","",
    IF(AND(ISNUMBER(D350), D350=INT(D350)),
        $V$6 &amp; " " &amp; (IFERROR(MAX($Y$12:$Y349), 0) + 1),
        IF(ISNUMBER(SEARCH(".", D350)), "", INDEX($C$12:$C350, MATCH(2, 1/($C$12:$C350 &lt;&gt; ""))))
    )
)</f>
        <v/>
      </c>
      <c r="D350" s="206"/>
      <c r="E350" s="206" t="str">
        <f>IF(AA350 = "", "",
    IF(ISNUMBER(SEARCH("Kiện", C350)),
       " GÓI " &amp; COUNTIF($C$13:C350, "*Kiện*") &amp; "/" &amp; COUNTIF($C$13:$C$1000, "*Kiện*") &amp; " " &amp; AA350,
       AA350)
)</f>
        <v/>
      </c>
      <c r="F350" s="206"/>
      <c r="G350" s="206"/>
      <c r="H350" s="206"/>
      <c r="I350" s="206"/>
      <c r="J350" s="206" t="str">
        <f t="shared" si="104"/>
        <v/>
      </c>
      <c r="K350" s="206" t="str">
        <f t="shared" si="92"/>
        <v/>
      </c>
      <c r="L350" s="206" t="str">
        <f t="shared" si="93"/>
        <v/>
      </c>
      <c r="M350" s="206" t="str">
        <f t="shared" si="94"/>
        <v/>
      </c>
      <c r="N350" s="206" t="str">
        <f t="shared" si="105"/>
        <v/>
      </c>
      <c r="O350" s="206" t="str">
        <f t="shared" si="95"/>
        <v/>
      </c>
      <c r="P350" s="165" t="str">
        <f t="shared" si="96"/>
        <v/>
      </c>
      <c r="Q350" s="207"/>
      <c r="R350" s="141" t="str">
        <f>IF(S350="IN",'BOM_Phan II'!$Y$3,"")</f>
        <v/>
      </c>
      <c r="S350" s="153" t="str">
        <f t="shared" si="97"/>
        <v/>
      </c>
      <c r="T350">
        <f t="shared" si="98"/>
        <v>6</v>
      </c>
      <c r="U350" s="208" t="str">
        <f t="shared" si="106"/>
        <v>KIỆN 9</v>
      </c>
      <c r="V350" s="208" t="str">
        <f t="shared" si="99"/>
        <v/>
      </c>
      <c r="W350" s="240"/>
      <c r="X350" s="240"/>
      <c r="Y350" s="240" t="str">
        <f t="shared" si="100"/>
        <v/>
      </c>
      <c r="Z350" s="240"/>
      <c r="AD350" s="232" t="str">
        <f t="shared" si="101"/>
        <v/>
      </c>
      <c r="AE350" s="204"/>
      <c r="AX350" s="3" t="str">
        <f t="shared" si="91"/>
        <v/>
      </c>
    </row>
    <row r="351" spans="1:50" s="155" customFormat="1" ht="30" hidden="1" customHeight="1">
      <c r="A351" s="141" t="str">
        <f t="shared" si="102"/>
        <v/>
      </c>
      <c r="B351" s="141" t="str">
        <f t="shared" si="103"/>
        <v/>
      </c>
      <c r="C351" s="205" t="str" cm="1">
        <f t="array" ref="C351">IF(D351="","",
    IF(AND(ISNUMBER(D351), D351=INT(D351)),
        $V$6 &amp; " " &amp; (IFERROR(MAX($Y$12:$Y350), 0) + 1),
        IF(ISNUMBER(SEARCH(".", D351)), "", INDEX($C$12:$C351, MATCH(2, 1/($C$12:$C351 &lt;&gt; ""))))
    )
)</f>
        <v/>
      </c>
      <c r="D351" s="206"/>
      <c r="E351" s="206" t="str">
        <f>IF(AA351 = "", "",
    IF(ISNUMBER(SEARCH("Kiện", C351)),
       " GÓI " &amp; COUNTIF($C$13:C351, "*Kiện*") &amp; "/" &amp; COUNTIF($C$13:$C$1000, "*Kiện*") &amp; " " &amp; AA351,
       AA351)
)</f>
        <v/>
      </c>
      <c r="F351" s="206"/>
      <c r="G351" s="206"/>
      <c r="H351" s="206"/>
      <c r="I351" s="206"/>
      <c r="J351" s="206" t="str">
        <f t="shared" si="104"/>
        <v/>
      </c>
      <c r="K351" s="206" t="str">
        <f t="shared" si="92"/>
        <v/>
      </c>
      <c r="L351" s="206" t="str">
        <f t="shared" si="93"/>
        <v/>
      </c>
      <c r="M351" s="206" t="str">
        <f t="shared" si="94"/>
        <v/>
      </c>
      <c r="N351" s="206" t="str">
        <f t="shared" si="105"/>
        <v/>
      </c>
      <c r="O351" s="206" t="str">
        <f t="shared" si="95"/>
        <v/>
      </c>
      <c r="P351" s="165" t="str">
        <f t="shared" si="96"/>
        <v/>
      </c>
      <c r="Q351" s="207"/>
      <c r="R351" s="141" t="str">
        <f>IF(S351="IN",'BOM_Phan II'!$Y$3,"")</f>
        <v/>
      </c>
      <c r="S351" s="153" t="str">
        <f t="shared" si="97"/>
        <v/>
      </c>
      <c r="T351">
        <f t="shared" si="98"/>
        <v>6</v>
      </c>
      <c r="U351" s="208" t="str">
        <f t="shared" si="106"/>
        <v>KIỆN 9</v>
      </c>
      <c r="V351" s="208" t="str">
        <f t="shared" si="99"/>
        <v/>
      </c>
      <c r="W351" s="240"/>
      <c r="X351" s="240"/>
      <c r="Y351" s="240" t="str">
        <f t="shared" si="100"/>
        <v/>
      </c>
      <c r="Z351" s="240"/>
      <c r="AD351" s="232" t="str">
        <f t="shared" si="101"/>
        <v/>
      </c>
      <c r="AE351" s="204"/>
      <c r="AX351" s="3" t="str">
        <f t="shared" si="91"/>
        <v/>
      </c>
    </row>
    <row r="352" spans="1:50" s="155" customFormat="1" ht="30" hidden="1" customHeight="1">
      <c r="A352" s="141" t="str">
        <f t="shared" si="102"/>
        <v/>
      </c>
      <c r="B352" s="141" t="str">
        <f t="shared" si="103"/>
        <v/>
      </c>
      <c r="C352" s="205" t="str" cm="1">
        <f t="array" ref="C352">IF(D352="","",
    IF(AND(ISNUMBER(D352), D352=INT(D352)),
        $V$6 &amp; " " &amp; (IFERROR(MAX($Y$12:$Y351), 0) + 1),
        IF(ISNUMBER(SEARCH(".", D352)), "", INDEX($C$12:$C352, MATCH(2, 1/($C$12:$C352 &lt;&gt; ""))))
    )
)</f>
        <v/>
      </c>
      <c r="D352" s="206"/>
      <c r="E352" s="206" t="str">
        <f>IF(AA352 = "", "",
    IF(ISNUMBER(SEARCH("Kiện", C352)),
       " GÓI " &amp; COUNTIF($C$13:C352, "*Kiện*") &amp; "/" &amp; COUNTIF($C$13:$C$1000, "*Kiện*") &amp; " " &amp; AA352,
       AA352)
)</f>
        <v/>
      </c>
      <c r="F352" s="206"/>
      <c r="G352" s="206"/>
      <c r="H352" s="206"/>
      <c r="I352" s="206"/>
      <c r="J352" s="206" t="str">
        <f t="shared" si="104"/>
        <v/>
      </c>
      <c r="K352" s="206" t="str">
        <f t="shared" si="92"/>
        <v/>
      </c>
      <c r="L352" s="206" t="str">
        <f t="shared" si="93"/>
        <v/>
      </c>
      <c r="M352" s="206" t="str">
        <f t="shared" si="94"/>
        <v/>
      </c>
      <c r="N352" s="206" t="str">
        <f t="shared" si="105"/>
        <v/>
      </c>
      <c r="O352" s="206" t="str">
        <f t="shared" si="95"/>
        <v/>
      </c>
      <c r="P352" s="165" t="str">
        <f t="shared" si="96"/>
        <v/>
      </c>
      <c r="Q352" s="207"/>
      <c r="R352" s="141" t="str">
        <f>IF(S352="IN",'BOM_Phan II'!$Y$3,"")</f>
        <v/>
      </c>
      <c r="S352" s="153" t="str">
        <f t="shared" si="97"/>
        <v/>
      </c>
      <c r="T352">
        <f t="shared" si="98"/>
        <v>6</v>
      </c>
      <c r="U352" s="208" t="str">
        <f t="shared" si="106"/>
        <v>KIỆN 9</v>
      </c>
      <c r="V352" s="208" t="str">
        <f t="shared" si="99"/>
        <v/>
      </c>
      <c r="W352" s="240"/>
      <c r="X352" s="240"/>
      <c r="Y352" s="240" t="str">
        <f t="shared" si="100"/>
        <v/>
      </c>
      <c r="Z352" s="240"/>
      <c r="AD352" s="232" t="str">
        <f t="shared" si="101"/>
        <v/>
      </c>
      <c r="AE352" s="204"/>
      <c r="AX352" s="3" t="str">
        <f t="shared" si="91"/>
        <v/>
      </c>
    </row>
    <row r="353" spans="1:50" s="155" customFormat="1" ht="30" hidden="1" customHeight="1">
      <c r="A353" s="141" t="str">
        <f t="shared" si="102"/>
        <v/>
      </c>
      <c r="B353" s="141" t="str">
        <f t="shared" si="103"/>
        <v/>
      </c>
      <c r="C353" s="205" t="str" cm="1">
        <f t="array" ref="C353">IF(D353="","",
    IF(AND(ISNUMBER(D353), D353=INT(D353)),
        $V$6 &amp; " " &amp; (IFERROR(MAX($Y$12:$Y352), 0) + 1),
        IF(ISNUMBER(SEARCH(".", D353)), "", INDEX($C$12:$C353, MATCH(2, 1/($C$12:$C353 &lt;&gt; ""))))
    )
)</f>
        <v/>
      </c>
      <c r="D353" s="206"/>
      <c r="E353" s="206" t="str">
        <f>IF(AA353 = "", "",
    IF(ISNUMBER(SEARCH("Kiện", C353)),
       " GÓI " &amp; COUNTIF($C$13:C353, "*Kiện*") &amp; "/" &amp; COUNTIF($C$13:$C$1000, "*Kiện*") &amp; " " &amp; AA353,
       AA353)
)</f>
        <v/>
      </c>
      <c r="F353" s="206"/>
      <c r="G353" s="206"/>
      <c r="H353" s="206"/>
      <c r="I353" s="206"/>
      <c r="J353" s="206" t="str">
        <f t="shared" si="104"/>
        <v/>
      </c>
      <c r="K353" s="206" t="str">
        <f t="shared" si="92"/>
        <v/>
      </c>
      <c r="L353" s="206" t="str">
        <f t="shared" si="93"/>
        <v/>
      </c>
      <c r="M353" s="206" t="str">
        <f t="shared" si="94"/>
        <v/>
      </c>
      <c r="N353" s="206" t="str">
        <f t="shared" si="105"/>
        <v/>
      </c>
      <c r="O353" s="206" t="str">
        <f t="shared" si="95"/>
        <v/>
      </c>
      <c r="P353" s="165" t="str">
        <f t="shared" si="96"/>
        <v/>
      </c>
      <c r="Q353" s="207"/>
      <c r="R353" s="141" t="str">
        <f>IF(S353="IN",'BOM_Phan II'!$Y$3,"")</f>
        <v/>
      </c>
      <c r="S353" s="153" t="str">
        <f t="shared" si="97"/>
        <v/>
      </c>
      <c r="T353">
        <f t="shared" si="98"/>
        <v>6</v>
      </c>
      <c r="U353" s="208" t="str">
        <f t="shared" si="106"/>
        <v>KIỆN 9</v>
      </c>
      <c r="V353" s="208" t="str">
        <f t="shared" si="99"/>
        <v/>
      </c>
      <c r="W353" s="240"/>
      <c r="X353" s="240"/>
      <c r="Y353" s="240" t="str">
        <f t="shared" si="100"/>
        <v/>
      </c>
      <c r="Z353" s="240"/>
      <c r="AD353" s="232" t="str">
        <f t="shared" si="101"/>
        <v/>
      </c>
      <c r="AE353" s="204"/>
      <c r="AX353" s="3" t="str">
        <f t="shared" si="91"/>
        <v/>
      </c>
    </row>
    <row r="354" spans="1:50" s="155" customFormat="1" ht="30" hidden="1" customHeight="1">
      <c r="A354" s="141" t="str">
        <f t="shared" si="102"/>
        <v/>
      </c>
      <c r="B354" s="141" t="str">
        <f t="shared" si="103"/>
        <v/>
      </c>
      <c r="C354" s="205" t="str" cm="1">
        <f t="array" ref="C354">IF(D354="","",
    IF(AND(ISNUMBER(D354), D354=INT(D354)),
        $V$6 &amp; " " &amp; (IFERROR(MAX($Y$12:$Y353), 0) + 1),
        IF(ISNUMBER(SEARCH(".", D354)), "", INDEX($C$12:$C354, MATCH(2, 1/($C$12:$C354 &lt;&gt; ""))))
    )
)</f>
        <v/>
      </c>
      <c r="D354" s="206"/>
      <c r="E354" s="206" t="str">
        <f>IF(AA354 = "", "",
    IF(ISNUMBER(SEARCH("Kiện", C354)),
       " GÓI " &amp; COUNTIF($C$13:C354, "*Kiện*") &amp; "/" &amp; COUNTIF($C$13:$C$1000, "*Kiện*") &amp; " " &amp; AA354,
       AA354)
)</f>
        <v/>
      </c>
      <c r="F354" s="206"/>
      <c r="G354" s="206"/>
      <c r="H354" s="206"/>
      <c r="I354" s="206"/>
      <c r="J354" s="206" t="str">
        <f t="shared" si="104"/>
        <v/>
      </c>
      <c r="K354" s="206" t="str">
        <f t="shared" si="92"/>
        <v/>
      </c>
      <c r="L354" s="206" t="str">
        <f t="shared" si="93"/>
        <v/>
      </c>
      <c r="M354" s="206" t="str">
        <f t="shared" si="94"/>
        <v/>
      </c>
      <c r="N354" s="206" t="str">
        <f t="shared" si="105"/>
        <v/>
      </c>
      <c r="O354" s="206" t="str">
        <f t="shared" si="95"/>
        <v/>
      </c>
      <c r="P354" s="165" t="str">
        <f t="shared" si="96"/>
        <v/>
      </c>
      <c r="Q354" s="207"/>
      <c r="R354" s="141" t="str">
        <f>IF(S354="IN",'BOM_Phan II'!$Y$3,"")</f>
        <v/>
      </c>
      <c r="S354" s="153" t="str">
        <f t="shared" si="97"/>
        <v/>
      </c>
      <c r="T354">
        <f t="shared" si="98"/>
        <v>6</v>
      </c>
      <c r="U354" s="208" t="str">
        <f t="shared" si="106"/>
        <v>KIỆN 9</v>
      </c>
      <c r="V354" s="208" t="str">
        <f t="shared" si="99"/>
        <v/>
      </c>
      <c r="W354" s="240"/>
      <c r="X354" s="240"/>
      <c r="Y354" s="240" t="str">
        <f t="shared" si="100"/>
        <v/>
      </c>
      <c r="Z354" s="240"/>
      <c r="AD354" s="232" t="str">
        <f t="shared" si="101"/>
        <v/>
      </c>
      <c r="AE354" s="204"/>
      <c r="AX354" s="3" t="str">
        <f t="shared" si="91"/>
        <v/>
      </c>
    </row>
    <row r="355" spans="1:50" s="155" customFormat="1" ht="30" hidden="1" customHeight="1">
      <c r="A355" s="141" t="str">
        <f t="shared" si="102"/>
        <v/>
      </c>
      <c r="B355" s="141" t="str">
        <f t="shared" si="103"/>
        <v/>
      </c>
      <c r="C355" s="205" t="str" cm="1">
        <f t="array" ref="C355">IF(D355="","",
    IF(AND(ISNUMBER(D355), D355=INT(D355)),
        $V$6 &amp; " " &amp; (IFERROR(MAX($Y$12:$Y354), 0) + 1),
        IF(ISNUMBER(SEARCH(".", D355)), "", INDEX($C$12:$C355, MATCH(2, 1/($C$12:$C355 &lt;&gt; ""))))
    )
)</f>
        <v/>
      </c>
      <c r="D355" s="206"/>
      <c r="E355" s="206" t="str">
        <f>IF(AA355 = "", "",
    IF(ISNUMBER(SEARCH("Kiện", C355)),
       " GÓI " &amp; COUNTIF($C$13:C355, "*Kiện*") &amp; "/" &amp; COUNTIF($C$13:$C$1000, "*Kiện*") &amp; " " &amp; AA355,
       AA355)
)</f>
        <v/>
      </c>
      <c r="F355" s="206"/>
      <c r="G355" s="206"/>
      <c r="H355" s="206"/>
      <c r="I355" s="206"/>
      <c r="J355" s="206" t="str">
        <f t="shared" si="104"/>
        <v/>
      </c>
      <c r="K355" s="206" t="str">
        <f t="shared" si="92"/>
        <v/>
      </c>
      <c r="L355" s="206" t="str">
        <f t="shared" si="93"/>
        <v/>
      </c>
      <c r="M355" s="206" t="str">
        <f t="shared" si="94"/>
        <v/>
      </c>
      <c r="N355" s="206" t="str">
        <f t="shared" si="105"/>
        <v/>
      </c>
      <c r="O355" s="206" t="str">
        <f t="shared" si="95"/>
        <v/>
      </c>
      <c r="P355" s="165" t="str">
        <f t="shared" si="96"/>
        <v/>
      </c>
      <c r="Q355" s="207"/>
      <c r="R355" s="141" t="str">
        <f>IF(S355="IN",'BOM_Phan II'!$Y$3,"")</f>
        <v/>
      </c>
      <c r="S355" s="153" t="str">
        <f t="shared" si="97"/>
        <v/>
      </c>
      <c r="T355">
        <f t="shared" si="98"/>
        <v>6</v>
      </c>
      <c r="U355" s="208" t="str">
        <f t="shared" si="106"/>
        <v>KIỆN 9</v>
      </c>
      <c r="V355" s="208" t="str">
        <f t="shared" si="99"/>
        <v/>
      </c>
      <c r="W355" s="240"/>
      <c r="X355" s="240"/>
      <c r="Y355" s="240" t="str">
        <f t="shared" si="100"/>
        <v/>
      </c>
      <c r="Z355" s="240"/>
      <c r="AD355" s="232" t="str">
        <f t="shared" si="101"/>
        <v/>
      </c>
      <c r="AE355" s="204"/>
      <c r="AX355" s="3" t="str">
        <f t="shared" si="91"/>
        <v/>
      </c>
    </row>
    <row r="356" spans="1:50" s="155" customFormat="1" ht="30" hidden="1" customHeight="1">
      <c r="A356" s="141" t="str">
        <f t="shared" si="102"/>
        <v/>
      </c>
      <c r="B356" s="141" t="str">
        <f t="shared" si="103"/>
        <v/>
      </c>
      <c r="C356" s="205" t="str" cm="1">
        <f t="array" ref="C356">IF(D356="","",
    IF(AND(ISNUMBER(D356), D356=INT(D356)),
        $V$6 &amp; " " &amp; (IFERROR(MAX($Y$12:$Y355), 0) + 1),
        IF(ISNUMBER(SEARCH(".", D356)), "", INDEX($C$12:$C356, MATCH(2, 1/($C$12:$C356 &lt;&gt; ""))))
    )
)</f>
        <v/>
      </c>
      <c r="D356" s="206"/>
      <c r="E356" s="206" t="str">
        <f>IF(AA356 = "", "",
    IF(ISNUMBER(SEARCH("Kiện", C356)),
       " GÓI " &amp; COUNTIF($C$13:C356, "*Kiện*") &amp; "/" &amp; COUNTIF($C$13:$C$1000, "*Kiện*") &amp; " " &amp; AA356,
       AA356)
)</f>
        <v/>
      </c>
      <c r="F356" s="206"/>
      <c r="G356" s="206"/>
      <c r="H356" s="206"/>
      <c r="I356" s="206"/>
      <c r="J356" s="206" t="str">
        <f t="shared" si="104"/>
        <v/>
      </c>
      <c r="K356" s="206" t="str">
        <f t="shared" si="92"/>
        <v/>
      </c>
      <c r="L356" s="206" t="str">
        <f t="shared" si="93"/>
        <v/>
      </c>
      <c r="M356" s="206" t="str">
        <f t="shared" si="94"/>
        <v/>
      </c>
      <c r="N356" s="206" t="str">
        <f t="shared" si="105"/>
        <v/>
      </c>
      <c r="O356" s="206" t="str">
        <f t="shared" si="95"/>
        <v/>
      </c>
      <c r="P356" s="165" t="str">
        <f t="shared" si="96"/>
        <v/>
      </c>
      <c r="Q356" s="207"/>
      <c r="R356" s="141" t="str">
        <f>IF(S356="IN",'BOM_Phan II'!$Y$3,"")</f>
        <v/>
      </c>
      <c r="S356" s="153" t="str">
        <f t="shared" si="97"/>
        <v/>
      </c>
      <c r="T356">
        <f t="shared" si="98"/>
        <v>6</v>
      </c>
      <c r="U356" s="208" t="str">
        <f t="shared" si="106"/>
        <v>KIỆN 9</v>
      </c>
      <c r="V356" s="208" t="str">
        <f t="shared" si="99"/>
        <v/>
      </c>
      <c r="W356" s="240"/>
      <c r="X356" s="240"/>
      <c r="Y356" s="240" t="str">
        <f t="shared" si="100"/>
        <v/>
      </c>
      <c r="Z356" s="240"/>
      <c r="AD356" s="232" t="str">
        <f t="shared" si="101"/>
        <v/>
      </c>
      <c r="AE356" s="204"/>
      <c r="AX356" s="3" t="str">
        <f t="shared" si="91"/>
        <v/>
      </c>
    </row>
    <row r="357" spans="1:50" s="155" customFormat="1" ht="30" hidden="1" customHeight="1">
      <c r="A357" s="141" t="str">
        <f t="shared" si="102"/>
        <v/>
      </c>
      <c r="B357" s="141" t="str">
        <f t="shared" si="103"/>
        <v/>
      </c>
      <c r="C357" s="205" t="str" cm="1">
        <f t="array" ref="C357">IF(D357="","",
    IF(AND(ISNUMBER(D357), D357=INT(D357)),
        $V$6 &amp; " " &amp; (IFERROR(MAX($Y$12:$Y356), 0) + 1),
        IF(ISNUMBER(SEARCH(".", D357)), "", INDEX($C$12:$C357, MATCH(2, 1/($C$12:$C357 &lt;&gt; ""))))
    )
)</f>
        <v/>
      </c>
      <c r="D357" s="206"/>
      <c r="E357" s="206" t="str">
        <f>IF(AA357 = "", "",
    IF(ISNUMBER(SEARCH("Kiện", C357)),
       " GÓI " &amp; COUNTIF($C$13:C357, "*Kiện*") &amp; "/" &amp; COUNTIF($C$13:$C$1000, "*Kiện*") &amp; " " &amp; AA357,
       AA357)
)</f>
        <v/>
      </c>
      <c r="F357" s="206"/>
      <c r="G357" s="206"/>
      <c r="H357" s="206"/>
      <c r="I357" s="206"/>
      <c r="J357" s="206" t="str">
        <f t="shared" si="104"/>
        <v/>
      </c>
      <c r="K357" s="206" t="str">
        <f t="shared" si="92"/>
        <v/>
      </c>
      <c r="L357" s="206" t="str">
        <f t="shared" si="93"/>
        <v/>
      </c>
      <c r="M357" s="206" t="str">
        <f t="shared" si="94"/>
        <v/>
      </c>
      <c r="N357" s="206" t="str">
        <f t="shared" si="105"/>
        <v/>
      </c>
      <c r="O357" s="206" t="str">
        <f t="shared" si="95"/>
        <v/>
      </c>
      <c r="P357" s="165" t="str">
        <f t="shared" si="96"/>
        <v/>
      </c>
      <c r="Q357" s="207"/>
      <c r="R357" s="141" t="str">
        <f>IF(S357="IN",'BOM_Phan II'!$Y$3,"")</f>
        <v/>
      </c>
      <c r="S357" s="153" t="str">
        <f t="shared" si="97"/>
        <v/>
      </c>
      <c r="T357">
        <f t="shared" si="98"/>
        <v>6</v>
      </c>
      <c r="U357" s="208" t="str">
        <f t="shared" si="106"/>
        <v>KIỆN 9</v>
      </c>
      <c r="V357" s="208" t="str">
        <f t="shared" si="99"/>
        <v/>
      </c>
      <c r="W357" s="240"/>
      <c r="X357" s="240"/>
      <c r="Y357" s="240" t="str">
        <f t="shared" si="100"/>
        <v/>
      </c>
      <c r="Z357" s="240"/>
      <c r="AD357" s="232" t="str">
        <f t="shared" si="101"/>
        <v/>
      </c>
      <c r="AE357" s="204"/>
      <c r="AX357" s="3" t="str">
        <f t="shared" si="91"/>
        <v/>
      </c>
    </row>
    <row r="358" spans="1:50" s="155" customFormat="1" ht="30" hidden="1" customHeight="1">
      <c r="A358" s="141" t="str">
        <f t="shared" si="102"/>
        <v/>
      </c>
      <c r="B358" s="141" t="str">
        <f t="shared" si="103"/>
        <v/>
      </c>
      <c r="C358" s="205" t="str" cm="1">
        <f t="array" ref="C358">IF(D358="","",
    IF(AND(ISNUMBER(D358), D358=INT(D358)),
        $V$6 &amp; " " &amp; (IFERROR(MAX($Y$12:$Y357), 0) + 1),
        IF(ISNUMBER(SEARCH(".", D358)), "", INDEX($C$12:$C358, MATCH(2, 1/($C$12:$C358 &lt;&gt; ""))))
    )
)</f>
        <v/>
      </c>
      <c r="D358" s="206"/>
      <c r="E358" s="206" t="str">
        <f>IF(AA358 = "", "",
    IF(ISNUMBER(SEARCH("Kiện", C358)),
       " GÓI " &amp; COUNTIF($C$13:C358, "*Kiện*") &amp; "/" &amp; COUNTIF($C$13:$C$1000, "*Kiện*") &amp; " " &amp; AA358,
       AA358)
)</f>
        <v/>
      </c>
      <c r="F358" s="206"/>
      <c r="G358" s="206"/>
      <c r="H358" s="206"/>
      <c r="I358" s="206"/>
      <c r="J358" s="206" t="str">
        <f t="shared" si="104"/>
        <v/>
      </c>
      <c r="K358" s="206" t="str">
        <f t="shared" si="92"/>
        <v/>
      </c>
      <c r="L358" s="206" t="str">
        <f t="shared" si="93"/>
        <v/>
      </c>
      <c r="M358" s="206" t="str">
        <f t="shared" si="94"/>
        <v/>
      </c>
      <c r="N358" s="206" t="str">
        <f t="shared" si="105"/>
        <v/>
      </c>
      <c r="O358" s="206" t="str">
        <f t="shared" si="95"/>
        <v/>
      </c>
      <c r="P358" s="165" t="str">
        <f t="shared" si="96"/>
        <v/>
      </c>
      <c r="Q358" s="207"/>
      <c r="R358" s="141" t="str">
        <f>IF(S358="IN",'BOM_Phan II'!$Y$3,"")</f>
        <v/>
      </c>
      <c r="S358" s="153" t="str">
        <f t="shared" si="97"/>
        <v/>
      </c>
      <c r="T358">
        <f t="shared" si="98"/>
        <v>6</v>
      </c>
      <c r="U358" s="208" t="str">
        <f t="shared" si="106"/>
        <v>KIỆN 9</v>
      </c>
      <c r="V358" s="208" t="str">
        <f t="shared" si="99"/>
        <v/>
      </c>
      <c r="W358" s="240"/>
      <c r="X358" s="240"/>
      <c r="Y358" s="240" t="str">
        <f t="shared" si="100"/>
        <v/>
      </c>
      <c r="Z358" s="240"/>
      <c r="AD358" s="232" t="str">
        <f t="shared" si="101"/>
        <v/>
      </c>
      <c r="AE358" s="204"/>
      <c r="AX358" s="3" t="str">
        <f t="shared" si="91"/>
        <v/>
      </c>
    </row>
    <row r="359" spans="1:50" s="155" customFormat="1" ht="30" hidden="1" customHeight="1">
      <c r="A359" s="141" t="str">
        <f t="shared" si="102"/>
        <v/>
      </c>
      <c r="B359" s="141" t="str">
        <f t="shared" si="103"/>
        <v/>
      </c>
      <c r="C359" s="205" t="str" cm="1">
        <f t="array" ref="C359">IF(D359="","",
    IF(AND(ISNUMBER(D359), D359=INT(D359)),
        $V$6 &amp; " " &amp; (IFERROR(MAX($Y$12:$Y358), 0) + 1),
        IF(ISNUMBER(SEARCH(".", D359)), "", INDEX($C$12:$C359, MATCH(2, 1/($C$12:$C359 &lt;&gt; ""))))
    )
)</f>
        <v/>
      </c>
      <c r="D359" s="206"/>
      <c r="E359" s="206" t="str">
        <f>IF(AA359 = "", "",
    IF(ISNUMBER(SEARCH("Kiện", C359)),
       " GÓI " &amp; COUNTIF($C$13:C359, "*Kiện*") &amp; "/" &amp; COUNTIF($C$13:$C$1000, "*Kiện*") &amp; " " &amp; AA359,
       AA359)
)</f>
        <v/>
      </c>
      <c r="F359" s="206"/>
      <c r="G359" s="206"/>
      <c r="H359" s="206"/>
      <c r="I359" s="206"/>
      <c r="J359" s="206" t="str">
        <f t="shared" si="104"/>
        <v/>
      </c>
      <c r="K359" s="206" t="str">
        <f t="shared" si="92"/>
        <v/>
      </c>
      <c r="L359" s="206" t="str">
        <f t="shared" si="93"/>
        <v/>
      </c>
      <c r="M359" s="206" t="str">
        <f t="shared" si="94"/>
        <v/>
      </c>
      <c r="N359" s="206" t="str">
        <f t="shared" si="105"/>
        <v/>
      </c>
      <c r="O359" s="206" t="str">
        <f t="shared" si="95"/>
        <v/>
      </c>
      <c r="P359" s="165" t="str">
        <f t="shared" si="96"/>
        <v/>
      </c>
      <c r="Q359" s="207"/>
      <c r="R359" s="141" t="str">
        <f>IF(S359="IN",'BOM_Phan II'!$Y$3,"")</f>
        <v/>
      </c>
      <c r="S359" s="153" t="str">
        <f t="shared" si="97"/>
        <v/>
      </c>
      <c r="T359">
        <f t="shared" si="98"/>
        <v>6</v>
      </c>
      <c r="U359" s="208" t="str">
        <f t="shared" si="106"/>
        <v>KIỆN 9</v>
      </c>
      <c r="V359" s="208" t="str">
        <f t="shared" si="99"/>
        <v/>
      </c>
      <c r="W359" s="240"/>
      <c r="X359" s="240"/>
      <c r="Y359" s="240" t="str">
        <f t="shared" si="100"/>
        <v/>
      </c>
      <c r="Z359" s="240"/>
      <c r="AD359" s="232" t="str">
        <f t="shared" si="101"/>
        <v/>
      </c>
      <c r="AE359" s="204"/>
      <c r="AX359" s="3" t="str">
        <f t="shared" si="91"/>
        <v/>
      </c>
    </row>
    <row r="360" spans="1:50" s="155" customFormat="1" ht="30" hidden="1" customHeight="1">
      <c r="A360" s="141" t="str">
        <f t="shared" si="102"/>
        <v/>
      </c>
      <c r="B360" s="141" t="str">
        <f t="shared" si="103"/>
        <v/>
      </c>
      <c r="C360" s="205" t="str" cm="1">
        <f t="array" ref="C360">IF(D360="","",
    IF(AND(ISNUMBER(D360), D360=INT(D360)),
        $V$6 &amp; " " &amp; (IFERROR(MAX($Y$12:$Y359), 0) + 1),
        IF(ISNUMBER(SEARCH(".", D360)), "", INDEX($C$12:$C360, MATCH(2, 1/($C$12:$C360 &lt;&gt; ""))))
    )
)</f>
        <v/>
      </c>
      <c r="D360" s="206"/>
      <c r="E360" s="206" t="str">
        <f>IF(AA360 = "", "",
    IF(ISNUMBER(SEARCH("Kiện", C360)),
       " GÓI " &amp; COUNTIF($C$13:C360, "*Kiện*") &amp; "/" &amp; COUNTIF($C$13:$C$1000, "*Kiện*") &amp; " " &amp; AA360,
       AA360)
)</f>
        <v/>
      </c>
      <c r="F360" s="206"/>
      <c r="G360" s="206"/>
      <c r="H360" s="206"/>
      <c r="I360" s="206"/>
      <c r="J360" s="206" t="str">
        <f t="shared" si="104"/>
        <v/>
      </c>
      <c r="K360" s="206" t="str">
        <f t="shared" si="92"/>
        <v/>
      </c>
      <c r="L360" s="206" t="str">
        <f t="shared" si="93"/>
        <v/>
      </c>
      <c r="M360" s="206" t="str">
        <f t="shared" si="94"/>
        <v/>
      </c>
      <c r="N360" s="206" t="str">
        <f t="shared" si="105"/>
        <v/>
      </c>
      <c r="O360" s="206" t="str">
        <f t="shared" si="95"/>
        <v/>
      </c>
      <c r="P360" s="165" t="str">
        <f t="shared" si="96"/>
        <v/>
      </c>
      <c r="Q360" s="207"/>
      <c r="R360" s="141" t="str">
        <f>IF(S360="IN",'BOM_Phan II'!$Y$3,"")</f>
        <v/>
      </c>
      <c r="S360" s="153" t="str">
        <f t="shared" si="97"/>
        <v/>
      </c>
      <c r="T360">
        <f t="shared" si="98"/>
        <v>6</v>
      </c>
      <c r="U360" s="208" t="str">
        <f t="shared" si="106"/>
        <v>KIỆN 9</v>
      </c>
      <c r="V360" s="208" t="str">
        <f t="shared" si="99"/>
        <v/>
      </c>
      <c r="W360" s="240"/>
      <c r="X360" s="240"/>
      <c r="Y360" s="240" t="str">
        <f t="shared" si="100"/>
        <v/>
      </c>
      <c r="Z360" s="240"/>
      <c r="AD360" s="232" t="str">
        <f t="shared" si="101"/>
        <v/>
      </c>
      <c r="AE360" s="204"/>
      <c r="AX360" s="3" t="str">
        <f t="shared" si="91"/>
        <v/>
      </c>
    </row>
    <row r="361" spans="1:50" s="155" customFormat="1" ht="30" hidden="1" customHeight="1">
      <c r="A361" s="141" t="str">
        <f t="shared" si="102"/>
        <v/>
      </c>
      <c r="B361" s="141" t="str">
        <f t="shared" si="103"/>
        <v/>
      </c>
      <c r="C361" s="205" t="str" cm="1">
        <f t="array" ref="C361">IF(D361="","",
    IF(AND(ISNUMBER(D361), D361=INT(D361)),
        $V$6 &amp; " " &amp; (IFERROR(MAX($Y$12:$Y360), 0) + 1),
        IF(ISNUMBER(SEARCH(".", D361)), "", INDEX($C$12:$C361, MATCH(2, 1/($C$12:$C361 &lt;&gt; ""))))
    )
)</f>
        <v/>
      </c>
      <c r="D361" s="206"/>
      <c r="E361" s="206" t="str">
        <f>IF(AA361 = "", "",
    IF(ISNUMBER(SEARCH("Kiện", C361)),
       " GÓI " &amp; COUNTIF($C$13:C361, "*Kiện*") &amp; "/" &amp; COUNTIF($C$13:$C$1000, "*Kiện*") &amp; " " &amp; AA361,
       AA361)
)</f>
        <v/>
      </c>
      <c r="F361" s="206"/>
      <c r="G361" s="206"/>
      <c r="H361" s="206"/>
      <c r="I361" s="206"/>
      <c r="J361" s="206" t="str">
        <f t="shared" si="104"/>
        <v/>
      </c>
      <c r="K361" s="206" t="str">
        <f t="shared" si="92"/>
        <v/>
      </c>
      <c r="L361" s="206" t="str">
        <f t="shared" si="93"/>
        <v/>
      </c>
      <c r="M361" s="206" t="str">
        <f t="shared" si="94"/>
        <v/>
      </c>
      <c r="N361" s="206" t="str">
        <f t="shared" si="105"/>
        <v/>
      </c>
      <c r="O361" s="206" t="str">
        <f t="shared" si="95"/>
        <v/>
      </c>
      <c r="P361" s="165" t="str">
        <f t="shared" si="96"/>
        <v/>
      </c>
      <c r="Q361" s="207"/>
      <c r="R361" s="141" t="str">
        <f>IF(S361="IN",'BOM_Phan II'!$Y$3,"")</f>
        <v/>
      </c>
      <c r="S361" s="153" t="str">
        <f t="shared" si="97"/>
        <v/>
      </c>
      <c r="T361">
        <f t="shared" si="98"/>
        <v>6</v>
      </c>
      <c r="U361" s="208" t="str">
        <f t="shared" si="106"/>
        <v>KIỆN 9</v>
      </c>
      <c r="V361" s="208" t="str">
        <f t="shared" si="99"/>
        <v/>
      </c>
      <c r="W361" s="240"/>
      <c r="X361" s="240"/>
      <c r="Y361" s="240" t="str">
        <f t="shared" si="100"/>
        <v/>
      </c>
      <c r="Z361" s="240"/>
      <c r="AD361" s="232" t="str">
        <f t="shared" si="101"/>
        <v/>
      </c>
      <c r="AE361" s="204"/>
      <c r="AX361" s="3" t="str">
        <f t="shared" si="91"/>
        <v/>
      </c>
    </row>
    <row r="362" spans="1:50" s="155" customFormat="1" ht="30" hidden="1" customHeight="1">
      <c r="A362" s="141" t="str">
        <f t="shared" si="102"/>
        <v/>
      </c>
      <c r="B362" s="141" t="str">
        <f t="shared" si="103"/>
        <v/>
      </c>
      <c r="C362" s="205" t="str" cm="1">
        <f t="array" ref="C362">IF(D362="","",
    IF(AND(ISNUMBER(D362), D362=INT(D362)),
        $V$6 &amp; " " &amp; (IFERROR(MAX($Y$12:$Y361), 0) + 1),
        IF(ISNUMBER(SEARCH(".", D362)), "", INDEX($C$12:$C362, MATCH(2, 1/($C$12:$C362 &lt;&gt; ""))))
    )
)</f>
        <v/>
      </c>
      <c r="D362" s="206"/>
      <c r="E362" s="206" t="str">
        <f>IF(AA362 = "", "",
    IF(ISNUMBER(SEARCH("Kiện", C362)),
       " GÓI " &amp; COUNTIF($C$13:C362, "*Kiện*") &amp; "/" &amp; COUNTIF($C$13:$C$1000, "*Kiện*") &amp; " " &amp; AA362,
       AA362)
)</f>
        <v/>
      </c>
      <c r="F362" s="206"/>
      <c r="G362" s="206"/>
      <c r="H362" s="206"/>
      <c r="I362" s="206"/>
      <c r="J362" s="206" t="str">
        <f t="shared" si="104"/>
        <v/>
      </c>
      <c r="K362" s="206" t="str">
        <f t="shared" si="92"/>
        <v/>
      </c>
      <c r="L362" s="206" t="str">
        <f t="shared" si="93"/>
        <v/>
      </c>
      <c r="M362" s="206" t="str">
        <f t="shared" si="94"/>
        <v/>
      </c>
      <c r="N362" s="206" t="str">
        <f t="shared" si="105"/>
        <v/>
      </c>
      <c r="O362" s="206" t="str">
        <f t="shared" si="95"/>
        <v/>
      </c>
      <c r="P362" s="165" t="str">
        <f t="shared" si="96"/>
        <v/>
      </c>
      <c r="Q362" s="207"/>
      <c r="R362" s="141" t="str">
        <f>IF(S362="IN",'BOM_Phan II'!$Y$3,"")</f>
        <v/>
      </c>
      <c r="S362" s="153" t="str">
        <f t="shared" si="97"/>
        <v/>
      </c>
      <c r="T362">
        <f t="shared" si="98"/>
        <v>6</v>
      </c>
      <c r="U362" s="208" t="str">
        <f t="shared" si="106"/>
        <v>KIỆN 9</v>
      </c>
      <c r="V362" s="208" t="str">
        <f t="shared" si="99"/>
        <v/>
      </c>
      <c r="W362" s="240"/>
      <c r="X362" s="240"/>
      <c r="Y362" s="240" t="str">
        <f t="shared" si="100"/>
        <v/>
      </c>
      <c r="Z362" s="240"/>
      <c r="AD362" s="232" t="str">
        <f t="shared" si="101"/>
        <v/>
      </c>
      <c r="AE362" s="204"/>
      <c r="AX362" s="3" t="str">
        <f t="shared" si="91"/>
        <v/>
      </c>
    </row>
    <row r="363" spans="1:50" s="155" customFormat="1" ht="30" hidden="1" customHeight="1">
      <c r="A363" s="141" t="str">
        <f t="shared" si="102"/>
        <v/>
      </c>
      <c r="B363" s="141" t="str">
        <f t="shared" si="103"/>
        <v/>
      </c>
      <c r="C363" s="205" t="str" cm="1">
        <f t="array" ref="C363">IF(D363="","",
    IF(AND(ISNUMBER(D363), D363=INT(D363)),
        $V$6 &amp; " " &amp; (IFERROR(MAX($Y$12:$Y362), 0) + 1),
        IF(ISNUMBER(SEARCH(".", D363)), "", INDEX($C$12:$C363, MATCH(2, 1/($C$12:$C363 &lt;&gt; ""))))
    )
)</f>
        <v/>
      </c>
      <c r="D363" s="206"/>
      <c r="E363" s="206" t="str">
        <f>IF(AA363 = "", "",
    IF(ISNUMBER(SEARCH("Kiện", C363)),
       " GÓI " &amp; COUNTIF($C$13:C363, "*Kiện*") &amp; "/" &amp; COUNTIF($C$13:$C$1000, "*Kiện*") &amp; " " &amp; AA363,
       AA363)
)</f>
        <v/>
      </c>
      <c r="F363" s="206"/>
      <c r="G363" s="206"/>
      <c r="H363" s="206"/>
      <c r="I363" s="206"/>
      <c r="J363" s="206" t="str">
        <f t="shared" si="104"/>
        <v/>
      </c>
      <c r="K363" s="206" t="str">
        <f t="shared" si="92"/>
        <v/>
      </c>
      <c r="L363" s="206" t="str">
        <f t="shared" si="93"/>
        <v/>
      </c>
      <c r="M363" s="206" t="str">
        <f t="shared" si="94"/>
        <v/>
      </c>
      <c r="N363" s="206" t="str">
        <f t="shared" si="105"/>
        <v/>
      </c>
      <c r="O363" s="206" t="str">
        <f t="shared" si="95"/>
        <v/>
      </c>
      <c r="P363" s="165" t="str">
        <f t="shared" si="96"/>
        <v/>
      </c>
      <c r="Q363" s="207"/>
      <c r="R363" s="141" t="str">
        <f>IF(S363="IN",'BOM_Phan II'!$Y$3,"")</f>
        <v/>
      </c>
      <c r="S363" s="153" t="str">
        <f t="shared" si="97"/>
        <v/>
      </c>
      <c r="T363">
        <f t="shared" si="98"/>
        <v>6</v>
      </c>
      <c r="U363" s="208" t="str">
        <f t="shared" si="106"/>
        <v>KIỆN 9</v>
      </c>
      <c r="V363" s="208" t="str">
        <f t="shared" si="99"/>
        <v/>
      </c>
      <c r="W363" s="240"/>
      <c r="X363" s="240"/>
      <c r="Y363" s="240" t="str">
        <f t="shared" si="100"/>
        <v/>
      </c>
      <c r="Z363" s="240"/>
      <c r="AD363" s="232" t="str">
        <f t="shared" si="101"/>
        <v/>
      </c>
      <c r="AE363" s="204"/>
      <c r="AX363" s="3" t="str">
        <f t="shared" si="91"/>
        <v/>
      </c>
    </row>
    <row r="364" spans="1:50" s="155" customFormat="1" ht="30" hidden="1" customHeight="1">
      <c r="A364" s="141" t="str">
        <f t="shared" si="102"/>
        <v/>
      </c>
      <c r="B364" s="141" t="str">
        <f t="shared" si="103"/>
        <v/>
      </c>
      <c r="C364" s="205" t="str" cm="1">
        <f t="array" ref="C364">IF(D364="","",
    IF(AND(ISNUMBER(D364), D364=INT(D364)),
        $V$6 &amp; " " &amp; (IFERROR(MAX($Y$12:$Y363), 0) + 1),
        IF(ISNUMBER(SEARCH(".", D364)), "", INDEX($C$12:$C364, MATCH(2, 1/($C$12:$C364 &lt;&gt; ""))))
    )
)</f>
        <v/>
      </c>
      <c r="D364" s="206"/>
      <c r="E364" s="206" t="str">
        <f>IF(AA364 = "", "",
    IF(ISNUMBER(SEARCH("Kiện", C364)),
       " GÓI " &amp; COUNTIF($C$13:C364, "*Kiện*") &amp; "/" &amp; COUNTIF($C$13:$C$1000, "*Kiện*") &amp; " " &amp; AA364,
       AA364)
)</f>
        <v/>
      </c>
      <c r="F364" s="206"/>
      <c r="G364" s="206"/>
      <c r="H364" s="206"/>
      <c r="I364" s="206"/>
      <c r="J364" s="206" t="str">
        <f t="shared" si="104"/>
        <v/>
      </c>
      <c r="K364" s="206" t="str">
        <f t="shared" si="92"/>
        <v/>
      </c>
      <c r="L364" s="206" t="str">
        <f t="shared" si="93"/>
        <v/>
      </c>
      <c r="M364" s="206" t="str">
        <f t="shared" si="94"/>
        <v/>
      </c>
      <c r="N364" s="206" t="str">
        <f t="shared" si="105"/>
        <v/>
      </c>
      <c r="O364" s="206" t="str">
        <f t="shared" si="95"/>
        <v/>
      </c>
      <c r="P364" s="165" t="str">
        <f t="shared" si="96"/>
        <v/>
      </c>
      <c r="Q364" s="207"/>
      <c r="R364" s="141" t="str">
        <f>IF(S364="IN",'BOM_Phan II'!$Y$3,"")</f>
        <v/>
      </c>
      <c r="S364" s="153" t="str">
        <f t="shared" si="97"/>
        <v/>
      </c>
      <c r="T364">
        <f t="shared" si="98"/>
        <v>6</v>
      </c>
      <c r="U364" s="208" t="str">
        <f t="shared" si="106"/>
        <v>KIỆN 9</v>
      </c>
      <c r="V364" s="208" t="str">
        <f t="shared" si="99"/>
        <v/>
      </c>
      <c r="W364" s="240"/>
      <c r="X364" s="240"/>
      <c r="Y364" s="240" t="str">
        <f t="shared" si="100"/>
        <v/>
      </c>
      <c r="Z364" s="240"/>
      <c r="AD364" s="232" t="str">
        <f t="shared" si="101"/>
        <v/>
      </c>
      <c r="AE364" s="204"/>
      <c r="AX364" s="3" t="str">
        <f t="shared" si="91"/>
        <v/>
      </c>
    </row>
    <row r="365" spans="1:50" s="155" customFormat="1" ht="30" hidden="1" customHeight="1">
      <c r="A365" s="141" t="str">
        <f t="shared" si="102"/>
        <v/>
      </c>
      <c r="B365" s="141" t="str">
        <f t="shared" si="103"/>
        <v/>
      </c>
      <c r="C365" s="205" t="str" cm="1">
        <f t="array" ref="C365">IF(D365="","",
    IF(AND(ISNUMBER(D365), D365=INT(D365)),
        $V$6 &amp; " " &amp; (IFERROR(MAX($Y$12:$Y364), 0) + 1),
        IF(ISNUMBER(SEARCH(".", D365)), "", INDEX($C$12:$C365, MATCH(2, 1/($C$12:$C365 &lt;&gt; ""))))
    )
)</f>
        <v/>
      </c>
      <c r="D365" s="206"/>
      <c r="E365" s="206" t="str">
        <f>IF(AA365 = "", "",
    IF(ISNUMBER(SEARCH("Kiện", C365)),
       " GÓI " &amp; COUNTIF($C$13:C365, "*Kiện*") &amp; "/" &amp; COUNTIF($C$13:$C$1000, "*Kiện*") &amp; " " &amp; AA365,
       AA365)
)</f>
        <v/>
      </c>
      <c r="F365" s="206"/>
      <c r="G365" s="206"/>
      <c r="H365" s="206"/>
      <c r="I365" s="206"/>
      <c r="J365" s="206" t="str">
        <f t="shared" si="104"/>
        <v/>
      </c>
      <c r="K365" s="206" t="str">
        <f t="shared" si="92"/>
        <v/>
      </c>
      <c r="L365" s="206" t="str">
        <f t="shared" si="93"/>
        <v/>
      </c>
      <c r="M365" s="206" t="str">
        <f t="shared" si="94"/>
        <v/>
      </c>
      <c r="N365" s="206" t="str">
        <f t="shared" si="105"/>
        <v/>
      </c>
      <c r="O365" s="206" t="str">
        <f t="shared" si="95"/>
        <v/>
      </c>
      <c r="P365" s="165" t="str">
        <f t="shared" si="96"/>
        <v/>
      </c>
      <c r="Q365" s="207"/>
      <c r="R365" s="141" t="str">
        <f>IF(S365="IN",'BOM_Phan II'!$Y$3,"")</f>
        <v/>
      </c>
      <c r="S365" s="153" t="str">
        <f t="shared" si="97"/>
        <v/>
      </c>
      <c r="T365">
        <f t="shared" si="98"/>
        <v>6</v>
      </c>
      <c r="U365" s="208" t="str">
        <f t="shared" si="106"/>
        <v>KIỆN 9</v>
      </c>
      <c r="V365" s="208" t="str">
        <f t="shared" si="99"/>
        <v/>
      </c>
      <c r="W365" s="240"/>
      <c r="X365" s="240"/>
      <c r="Y365" s="240" t="str">
        <f t="shared" si="100"/>
        <v/>
      </c>
      <c r="Z365" s="240"/>
      <c r="AD365" s="232" t="str">
        <f t="shared" si="101"/>
        <v/>
      </c>
      <c r="AE365" s="204"/>
      <c r="AX365" s="3" t="str">
        <f t="shared" si="91"/>
        <v/>
      </c>
    </row>
    <row r="366" spans="1:50" s="155" customFormat="1" ht="30" hidden="1" customHeight="1">
      <c r="A366" s="141" t="str">
        <f t="shared" si="102"/>
        <v/>
      </c>
      <c r="B366" s="141" t="str">
        <f t="shared" si="103"/>
        <v/>
      </c>
      <c r="C366" s="205" t="str" cm="1">
        <f t="array" ref="C366">IF(D366="","",
    IF(AND(ISNUMBER(D366), D366=INT(D366)),
        $V$6 &amp; " " &amp; (IFERROR(MAX($Y$12:$Y365), 0) + 1),
        IF(ISNUMBER(SEARCH(".", D366)), "", INDEX($C$12:$C366, MATCH(2, 1/($C$12:$C366 &lt;&gt; ""))))
    )
)</f>
        <v/>
      </c>
      <c r="D366" s="206"/>
      <c r="E366" s="206" t="str">
        <f>IF(AA366 = "", "",
    IF(ISNUMBER(SEARCH("Kiện", C366)),
       " GÓI " &amp; COUNTIF($C$13:C366, "*Kiện*") &amp; "/" &amp; COUNTIF($C$13:$C$1000, "*Kiện*") &amp; " " &amp; AA366,
       AA366)
)</f>
        <v/>
      </c>
      <c r="F366" s="206"/>
      <c r="G366" s="206"/>
      <c r="H366" s="206"/>
      <c r="I366" s="206"/>
      <c r="J366" s="206" t="str">
        <f t="shared" si="104"/>
        <v/>
      </c>
      <c r="K366" s="206" t="str">
        <f t="shared" si="92"/>
        <v/>
      </c>
      <c r="L366" s="206" t="str">
        <f t="shared" si="93"/>
        <v/>
      </c>
      <c r="M366" s="206" t="str">
        <f t="shared" si="94"/>
        <v/>
      </c>
      <c r="N366" s="206" t="str">
        <f t="shared" si="105"/>
        <v/>
      </c>
      <c r="O366" s="206" t="str">
        <f t="shared" si="95"/>
        <v/>
      </c>
      <c r="P366" s="165" t="str">
        <f t="shared" si="96"/>
        <v/>
      </c>
      <c r="Q366" s="207"/>
      <c r="R366" s="141" t="str">
        <f>IF(S366="IN",'BOM_Phan II'!$Y$3,"")</f>
        <v/>
      </c>
      <c r="S366" s="153" t="str">
        <f t="shared" si="97"/>
        <v/>
      </c>
      <c r="T366">
        <f t="shared" si="98"/>
        <v>6</v>
      </c>
      <c r="U366" s="208" t="str">
        <f t="shared" si="106"/>
        <v>KIỆN 9</v>
      </c>
      <c r="V366" s="208" t="str">
        <f t="shared" si="99"/>
        <v/>
      </c>
      <c r="W366" s="240"/>
      <c r="X366" s="240"/>
      <c r="Y366" s="240" t="str">
        <f t="shared" si="100"/>
        <v/>
      </c>
      <c r="Z366" s="240"/>
      <c r="AD366" s="232" t="str">
        <f t="shared" si="101"/>
        <v/>
      </c>
      <c r="AE366" s="204"/>
      <c r="AX366" s="3" t="str">
        <f t="shared" si="91"/>
        <v/>
      </c>
    </row>
    <row r="367" spans="1:50" s="155" customFormat="1" ht="30" hidden="1" customHeight="1">
      <c r="A367" s="141" t="str">
        <f t="shared" si="102"/>
        <v/>
      </c>
      <c r="B367" s="141" t="str">
        <f t="shared" si="103"/>
        <v/>
      </c>
      <c r="C367" s="205" t="str" cm="1">
        <f t="array" ref="C367">IF(D367="","",
    IF(AND(ISNUMBER(D367), D367=INT(D367)),
        $V$6 &amp; " " &amp; (IFERROR(MAX($Y$12:$Y366), 0) + 1),
        IF(ISNUMBER(SEARCH(".", D367)), "", INDEX($C$12:$C367, MATCH(2, 1/($C$12:$C367 &lt;&gt; ""))))
    )
)</f>
        <v/>
      </c>
      <c r="D367" s="206"/>
      <c r="E367" s="206" t="str">
        <f>IF(AA367 = "", "",
    IF(ISNUMBER(SEARCH("Kiện", C367)),
       " GÓI " &amp; COUNTIF($C$13:C367, "*Kiện*") &amp; "/" &amp; COUNTIF($C$13:$C$1000, "*Kiện*") &amp; " " &amp; AA367,
       AA367)
)</f>
        <v/>
      </c>
      <c r="F367" s="206"/>
      <c r="G367" s="206"/>
      <c r="H367" s="206"/>
      <c r="I367" s="206"/>
      <c r="J367" s="206" t="str">
        <f t="shared" si="104"/>
        <v/>
      </c>
      <c r="K367" s="206" t="str">
        <f t="shared" si="92"/>
        <v/>
      </c>
      <c r="L367" s="206" t="str">
        <f t="shared" si="93"/>
        <v/>
      </c>
      <c r="M367" s="206" t="str">
        <f t="shared" si="94"/>
        <v/>
      </c>
      <c r="N367" s="206" t="str">
        <f t="shared" si="105"/>
        <v/>
      </c>
      <c r="O367" s="206" t="str">
        <f t="shared" si="95"/>
        <v/>
      </c>
      <c r="P367" s="165" t="str">
        <f t="shared" si="96"/>
        <v/>
      </c>
      <c r="Q367" s="207"/>
      <c r="R367" s="141" t="str">
        <f>IF(S367="IN",'BOM_Phan II'!$Y$3,"")</f>
        <v/>
      </c>
      <c r="S367" s="153" t="str">
        <f t="shared" si="97"/>
        <v/>
      </c>
      <c r="T367">
        <f t="shared" si="98"/>
        <v>6</v>
      </c>
      <c r="U367" s="208" t="str">
        <f t="shared" si="106"/>
        <v>KIỆN 9</v>
      </c>
      <c r="V367" s="208" t="str">
        <f t="shared" si="99"/>
        <v/>
      </c>
      <c r="W367" s="240"/>
      <c r="X367" s="240"/>
      <c r="Y367" s="240" t="str">
        <f t="shared" si="100"/>
        <v/>
      </c>
      <c r="Z367" s="240"/>
      <c r="AD367" s="232" t="str">
        <f t="shared" si="101"/>
        <v/>
      </c>
      <c r="AE367" s="204"/>
      <c r="AX367" s="3" t="str">
        <f t="shared" si="91"/>
        <v/>
      </c>
    </row>
    <row r="368" spans="1:50" s="155" customFormat="1" ht="30" hidden="1" customHeight="1">
      <c r="A368" s="141" t="str">
        <f t="shared" si="102"/>
        <v/>
      </c>
      <c r="B368" s="141" t="str">
        <f t="shared" si="103"/>
        <v/>
      </c>
      <c r="C368" s="205" t="str" cm="1">
        <f t="array" ref="C368">IF(D368="","",
    IF(AND(ISNUMBER(D368), D368=INT(D368)),
        $V$6 &amp; " " &amp; (IFERROR(MAX($Y$12:$Y367), 0) + 1),
        IF(ISNUMBER(SEARCH(".", D368)), "", INDEX($C$12:$C368, MATCH(2, 1/($C$12:$C368 &lt;&gt; ""))))
    )
)</f>
        <v/>
      </c>
      <c r="D368" s="206"/>
      <c r="E368" s="206" t="str">
        <f>IF(AA368 = "", "",
    IF(ISNUMBER(SEARCH("Kiện", C368)),
       " GÓI " &amp; COUNTIF($C$13:C368, "*Kiện*") &amp; "/" &amp; COUNTIF($C$13:$C$1000, "*Kiện*") &amp; " " &amp; AA368,
       AA368)
)</f>
        <v/>
      </c>
      <c r="F368" s="206"/>
      <c r="G368" s="206"/>
      <c r="H368" s="206"/>
      <c r="I368" s="206"/>
      <c r="J368" s="206" t="str">
        <f t="shared" si="104"/>
        <v/>
      </c>
      <c r="K368" s="206" t="str">
        <f t="shared" si="92"/>
        <v/>
      </c>
      <c r="L368" s="206" t="str">
        <f t="shared" si="93"/>
        <v/>
      </c>
      <c r="M368" s="206" t="str">
        <f t="shared" si="94"/>
        <v/>
      </c>
      <c r="N368" s="206" t="str">
        <f t="shared" si="105"/>
        <v/>
      </c>
      <c r="O368" s="206" t="str">
        <f t="shared" si="95"/>
        <v/>
      </c>
      <c r="P368" s="165" t="str">
        <f t="shared" si="96"/>
        <v/>
      </c>
      <c r="Q368" s="207"/>
      <c r="R368" s="141" t="str">
        <f>IF(S368="IN",'BOM_Phan II'!$Y$3,"")</f>
        <v/>
      </c>
      <c r="S368" s="153" t="str">
        <f t="shared" si="97"/>
        <v/>
      </c>
      <c r="T368">
        <f t="shared" si="98"/>
        <v>6</v>
      </c>
      <c r="U368" s="208" t="str">
        <f t="shared" si="106"/>
        <v>KIỆN 9</v>
      </c>
      <c r="V368" s="208" t="str">
        <f t="shared" si="99"/>
        <v/>
      </c>
      <c r="W368" s="240"/>
      <c r="X368" s="240"/>
      <c r="Y368" s="240" t="str">
        <f t="shared" si="100"/>
        <v/>
      </c>
      <c r="Z368" s="240"/>
      <c r="AD368" s="232" t="str">
        <f t="shared" si="101"/>
        <v/>
      </c>
      <c r="AE368" s="204"/>
      <c r="AX368" s="3" t="str">
        <f t="shared" si="91"/>
        <v/>
      </c>
    </row>
    <row r="369" spans="1:50" s="155" customFormat="1" ht="30" hidden="1" customHeight="1">
      <c r="A369" s="141" t="str">
        <f t="shared" si="102"/>
        <v/>
      </c>
      <c r="B369" s="141" t="str">
        <f t="shared" si="103"/>
        <v/>
      </c>
      <c r="C369" s="205" t="str" cm="1">
        <f t="array" ref="C369">IF(D369="","",
    IF(AND(ISNUMBER(D369), D369=INT(D369)),
        $V$6 &amp; " " &amp; (IFERROR(MAX($Y$12:$Y368), 0) + 1),
        IF(ISNUMBER(SEARCH(".", D369)), "", INDEX($C$12:$C369, MATCH(2, 1/($C$12:$C369 &lt;&gt; ""))))
    )
)</f>
        <v/>
      </c>
      <c r="D369" s="206"/>
      <c r="E369" s="206" t="str">
        <f>IF(AA369 = "", "",
    IF(ISNUMBER(SEARCH("Kiện", C369)),
       " GÓI " &amp; COUNTIF($C$13:C369, "*Kiện*") &amp; "/" &amp; COUNTIF($C$13:$C$1000, "*Kiện*") &amp; " " &amp; AA369,
       AA369)
)</f>
        <v/>
      </c>
      <c r="F369" s="206"/>
      <c r="G369" s="206"/>
      <c r="H369" s="206"/>
      <c r="I369" s="206"/>
      <c r="J369" s="206" t="str">
        <f t="shared" si="104"/>
        <v/>
      </c>
      <c r="K369" s="206" t="str">
        <f t="shared" si="92"/>
        <v/>
      </c>
      <c r="L369" s="206" t="str">
        <f t="shared" si="93"/>
        <v/>
      </c>
      <c r="M369" s="206" t="str">
        <f t="shared" si="94"/>
        <v/>
      </c>
      <c r="N369" s="206" t="str">
        <f t="shared" si="105"/>
        <v/>
      </c>
      <c r="O369" s="206" t="str">
        <f t="shared" si="95"/>
        <v/>
      </c>
      <c r="P369" s="165" t="str">
        <f t="shared" si="96"/>
        <v/>
      </c>
      <c r="Q369" s="207"/>
      <c r="R369" s="141" t="str">
        <f>IF(S369="IN",'BOM_Phan II'!$Y$3,"")</f>
        <v/>
      </c>
      <c r="S369" s="153" t="str">
        <f t="shared" si="97"/>
        <v/>
      </c>
      <c r="T369">
        <f t="shared" si="98"/>
        <v>6</v>
      </c>
      <c r="U369" s="208" t="str">
        <f t="shared" si="106"/>
        <v>KIỆN 9</v>
      </c>
      <c r="V369" s="208" t="str">
        <f t="shared" si="99"/>
        <v/>
      </c>
      <c r="W369" s="240"/>
      <c r="X369" s="240"/>
      <c r="Y369" s="240" t="str">
        <f t="shared" si="100"/>
        <v/>
      </c>
      <c r="Z369" s="240"/>
      <c r="AD369" s="232" t="str">
        <f t="shared" si="101"/>
        <v/>
      </c>
      <c r="AE369" s="204"/>
      <c r="AX369" s="3" t="str">
        <f t="shared" si="91"/>
        <v/>
      </c>
    </row>
    <row r="370" spans="1:50" s="155" customFormat="1" ht="30" hidden="1" customHeight="1">
      <c r="A370" s="141" t="str">
        <f t="shared" si="102"/>
        <v/>
      </c>
      <c r="B370" s="141" t="str">
        <f t="shared" si="103"/>
        <v/>
      </c>
      <c r="C370" s="205" t="str" cm="1">
        <f t="array" ref="C370">IF(D370="","",
    IF(AND(ISNUMBER(D370), D370=INT(D370)),
        $V$6 &amp; " " &amp; (IFERROR(MAX($Y$12:$Y369), 0) + 1),
        IF(ISNUMBER(SEARCH(".", D370)), "", INDEX($C$12:$C370, MATCH(2, 1/($C$12:$C370 &lt;&gt; ""))))
    )
)</f>
        <v/>
      </c>
      <c r="D370" s="206"/>
      <c r="E370" s="206" t="str">
        <f>IF(AA370 = "", "",
    IF(ISNUMBER(SEARCH("Kiện", C370)),
       " GÓI " &amp; COUNTIF($C$13:C370, "*Kiện*") &amp; "/" &amp; COUNTIF($C$13:$C$1000, "*Kiện*") &amp; " " &amp; AA370,
       AA370)
)</f>
        <v/>
      </c>
      <c r="F370" s="206"/>
      <c r="G370" s="206"/>
      <c r="H370" s="206"/>
      <c r="I370" s="206"/>
      <c r="J370" s="206" t="str">
        <f t="shared" si="104"/>
        <v/>
      </c>
      <c r="K370" s="206" t="str">
        <f t="shared" si="92"/>
        <v/>
      </c>
      <c r="L370" s="206" t="str">
        <f t="shared" si="93"/>
        <v/>
      </c>
      <c r="M370" s="206" t="str">
        <f t="shared" si="94"/>
        <v/>
      </c>
      <c r="N370" s="206" t="str">
        <f t="shared" si="105"/>
        <v/>
      </c>
      <c r="O370" s="206" t="str">
        <f t="shared" si="95"/>
        <v/>
      </c>
      <c r="P370" s="165" t="str">
        <f t="shared" si="96"/>
        <v/>
      </c>
      <c r="Q370" s="207"/>
      <c r="R370" s="141" t="str">
        <f>IF(S370="IN",'BOM_Phan II'!$Y$3,"")</f>
        <v/>
      </c>
      <c r="S370" s="153" t="str">
        <f t="shared" si="97"/>
        <v/>
      </c>
      <c r="T370">
        <f t="shared" si="98"/>
        <v>6</v>
      </c>
      <c r="U370" s="208" t="str">
        <f t="shared" si="106"/>
        <v>KIỆN 9</v>
      </c>
      <c r="V370" s="208" t="str">
        <f t="shared" si="99"/>
        <v/>
      </c>
      <c r="W370" s="240"/>
      <c r="X370" s="240"/>
      <c r="Y370" s="240" t="str">
        <f t="shared" si="100"/>
        <v/>
      </c>
      <c r="Z370" s="240"/>
      <c r="AD370" s="232" t="str">
        <f t="shared" si="101"/>
        <v/>
      </c>
      <c r="AE370" s="204"/>
      <c r="AX370" s="3" t="str">
        <f t="shared" si="91"/>
        <v/>
      </c>
    </row>
    <row r="371" spans="1:50" s="155" customFormat="1" ht="30" hidden="1" customHeight="1">
      <c r="A371" s="141" t="str">
        <f t="shared" si="102"/>
        <v/>
      </c>
      <c r="B371" s="141" t="str">
        <f t="shared" si="103"/>
        <v/>
      </c>
      <c r="C371" s="205" t="str" cm="1">
        <f t="array" ref="C371">IF(D371="","",
    IF(AND(ISNUMBER(D371), D371=INT(D371)),
        $V$6 &amp; " " &amp; (IFERROR(MAX($Y$12:$Y370), 0) + 1),
        IF(ISNUMBER(SEARCH(".", D371)), "", INDEX($C$12:$C371, MATCH(2, 1/($C$12:$C371 &lt;&gt; ""))))
    )
)</f>
        <v/>
      </c>
      <c r="D371" s="206"/>
      <c r="E371" s="206" t="str">
        <f>IF(AA371 = "", "",
    IF(ISNUMBER(SEARCH("Kiện", C371)),
       " GÓI " &amp; COUNTIF($C$13:C371, "*Kiện*") &amp; "/" &amp; COUNTIF($C$13:$C$1000, "*Kiện*") &amp; " " &amp; AA371,
       AA371)
)</f>
        <v/>
      </c>
      <c r="F371" s="206"/>
      <c r="G371" s="206"/>
      <c r="H371" s="206"/>
      <c r="I371" s="206"/>
      <c r="J371" s="206" t="str">
        <f t="shared" si="104"/>
        <v/>
      </c>
      <c r="K371" s="206" t="str">
        <f t="shared" si="92"/>
        <v/>
      </c>
      <c r="L371" s="206" t="str">
        <f t="shared" si="93"/>
        <v/>
      </c>
      <c r="M371" s="206" t="str">
        <f t="shared" si="94"/>
        <v/>
      </c>
      <c r="N371" s="206" t="str">
        <f t="shared" si="105"/>
        <v/>
      </c>
      <c r="O371" s="206" t="str">
        <f t="shared" si="95"/>
        <v/>
      </c>
      <c r="P371" s="165" t="str">
        <f t="shared" si="96"/>
        <v/>
      </c>
      <c r="Q371" s="207"/>
      <c r="R371" s="141" t="str">
        <f>IF(S371="IN",'BOM_Phan II'!$Y$3,"")</f>
        <v/>
      </c>
      <c r="S371" s="153" t="str">
        <f t="shared" si="97"/>
        <v/>
      </c>
      <c r="T371">
        <f t="shared" si="98"/>
        <v>6</v>
      </c>
      <c r="U371" s="208" t="str">
        <f t="shared" si="106"/>
        <v>KIỆN 9</v>
      </c>
      <c r="V371" s="208" t="str">
        <f t="shared" si="99"/>
        <v/>
      </c>
      <c r="W371" s="240"/>
      <c r="X371" s="240"/>
      <c r="Y371" s="240" t="str">
        <f t="shared" si="100"/>
        <v/>
      </c>
      <c r="Z371" s="240"/>
      <c r="AD371" s="232" t="str">
        <f t="shared" si="101"/>
        <v/>
      </c>
      <c r="AE371" s="204"/>
      <c r="AX371" s="3" t="str">
        <f t="shared" si="91"/>
        <v/>
      </c>
    </row>
    <row r="372" spans="1:50" s="155" customFormat="1" ht="30" hidden="1" customHeight="1">
      <c r="A372" s="141" t="str">
        <f t="shared" si="102"/>
        <v/>
      </c>
      <c r="B372" s="141" t="str">
        <f t="shared" si="103"/>
        <v/>
      </c>
      <c r="C372" s="205" t="str" cm="1">
        <f t="array" ref="C372">IF(D372="","",
    IF(AND(ISNUMBER(D372), D372=INT(D372)),
        $V$6 &amp; " " &amp; (IFERROR(MAX($Y$12:$Y371), 0) + 1),
        IF(ISNUMBER(SEARCH(".", D372)), "", INDEX($C$12:$C372, MATCH(2, 1/($C$12:$C372 &lt;&gt; ""))))
    )
)</f>
        <v/>
      </c>
      <c r="D372" s="206"/>
      <c r="E372" s="206" t="str">
        <f>IF(AA372 = "", "",
    IF(ISNUMBER(SEARCH("Kiện", C372)),
       " GÓI " &amp; COUNTIF($C$13:C372, "*Kiện*") &amp; "/" &amp; COUNTIF($C$13:$C$1000, "*Kiện*") &amp; " " &amp; AA372,
       AA372)
)</f>
        <v/>
      </c>
      <c r="F372" s="206"/>
      <c r="G372" s="206"/>
      <c r="H372" s="206"/>
      <c r="I372" s="206"/>
      <c r="J372" s="206" t="str">
        <f t="shared" si="104"/>
        <v/>
      </c>
      <c r="K372" s="206" t="str">
        <f t="shared" si="92"/>
        <v/>
      </c>
      <c r="L372" s="206" t="str">
        <f t="shared" si="93"/>
        <v/>
      </c>
      <c r="M372" s="206" t="str">
        <f t="shared" si="94"/>
        <v/>
      </c>
      <c r="N372" s="206" t="str">
        <f t="shared" si="105"/>
        <v/>
      </c>
      <c r="O372" s="206" t="str">
        <f t="shared" si="95"/>
        <v/>
      </c>
      <c r="P372" s="165" t="str">
        <f t="shared" si="96"/>
        <v/>
      </c>
      <c r="Q372" s="207"/>
      <c r="R372" s="141" t="str">
        <f>IF(S372="IN",'BOM_Phan II'!$Y$3,"")</f>
        <v/>
      </c>
      <c r="S372" s="153" t="str">
        <f t="shared" si="97"/>
        <v/>
      </c>
      <c r="T372">
        <f t="shared" si="98"/>
        <v>6</v>
      </c>
      <c r="U372" s="208" t="str">
        <f t="shared" si="106"/>
        <v>KIỆN 9</v>
      </c>
      <c r="V372" s="208" t="str">
        <f t="shared" si="99"/>
        <v/>
      </c>
      <c r="W372" s="240"/>
      <c r="X372" s="240"/>
      <c r="Y372" s="240" t="str">
        <f t="shared" si="100"/>
        <v/>
      </c>
      <c r="Z372" s="240"/>
      <c r="AD372" s="232" t="str">
        <f t="shared" si="101"/>
        <v/>
      </c>
      <c r="AE372" s="204"/>
      <c r="AX372" s="3" t="str">
        <f t="shared" si="91"/>
        <v/>
      </c>
    </row>
    <row r="373" spans="1:50" s="155" customFormat="1" ht="30" hidden="1" customHeight="1">
      <c r="A373" s="141" t="str">
        <f t="shared" si="102"/>
        <v/>
      </c>
      <c r="B373" s="141" t="str">
        <f t="shared" si="103"/>
        <v/>
      </c>
      <c r="C373" s="205" t="str" cm="1">
        <f t="array" ref="C373">IF(D373="","",
    IF(AND(ISNUMBER(D373), D373=INT(D373)),
        $V$6 &amp; " " &amp; (IFERROR(MAX($Y$12:$Y372), 0) + 1),
        IF(ISNUMBER(SEARCH(".", D373)), "", INDEX($C$12:$C373, MATCH(2, 1/($C$12:$C373 &lt;&gt; ""))))
    )
)</f>
        <v/>
      </c>
      <c r="D373" s="206"/>
      <c r="E373" s="206" t="str">
        <f>IF(AA373 = "", "",
    IF(ISNUMBER(SEARCH("Kiện", C373)),
       " GÓI " &amp; COUNTIF($C$13:C373, "*Kiện*") &amp; "/" &amp; COUNTIF($C$13:$C$1000, "*Kiện*") &amp; " " &amp; AA373,
       AA373)
)</f>
        <v/>
      </c>
      <c r="F373" s="206"/>
      <c r="G373" s="206"/>
      <c r="H373" s="206"/>
      <c r="I373" s="206"/>
      <c r="J373" s="206" t="str">
        <f t="shared" si="104"/>
        <v/>
      </c>
      <c r="K373" s="206" t="str">
        <f t="shared" si="92"/>
        <v/>
      </c>
      <c r="L373" s="206" t="str">
        <f t="shared" si="93"/>
        <v/>
      </c>
      <c r="M373" s="206" t="str">
        <f t="shared" si="94"/>
        <v/>
      </c>
      <c r="N373" s="206" t="str">
        <f t="shared" si="105"/>
        <v/>
      </c>
      <c r="O373" s="206" t="str">
        <f t="shared" si="95"/>
        <v/>
      </c>
      <c r="P373" s="165" t="str">
        <f t="shared" si="96"/>
        <v/>
      </c>
      <c r="Q373" s="207"/>
      <c r="R373" s="141" t="str">
        <f>IF(S373="IN",'BOM_Phan II'!$Y$3,"")</f>
        <v/>
      </c>
      <c r="S373" s="153" t="str">
        <f t="shared" si="97"/>
        <v/>
      </c>
      <c r="T373">
        <f t="shared" si="98"/>
        <v>6</v>
      </c>
      <c r="U373" s="208" t="str">
        <f t="shared" si="106"/>
        <v>KIỆN 9</v>
      </c>
      <c r="V373" s="208" t="str">
        <f t="shared" si="99"/>
        <v/>
      </c>
      <c r="W373" s="240"/>
      <c r="X373" s="240"/>
      <c r="Y373" s="240" t="str">
        <f t="shared" si="100"/>
        <v/>
      </c>
      <c r="Z373" s="240"/>
      <c r="AD373" s="232" t="str">
        <f t="shared" si="101"/>
        <v/>
      </c>
      <c r="AE373" s="204"/>
      <c r="AX373" s="3" t="str">
        <f t="shared" si="91"/>
        <v/>
      </c>
    </row>
    <row r="374" spans="1:50" s="155" customFormat="1" ht="30" hidden="1" customHeight="1">
      <c r="A374" s="141" t="str">
        <f t="shared" si="102"/>
        <v/>
      </c>
      <c r="B374" s="141" t="str">
        <f t="shared" si="103"/>
        <v/>
      </c>
      <c r="C374" s="205" t="str" cm="1">
        <f t="array" ref="C374">IF(D374="","",
    IF(AND(ISNUMBER(D374), D374=INT(D374)),
        $V$6 &amp; " " &amp; (IFERROR(MAX($Y$12:$Y373), 0) + 1),
        IF(ISNUMBER(SEARCH(".", D374)), "", INDEX($C$12:$C374, MATCH(2, 1/($C$12:$C374 &lt;&gt; ""))))
    )
)</f>
        <v/>
      </c>
      <c r="D374" s="206"/>
      <c r="E374" s="206" t="str">
        <f>IF(AA374 = "", "",
    IF(ISNUMBER(SEARCH("Kiện", C374)),
       " GÓI " &amp; COUNTIF($C$13:C374, "*Kiện*") &amp; "/" &amp; COUNTIF($C$13:$C$1000, "*Kiện*") &amp; " " &amp; AA374,
       AA374)
)</f>
        <v/>
      </c>
      <c r="F374" s="206"/>
      <c r="G374" s="206"/>
      <c r="H374" s="206"/>
      <c r="I374" s="206"/>
      <c r="J374" s="206" t="str">
        <f t="shared" si="104"/>
        <v/>
      </c>
      <c r="K374" s="206" t="str">
        <f t="shared" si="92"/>
        <v/>
      </c>
      <c r="L374" s="206" t="str">
        <f t="shared" si="93"/>
        <v/>
      </c>
      <c r="M374" s="206" t="str">
        <f t="shared" si="94"/>
        <v/>
      </c>
      <c r="N374" s="206" t="str">
        <f t="shared" si="105"/>
        <v/>
      </c>
      <c r="O374" s="206" t="str">
        <f t="shared" si="95"/>
        <v/>
      </c>
      <c r="P374" s="165" t="str">
        <f t="shared" si="96"/>
        <v/>
      </c>
      <c r="Q374" s="207"/>
      <c r="R374" s="141" t="str">
        <f>IF(S374="IN",'BOM_Phan II'!$Y$3,"")</f>
        <v/>
      </c>
      <c r="S374" s="153" t="str">
        <f t="shared" si="97"/>
        <v/>
      </c>
      <c r="T374">
        <f t="shared" si="98"/>
        <v>6</v>
      </c>
      <c r="U374" s="208" t="str">
        <f t="shared" si="106"/>
        <v>KIỆN 9</v>
      </c>
      <c r="V374" s="208" t="str">
        <f t="shared" si="99"/>
        <v/>
      </c>
      <c r="W374" s="240"/>
      <c r="X374" s="240"/>
      <c r="Y374" s="240" t="str">
        <f t="shared" si="100"/>
        <v/>
      </c>
      <c r="Z374" s="240"/>
      <c r="AD374" s="232" t="str">
        <f t="shared" si="101"/>
        <v/>
      </c>
      <c r="AE374" s="204"/>
      <c r="AX374" s="3" t="str">
        <f t="shared" si="91"/>
        <v/>
      </c>
    </row>
    <row r="375" spans="1:50" s="155" customFormat="1" ht="30" hidden="1" customHeight="1">
      <c r="A375" s="141" t="str">
        <f t="shared" si="102"/>
        <v/>
      </c>
      <c r="B375" s="141" t="str">
        <f t="shared" si="103"/>
        <v/>
      </c>
      <c r="C375" s="205" t="str" cm="1">
        <f t="array" ref="C375">IF(D375="","",
    IF(AND(ISNUMBER(D375), D375=INT(D375)),
        $V$6 &amp; " " &amp; (IFERROR(MAX($Y$12:$Y374), 0) + 1),
        IF(ISNUMBER(SEARCH(".", D375)), "", INDEX($C$12:$C375, MATCH(2, 1/($C$12:$C375 &lt;&gt; ""))))
    )
)</f>
        <v/>
      </c>
      <c r="D375" s="206"/>
      <c r="E375" s="206" t="str">
        <f>IF(AA375 = "", "",
    IF(ISNUMBER(SEARCH("Kiện", C375)),
       " GÓI " &amp; COUNTIF($C$13:C375, "*Kiện*") &amp; "/" &amp; COUNTIF($C$13:$C$1000, "*Kiện*") &amp; " " &amp; AA375,
       AA375)
)</f>
        <v/>
      </c>
      <c r="F375" s="206"/>
      <c r="G375" s="206"/>
      <c r="H375" s="206"/>
      <c r="I375" s="206"/>
      <c r="J375" s="206" t="str">
        <f t="shared" si="104"/>
        <v/>
      </c>
      <c r="K375" s="206" t="str">
        <f t="shared" si="92"/>
        <v/>
      </c>
      <c r="L375" s="206" t="str">
        <f t="shared" si="93"/>
        <v/>
      </c>
      <c r="M375" s="206" t="str">
        <f t="shared" si="94"/>
        <v/>
      </c>
      <c r="N375" s="206" t="str">
        <f t="shared" si="105"/>
        <v/>
      </c>
      <c r="O375" s="206" t="str">
        <f t="shared" si="95"/>
        <v/>
      </c>
      <c r="P375" s="165" t="str">
        <f t="shared" si="96"/>
        <v/>
      </c>
      <c r="Q375" s="207"/>
      <c r="R375" s="141" t="str">
        <f>IF(S375="IN",'BOM_Phan II'!$Y$3,"")</f>
        <v/>
      </c>
      <c r="S375" s="153" t="str">
        <f t="shared" si="97"/>
        <v/>
      </c>
      <c r="T375">
        <f t="shared" si="98"/>
        <v>6</v>
      </c>
      <c r="U375" s="208" t="str">
        <f t="shared" si="106"/>
        <v>KIỆN 9</v>
      </c>
      <c r="V375" s="208" t="str">
        <f t="shared" si="99"/>
        <v/>
      </c>
      <c r="W375" s="240"/>
      <c r="X375" s="240"/>
      <c r="Y375" s="240" t="str">
        <f t="shared" si="100"/>
        <v/>
      </c>
      <c r="Z375" s="240"/>
      <c r="AD375" s="232" t="str">
        <f t="shared" si="101"/>
        <v/>
      </c>
      <c r="AE375" s="204"/>
      <c r="AX375" s="3" t="str">
        <f t="shared" si="91"/>
        <v/>
      </c>
    </row>
    <row r="376" spans="1:50" s="155" customFormat="1" ht="30" hidden="1" customHeight="1">
      <c r="A376" s="141" t="str">
        <f t="shared" si="102"/>
        <v/>
      </c>
      <c r="B376" s="141" t="str">
        <f t="shared" si="103"/>
        <v/>
      </c>
      <c r="C376" s="205" t="str" cm="1">
        <f t="array" ref="C376">IF(D376="","",
    IF(AND(ISNUMBER(D376), D376=INT(D376)),
        $V$6 &amp; " " &amp; (IFERROR(MAX($Y$12:$Y375), 0) + 1),
        IF(ISNUMBER(SEARCH(".", D376)), "", INDEX($C$12:$C376, MATCH(2, 1/($C$12:$C376 &lt;&gt; ""))))
    )
)</f>
        <v/>
      </c>
      <c r="D376" s="206"/>
      <c r="E376" s="206" t="str">
        <f>IF(AA376 = "", "",
    IF(ISNUMBER(SEARCH("Kiện", C376)),
       " GÓI " &amp; COUNTIF($C$13:C376, "*Kiện*") &amp; "/" &amp; COUNTIF($C$13:$C$1000, "*Kiện*") &amp; " " &amp; AA376,
       AA376)
)</f>
        <v/>
      </c>
      <c r="F376" s="206"/>
      <c r="G376" s="206"/>
      <c r="H376" s="206"/>
      <c r="I376" s="206"/>
      <c r="J376" s="206" t="str">
        <f t="shared" si="104"/>
        <v/>
      </c>
      <c r="K376" s="206" t="str">
        <f t="shared" si="92"/>
        <v/>
      </c>
      <c r="L376" s="206" t="str">
        <f t="shared" si="93"/>
        <v/>
      </c>
      <c r="M376" s="206" t="str">
        <f t="shared" si="94"/>
        <v/>
      </c>
      <c r="N376" s="206" t="str">
        <f t="shared" si="105"/>
        <v/>
      </c>
      <c r="O376" s="206" t="str">
        <f t="shared" si="95"/>
        <v/>
      </c>
      <c r="P376" s="165" t="str">
        <f t="shared" si="96"/>
        <v/>
      </c>
      <c r="Q376" s="207"/>
      <c r="R376" s="141" t="str">
        <f>IF(S376="IN",'BOM_Phan II'!$Y$3,"")</f>
        <v/>
      </c>
      <c r="S376" s="153" t="str">
        <f t="shared" si="97"/>
        <v/>
      </c>
      <c r="T376">
        <f t="shared" si="98"/>
        <v>6</v>
      </c>
      <c r="U376" s="208" t="str">
        <f t="shared" si="106"/>
        <v>KIỆN 9</v>
      </c>
      <c r="V376" s="208" t="str">
        <f t="shared" si="99"/>
        <v/>
      </c>
      <c r="W376" s="240"/>
      <c r="X376" s="240"/>
      <c r="Y376" s="240" t="str">
        <f t="shared" si="100"/>
        <v/>
      </c>
      <c r="Z376" s="240"/>
      <c r="AD376" s="232" t="str">
        <f t="shared" si="101"/>
        <v/>
      </c>
      <c r="AE376" s="204"/>
      <c r="AX376" s="3" t="str">
        <f t="shared" si="91"/>
        <v/>
      </c>
    </row>
    <row r="377" spans="1:50" s="155" customFormat="1" ht="30" hidden="1" customHeight="1">
      <c r="A377" s="141" t="str">
        <f t="shared" si="102"/>
        <v/>
      </c>
      <c r="B377" s="141" t="str">
        <f t="shared" si="103"/>
        <v/>
      </c>
      <c r="C377" s="205" t="str" cm="1">
        <f t="array" ref="C377">IF(D377="","",
    IF(AND(ISNUMBER(D377), D377=INT(D377)),
        $V$6 &amp; " " &amp; (IFERROR(MAX($Y$12:$Y376), 0) + 1),
        IF(ISNUMBER(SEARCH(".", D377)), "", INDEX($C$12:$C377, MATCH(2, 1/($C$12:$C377 &lt;&gt; ""))))
    )
)</f>
        <v/>
      </c>
      <c r="D377" s="206"/>
      <c r="E377" s="206" t="str">
        <f>IF(AA377 = "", "",
    IF(ISNUMBER(SEARCH("Kiện", C377)),
       " GÓI " &amp; COUNTIF($C$13:C377, "*Kiện*") &amp; "/" &amp; COUNTIF($C$13:$C$1000, "*Kiện*") &amp; " " &amp; AA377,
       AA377)
)</f>
        <v/>
      </c>
      <c r="F377" s="206"/>
      <c r="G377" s="206"/>
      <c r="H377" s="206"/>
      <c r="I377" s="206"/>
      <c r="J377" s="206" t="str">
        <f t="shared" si="104"/>
        <v/>
      </c>
      <c r="K377" s="206" t="str">
        <f t="shared" si="92"/>
        <v/>
      </c>
      <c r="L377" s="206" t="str">
        <f t="shared" si="93"/>
        <v/>
      </c>
      <c r="M377" s="206" t="str">
        <f t="shared" si="94"/>
        <v/>
      </c>
      <c r="N377" s="206" t="str">
        <f t="shared" si="105"/>
        <v/>
      </c>
      <c r="O377" s="206" t="str">
        <f t="shared" si="95"/>
        <v/>
      </c>
      <c r="P377" s="165" t="str">
        <f t="shared" si="96"/>
        <v/>
      </c>
      <c r="Q377" s="207"/>
      <c r="R377" s="141" t="str">
        <f>IF(S377="IN",'BOM_Phan II'!$Y$3,"")</f>
        <v/>
      </c>
      <c r="S377" s="153" t="str">
        <f t="shared" si="97"/>
        <v/>
      </c>
      <c r="T377">
        <f t="shared" si="98"/>
        <v>6</v>
      </c>
      <c r="U377" s="208" t="str">
        <f t="shared" si="106"/>
        <v>KIỆN 9</v>
      </c>
      <c r="V377" s="208" t="str">
        <f t="shared" si="99"/>
        <v/>
      </c>
      <c r="W377" s="240"/>
      <c r="X377" s="240"/>
      <c r="Y377" s="240" t="str">
        <f t="shared" si="100"/>
        <v/>
      </c>
      <c r="Z377" s="240"/>
      <c r="AD377" s="232" t="str">
        <f t="shared" si="101"/>
        <v/>
      </c>
      <c r="AE377" s="204"/>
      <c r="AX377" s="3" t="str">
        <f t="shared" si="91"/>
        <v/>
      </c>
    </row>
    <row r="378" spans="1:50" s="155" customFormat="1" ht="30" hidden="1" customHeight="1">
      <c r="A378" s="141" t="str">
        <f t="shared" si="102"/>
        <v/>
      </c>
      <c r="B378" s="141" t="str">
        <f t="shared" si="103"/>
        <v/>
      </c>
      <c r="C378" s="205" t="str" cm="1">
        <f t="array" ref="C378">IF(D378="","",
    IF(AND(ISNUMBER(D378), D378=INT(D378)),
        $V$6 &amp; " " &amp; (IFERROR(MAX($Y$12:$Y377), 0) + 1),
        IF(ISNUMBER(SEARCH(".", D378)), "", INDEX($C$12:$C378, MATCH(2, 1/($C$12:$C378 &lt;&gt; ""))))
    )
)</f>
        <v/>
      </c>
      <c r="D378" s="206"/>
      <c r="E378" s="206" t="str">
        <f>IF(AA378 = "", "",
    IF(ISNUMBER(SEARCH("Kiện", C378)),
       " GÓI " &amp; COUNTIF($C$13:C378, "*Kiện*") &amp; "/" &amp; COUNTIF($C$13:$C$1000, "*Kiện*") &amp; " " &amp; AA378,
       AA378)
)</f>
        <v/>
      </c>
      <c r="F378" s="206"/>
      <c r="G378" s="206"/>
      <c r="H378" s="206"/>
      <c r="I378" s="206"/>
      <c r="J378" s="206" t="str">
        <f t="shared" si="104"/>
        <v/>
      </c>
      <c r="K378" s="206" t="str">
        <f t="shared" si="92"/>
        <v/>
      </c>
      <c r="L378" s="206" t="str">
        <f t="shared" si="93"/>
        <v/>
      </c>
      <c r="M378" s="206" t="str">
        <f t="shared" si="94"/>
        <v/>
      </c>
      <c r="N378" s="206" t="str">
        <f t="shared" si="105"/>
        <v/>
      </c>
      <c r="O378" s="206" t="str">
        <f t="shared" si="95"/>
        <v/>
      </c>
      <c r="P378" s="165" t="str">
        <f t="shared" si="96"/>
        <v/>
      </c>
      <c r="Q378" s="207"/>
      <c r="R378" s="141" t="str">
        <f>IF(S378="IN",'BOM_Phan II'!$Y$3,"")</f>
        <v/>
      </c>
      <c r="S378" s="153" t="str">
        <f t="shared" si="97"/>
        <v/>
      </c>
      <c r="T378">
        <f t="shared" si="98"/>
        <v>6</v>
      </c>
      <c r="U378" s="208" t="str">
        <f t="shared" si="106"/>
        <v>KIỆN 9</v>
      </c>
      <c r="V378" s="208" t="str">
        <f t="shared" si="99"/>
        <v/>
      </c>
      <c r="W378" s="240"/>
      <c r="X378" s="240"/>
      <c r="Y378" s="240" t="str">
        <f t="shared" si="100"/>
        <v/>
      </c>
      <c r="Z378" s="240"/>
      <c r="AD378" s="232" t="str">
        <f t="shared" si="101"/>
        <v/>
      </c>
      <c r="AE378" s="204"/>
      <c r="AX378" s="3" t="str">
        <f t="shared" si="91"/>
        <v/>
      </c>
    </row>
    <row r="379" spans="1:50" s="155" customFormat="1" ht="30" hidden="1" customHeight="1">
      <c r="A379" s="141" t="str">
        <f t="shared" si="102"/>
        <v/>
      </c>
      <c r="B379" s="141" t="str">
        <f t="shared" si="103"/>
        <v/>
      </c>
      <c r="C379" s="205" t="str" cm="1">
        <f t="array" ref="C379">IF(D379="","",
    IF(AND(ISNUMBER(D379), D379=INT(D379)),
        $V$6 &amp; " " &amp; (IFERROR(MAX($Y$12:$Y378), 0) + 1),
        IF(ISNUMBER(SEARCH(".", D379)), "", INDEX($C$12:$C379, MATCH(2, 1/($C$12:$C379 &lt;&gt; ""))))
    )
)</f>
        <v/>
      </c>
      <c r="D379" s="206"/>
      <c r="E379" s="206" t="str">
        <f>IF(AA379 = "", "",
    IF(ISNUMBER(SEARCH("Kiện", C379)),
       " GÓI " &amp; COUNTIF($C$13:C379, "*Kiện*") &amp; "/" &amp; COUNTIF($C$13:$C$1000, "*Kiện*") &amp; " " &amp; AA379,
       AA379)
)</f>
        <v/>
      </c>
      <c r="F379" s="206"/>
      <c r="G379" s="206"/>
      <c r="H379" s="206"/>
      <c r="I379" s="206"/>
      <c r="J379" s="206" t="str">
        <f t="shared" si="104"/>
        <v/>
      </c>
      <c r="K379" s="206" t="str">
        <f t="shared" si="92"/>
        <v/>
      </c>
      <c r="L379" s="206" t="str">
        <f t="shared" si="93"/>
        <v/>
      </c>
      <c r="M379" s="206" t="str">
        <f t="shared" si="94"/>
        <v/>
      </c>
      <c r="N379" s="206" t="str">
        <f t="shared" si="105"/>
        <v/>
      </c>
      <c r="O379" s="206" t="str">
        <f t="shared" si="95"/>
        <v/>
      </c>
      <c r="P379" s="165" t="str">
        <f t="shared" si="96"/>
        <v/>
      </c>
      <c r="Q379" s="207"/>
      <c r="R379" s="141" t="str">
        <f>IF(S379="IN",'BOM_Phan II'!$Y$3,"")</f>
        <v/>
      </c>
      <c r="S379" s="153" t="str">
        <f t="shared" si="97"/>
        <v/>
      </c>
      <c r="T379">
        <f t="shared" si="98"/>
        <v>6</v>
      </c>
      <c r="U379" s="208" t="str">
        <f t="shared" si="106"/>
        <v>KIỆN 9</v>
      </c>
      <c r="V379" s="208" t="str">
        <f t="shared" si="99"/>
        <v/>
      </c>
      <c r="W379" s="240"/>
      <c r="X379" s="240"/>
      <c r="Y379" s="240" t="str">
        <f t="shared" si="100"/>
        <v/>
      </c>
      <c r="Z379" s="240"/>
      <c r="AD379" s="232" t="str">
        <f t="shared" si="101"/>
        <v/>
      </c>
      <c r="AE379" s="204"/>
      <c r="AX379" s="3" t="str">
        <f t="shared" si="91"/>
        <v/>
      </c>
    </row>
    <row r="380" spans="1:50" s="155" customFormat="1" ht="30" hidden="1" customHeight="1">
      <c r="A380" s="141" t="str">
        <f t="shared" si="102"/>
        <v/>
      </c>
      <c r="B380" s="141" t="str">
        <f t="shared" si="103"/>
        <v/>
      </c>
      <c r="C380" s="205" t="str" cm="1">
        <f t="array" ref="C380">IF(D380="","",
    IF(AND(ISNUMBER(D380), D380=INT(D380)),
        $V$6 &amp; " " &amp; (IFERROR(MAX($Y$12:$Y379), 0) + 1),
        IF(ISNUMBER(SEARCH(".", D380)), "", INDEX($C$12:$C380, MATCH(2, 1/($C$12:$C380 &lt;&gt; ""))))
    )
)</f>
        <v/>
      </c>
      <c r="D380" s="206"/>
      <c r="E380" s="206" t="str">
        <f>IF(AA380 = "", "",
    IF(ISNUMBER(SEARCH("Kiện", C380)),
       " GÓI " &amp; COUNTIF($C$13:C380, "*Kiện*") &amp; "/" &amp; COUNTIF($C$13:$C$1000, "*Kiện*") &amp; " " &amp; AA380,
       AA380)
)</f>
        <v/>
      </c>
      <c r="F380" s="206"/>
      <c r="G380" s="206"/>
      <c r="H380" s="206"/>
      <c r="I380" s="206"/>
      <c r="J380" s="206" t="str">
        <f t="shared" si="104"/>
        <v/>
      </c>
      <c r="K380" s="206" t="str">
        <f t="shared" si="92"/>
        <v/>
      </c>
      <c r="L380" s="206" t="str">
        <f t="shared" si="93"/>
        <v/>
      </c>
      <c r="M380" s="206" t="str">
        <f t="shared" si="94"/>
        <v/>
      </c>
      <c r="N380" s="206" t="str">
        <f t="shared" si="105"/>
        <v/>
      </c>
      <c r="O380" s="206" t="str">
        <f t="shared" si="95"/>
        <v/>
      </c>
      <c r="P380" s="165" t="str">
        <f t="shared" si="96"/>
        <v/>
      </c>
      <c r="Q380" s="207"/>
      <c r="R380" s="141" t="str">
        <f>IF(S380="IN",'BOM_Phan II'!$Y$3,"")</f>
        <v/>
      </c>
      <c r="S380" s="153" t="str">
        <f t="shared" si="97"/>
        <v/>
      </c>
      <c r="T380">
        <f t="shared" si="98"/>
        <v>6</v>
      </c>
      <c r="U380" s="208" t="str">
        <f t="shared" si="106"/>
        <v>KIỆN 9</v>
      </c>
      <c r="V380" s="208" t="str">
        <f t="shared" si="99"/>
        <v/>
      </c>
      <c r="W380" s="240"/>
      <c r="X380" s="240"/>
      <c r="Y380" s="240" t="str">
        <f t="shared" si="100"/>
        <v/>
      </c>
      <c r="Z380" s="240"/>
      <c r="AD380" s="232" t="str">
        <f t="shared" si="101"/>
        <v/>
      </c>
      <c r="AE380" s="204"/>
      <c r="AX380" s="3" t="str">
        <f t="shared" si="91"/>
        <v/>
      </c>
    </row>
    <row r="381" spans="1:50" s="155" customFormat="1" ht="30" hidden="1" customHeight="1">
      <c r="A381" s="141" t="str">
        <f t="shared" si="102"/>
        <v/>
      </c>
      <c r="B381" s="141" t="str">
        <f t="shared" si="103"/>
        <v/>
      </c>
      <c r="C381" s="205" t="str" cm="1">
        <f t="array" ref="C381">IF(D381="","",
    IF(AND(ISNUMBER(D381), D381=INT(D381)),
        $V$6 &amp; " " &amp; (IFERROR(MAX($Y$12:$Y380), 0) + 1),
        IF(ISNUMBER(SEARCH(".", D381)), "", INDEX($C$12:$C381, MATCH(2, 1/($C$12:$C381 &lt;&gt; ""))))
    )
)</f>
        <v/>
      </c>
      <c r="D381" s="206"/>
      <c r="E381" s="206" t="str">
        <f>IF(AA381 = "", "",
    IF(ISNUMBER(SEARCH("Kiện", C381)),
       " GÓI " &amp; COUNTIF($C$13:C381, "*Kiện*") &amp; "/" &amp; COUNTIF($C$13:$C$1000, "*Kiện*") &amp; " " &amp; AA381,
       AA381)
)</f>
        <v/>
      </c>
      <c r="F381" s="206"/>
      <c r="G381" s="206"/>
      <c r="H381" s="206"/>
      <c r="I381" s="206"/>
      <c r="J381" s="206" t="str">
        <f t="shared" si="104"/>
        <v/>
      </c>
      <c r="K381" s="206" t="str">
        <f t="shared" si="92"/>
        <v/>
      </c>
      <c r="L381" s="206" t="str">
        <f t="shared" si="93"/>
        <v/>
      </c>
      <c r="M381" s="206" t="str">
        <f t="shared" si="94"/>
        <v/>
      </c>
      <c r="N381" s="206" t="str">
        <f t="shared" si="105"/>
        <v/>
      </c>
      <c r="O381" s="206" t="str">
        <f t="shared" si="95"/>
        <v/>
      </c>
      <c r="P381" s="165" t="str">
        <f t="shared" si="96"/>
        <v/>
      </c>
      <c r="Q381" s="207"/>
      <c r="R381" s="141" t="str">
        <f>IF(S381="IN",'BOM_Phan II'!$Y$3,"")</f>
        <v/>
      </c>
      <c r="S381" s="153" t="str">
        <f t="shared" si="97"/>
        <v/>
      </c>
      <c r="T381">
        <f t="shared" si="98"/>
        <v>6</v>
      </c>
      <c r="U381" s="208" t="str">
        <f t="shared" si="106"/>
        <v>KIỆN 9</v>
      </c>
      <c r="V381" s="208" t="str">
        <f t="shared" si="99"/>
        <v/>
      </c>
      <c r="W381" s="240"/>
      <c r="X381" s="240"/>
      <c r="Y381" s="240" t="str">
        <f t="shared" si="100"/>
        <v/>
      </c>
      <c r="Z381" s="240"/>
      <c r="AD381" s="232" t="str">
        <f t="shared" si="101"/>
        <v/>
      </c>
      <c r="AE381" s="204"/>
      <c r="AX381" s="3" t="str">
        <f t="shared" si="91"/>
        <v/>
      </c>
    </row>
    <row r="382" spans="1:50" s="155" customFormat="1" ht="30" hidden="1" customHeight="1">
      <c r="A382" s="141" t="str">
        <f t="shared" si="102"/>
        <v/>
      </c>
      <c r="B382" s="141" t="str">
        <f t="shared" si="103"/>
        <v/>
      </c>
      <c r="C382" s="205" t="str" cm="1">
        <f t="array" ref="C382">IF(D382="","",
    IF(AND(ISNUMBER(D382), D382=INT(D382)),
        $V$6 &amp; " " &amp; (IFERROR(MAX($Y$12:$Y381), 0) + 1),
        IF(ISNUMBER(SEARCH(".", D382)), "", INDEX($C$12:$C382, MATCH(2, 1/($C$12:$C382 &lt;&gt; ""))))
    )
)</f>
        <v/>
      </c>
      <c r="D382" s="206"/>
      <c r="E382" s="206" t="str">
        <f>IF(AA382 = "", "",
    IF(ISNUMBER(SEARCH("Kiện", C382)),
       " GÓI " &amp; COUNTIF($C$13:C382, "*Kiện*") &amp; "/" &amp; COUNTIF($C$13:$C$1000, "*Kiện*") &amp; " " &amp; AA382,
       AA382)
)</f>
        <v/>
      </c>
      <c r="F382" s="206"/>
      <c r="G382" s="206"/>
      <c r="H382" s="206"/>
      <c r="I382" s="206"/>
      <c r="J382" s="206" t="str">
        <f t="shared" si="104"/>
        <v/>
      </c>
      <c r="K382" s="206" t="str">
        <f t="shared" si="92"/>
        <v/>
      </c>
      <c r="L382" s="206" t="str">
        <f t="shared" si="93"/>
        <v/>
      </c>
      <c r="M382" s="206" t="str">
        <f t="shared" si="94"/>
        <v/>
      </c>
      <c r="N382" s="206" t="str">
        <f t="shared" si="105"/>
        <v/>
      </c>
      <c r="O382" s="206" t="str">
        <f t="shared" si="95"/>
        <v/>
      </c>
      <c r="P382" s="165" t="str">
        <f t="shared" si="96"/>
        <v/>
      </c>
      <c r="Q382" s="207"/>
      <c r="R382" s="141" t="str">
        <f>IF(S382="IN",'BOM_Phan II'!$Y$3,"")</f>
        <v/>
      </c>
      <c r="S382" s="153" t="str">
        <f t="shared" si="97"/>
        <v/>
      </c>
      <c r="T382">
        <f t="shared" si="98"/>
        <v>6</v>
      </c>
      <c r="U382" s="208" t="str">
        <f t="shared" si="106"/>
        <v>KIỆN 9</v>
      </c>
      <c r="V382" s="208" t="str">
        <f t="shared" si="99"/>
        <v/>
      </c>
      <c r="W382" s="240"/>
      <c r="X382" s="240"/>
      <c r="Y382" s="240" t="str">
        <f t="shared" si="100"/>
        <v/>
      </c>
      <c r="Z382" s="240"/>
      <c r="AD382" s="232" t="str">
        <f t="shared" si="101"/>
        <v/>
      </c>
      <c r="AE382" s="204"/>
      <c r="AX382" s="3" t="str">
        <f t="shared" si="91"/>
        <v/>
      </c>
    </row>
    <row r="383" spans="1:50" s="155" customFormat="1" ht="30" hidden="1" customHeight="1">
      <c r="A383" s="141" t="str">
        <f t="shared" si="102"/>
        <v/>
      </c>
      <c r="B383" s="141" t="str">
        <f t="shared" si="103"/>
        <v/>
      </c>
      <c r="C383" s="205" t="str" cm="1">
        <f t="array" ref="C383">IF(D383="","",
    IF(AND(ISNUMBER(D383), D383=INT(D383)),
        $V$6 &amp; " " &amp; (IFERROR(MAX($Y$12:$Y382), 0) + 1),
        IF(ISNUMBER(SEARCH(".", D383)), "", INDEX($C$12:$C383, MATCH(2, 1/($C$12:$C383 &lt;&gt; ""))))
    )
)</f>
        <v/>
      </c>
      <c r="D383" s="206"/>
      <c r="E383" s="206" t="str">
        <f>IF(AA383 = "", "",
    IF(ISNUMBER(SEARCH("Kiện", C383)),
       " GÓI " &amp; COUNTIF($C$13:C383, "*Kiện*") &amp; "/" &amp; COUNTIF($C$13:$C$1000, "*Kiện*") &amp; " " &amp; AA383,
       AA383)
)</f>
        <v/>
      </c>
      <c r="F383" s="206"/>
      <c r="G383" s="206"/>
      <c r="H383" s="206"/>
      <c r="I383" s="206"/>
      <c r="J383" s="206" t="str">
        <f t="shared" si="104"/>
        <v/>
      </c>
      <c r="K383" s="206" t="str">
        <f t="shared" si="92"/>
        <v/>
      </c>
      <c r="L383" s="206" t="str">
        <f t="shared" si="93"/>
        <v/>
      </c>
      <c r="M383" s="206" t="str">
        <f t="shared" si="94"/>
        <v/>
      </c>
      <c r="N383" s="206" t="str">
        <f t="shared" si="105"/>
        <v/>
      </c>
      <c r="O383" s="206" t="str">
        <f t="shared" si="95"/>
        <v/>
      </c>
      <c r="P383" s="165" t="str">
        <f t="shared" si="96"/>
        <v/>
      </c>
      <c r="Q383" s="207"/>
      <c r="R383" s="141" t="str">
        <f>IF(S383="IN",'BOM_Phan II'!$Y$3,"")</f>
        <v/>
      </c>
      <c r="S383" s="153" t="str">
        <f t="shared" si="97"/>
        <v/>
      </c>
      <c r="T383">
        <f t="shared" si="98"/>
        <v>6</v>
      </c>
      <c r="U383" s="208" t="str">
        <f t="shared" si="106"/>
        <v>KIỆN 9</v>
      </c>
      <c r="V383" s="208" t="str">
        <f t="shared" si="99"/>
        <v/>
      </c>
      <c r="W383" s="240"/>
      <c r="X383" s="240"/>
      <c r="Y383" s="240" t="str">
        <f t="shared" si="100"/>
        <v/>
      </c>
      <c r="Z383" s="240"/>
      <c r="AD383" s="232" t="str">
        <f t="shared" si="101"/>
        <v/>
      </c>
      <c r="AE383" s="204"/>
      <c r="AX383" s="3" t="str">
        <f t="shared" si="91"/>
        <v/>
      </c>
    </row>
    <row r="384" spans="1:50" s="155" customFormat="1" ht="30" hidden="1" customHeight="1">
      <c r="A384" s="141" t="str">
        <f t="shared" si="102"/>
        <v/>
      </c>
      <c r="B384" s="141" t="str">
        <f t="shared" si="103"/>
        <v/>
      </c>
      <c r="C384" s="205" t="str" cm="1">
        <f t="array" ref="C384">IF(D384="","",
    IF(AND(ISNUMBER(D384), D384=INT(D384)),
        $V$6 &amp; " " &amp; (IFERROR(MAX($Y$12:$Y383), 0) + 1),
        IF(ISNUMBER(SEARCH(".", D384)), "", INDEX($C$12:$C384, MATCH(2, 1/($C$12:$C384 &lt;&gt; ""))))
    )
)</f>
        <v/>
      </c>
      <c r="D384" s="206"/>
      <c r="E384" s="206" t="str">
        <f>IF(AA384 = "", "",
    IF(ISNUMBER(SEARCH("Kiện", C384)),
       " GÓI " &amp; COUNTIF($C$13:C384, "*Kiện*") &amp; "/" &amp; COUNTIF($C$13:$C$1000, "*Kiện*") &amp; " " &amp; AA384,
       AA384)
)</f>
        <v/>
      </c>
      <c r="F384" s="206"/>
      <c r="G384" s="206"/>
      <c r="H384" s="206"/>
      <c r="I384" s="206"/>
      <c r="J384" s="206" t="str">
        <f t="shared" si="104"/>
        <v/>
      </c>
      <c r="K384" s="206" t="str">
        <f t="shared" si="92"/>
        <v/>
      </c>
      <c r="L384" s="206" t="str">
        <f t="shared" si="93"/>
        <v/>
      </c>
      <c r="M384" s="206" t="str">
        <f t="shared" si="94"/>
        <v/>
      </c>
      <c r="N384" s="206" t="str">
        <f t="shared" si="105"/>
        <v/>
      </c>
      <c r="O384" s="206" t="str">
        <f t="shared" si="95"/>
        <v/>
      </c>
      <c r="P384" s="165" t="str">
        <f t="shared" si="96"/>
        <v/>
      </c>
      <c r="Q384" s="207"/>
      <c r="R384" s="141" t="str">
        <f>IF(S384="IN",'BOM_Phan II'!$Y$3,"")</f>
        <v/>
      </c>
      <c r="S384" s="153" t="str">
        <f t="shared" si="97"/>
        <v/>
      </c>
      <c r="T384">
        <f t="shared" si="98"/>
        <v>6</v>
      </c>
      <c r="U384" s="208" t="str">
        <f t="shared" si="106"/>
        <v>KIỆN 9</v>
      </c>
      <c r="V384" s="208" t="str">
        <f t="shared" si="99"/>
        <v/>
      </c>
      <c r="W384" s="240"/>
      <c r="X384" s="240"/>
      <c r="Y384" s="240" t="str">
        <f t="shared" si="100"/>
        <v/>
      </c>
      <c r="Z384" s="240"/>
      <c r="AD384" s="232" t="str">
        <f t="shared" si="101"/>
        <v/>
      </c>
      <c r="AE384" s="204"/>
      <c r="AX384" s="3" t="str">
        <f t="shared" si="91"/>
        <v/>
      </c>
    </row>
    <row r="385" spans="1:50" s="155" customFormat="1" ht="30" hidden="1" customHeight="1">
      <c r="A385" s="141" t="str">
        <f t="shared" si="102"/>
        <v/>
      </c>
      <c r="B385" s="141" t="str">
        <f t="shared" si="103"/>
        <v/>
      </c>
      <c r="C385" s="205" t="str" cm="1">
        <f t="array" ref="C385">IF(D385="","",
    IF(AND(ISNUMBER(D385), D385=INT(D385)),
        $V$6 &amp; " " &amp; (IFERROR(MAX($Y$12:$Y384), 0) + 1),
        IF(ISNUMBER(SEARCH(".", D385)), "", INDEX($C$12:$C385, MATCH(2, 1/($C$12:$C385 &lt;&gt; ""))))
    )
)</f>
        <v/>
      </c>
      <c r="D385" s="206"/>
      <c r="E385" s="206" t="str">
        <f>IF(AA385 = "", "",
    IF(ISNUMBER(SEARCH("Kiện", C385)),
       " GÓI " &amp; COUNTIF($C$13:C385, "*Kiện*") &amp; "/" &amp; COUNTIF($C$13:$C$1000, "*Kiện*") &amp; " " &amp; AA385,
       AA385)
)</f>
        <v/>
      </c>
      <c r="F385" s="206"/>
      <c r="G385" s="206"/>
      <c r="H385" s="206"/>
      <c r="I385" s="206"/>
      <c r="J385" s="206" t="str">
        <f t="shared" si="104"/>
        <v/>
      </c>
      <c r="K385" s="206" t="str">
        <f t="shared" si="92"/>
        <v/>
      </c>
      <c r="L385" s="206" t="str">
        <f t="shared" si="93"/>
        <v/>
      </c>
      <c r="M385" s="206" t="str">
        <f t="shared" si="94"/>
        <v/>
      </c>
      <c r="N385" s="206" t="str">
        <f t="shared" si="105"/>
        <v/>
      </c>
      <c r="O385" s="206" t="str">
        <f t="shared" si="95"/>
        <v/>
      </c>
      <c r="P385" s="165" t="str">
        <f t="shared" si="96"/>
        <v/>
      </c>
      <c r="Q385" s="207"/>
      <c r="R385" s="141" t="str">
        <f>IF(S385="IN",'BOM_Phan II'!$Y$3,"")</f>
        <v/>
      </c>
      <c r="S385" s="153" t="str">
        <f t="shared" si="97"/>
        <v/>
      </c>
      <c r="T385">
        <f t="shared" si="98"/>
        <v>6</v>
      </c>
      <c r="U385" s="208" t="str">
        <f t="shared" si="106"/>
        <v>KIỆN 9</v>
      </c>
      <c r="V385" s="208" t="str">
        <f t="shared" si="99"/>
        <v/>
      </c>
      <c r="W385" s="240"/>
      <c r="X385" s="240"/>
      <c r="Y385" s="240" t="str">
        <f t="shared" si="100"/>
        <v/>
      </c>
      <c r="Z385" s="240"/>
      <c r="AD385" s="232" t="str">
        <f t="shared" si="101"/>
        <v/>
      </c>
      <c r="AE385" s="204"/>
      <c r="AX385" s="3" t="str">
        <f t="shared" si="91"/>
        <v/>
      </c>
    </row>
    <row r="386" spans="1:50" s="155" customFormat="1" ht="30" hidden="1" customHeight="1">
      <c r="A386" s="141" t="str">
        <f t="shared" si="102"/>
        <v/>
      </c>
      <c r="B386" s="141" t="str">
        <f t="shared" si="103"/>
        <v/>
      </c>
      <c r="C386" s="205" t="str" cm="1">
        <f t="array" ref="C386">IF(D386="","",
    IF(AND(ISNUMBER(D386), D386=INT(D386)),
        $V$6 &amp; " " &amp; (IFERROR(MAX($Y$12:$Y385), 0) + 1),
        IF(ISNUMBER(SEARCH(".", D386)), "", INDEX($C$12:$C386, MATCH(2, 1/($C$12:$C386 &lt;&gt; ""))))
    )
)</f>
        <v/>
      </c>
      <c r="D386" s="206"/>
      <c r="E386" s="206" t="str">
        <f>IF(AA386 = "", "",
    IF(ISNUMBER(SEARCH("Kiện", C386)),
       " GÓI " &amp; COUNTIF($C$13:C386, "*Kiện*") &amp; "/" &amp; COUNTIF($C$13:$C$1000, "*Kiện*") &amp; " " &amp; AA386,
       AA386)
)</f>
        <v/>
      </c>
      <c r="F386" s="206"/>
      <c r="G386" s="206"/>
      <c r="H386" s="206"/>
      <c r="I386" s="206"/>
      <c r="J386" s="206" t="str">
        <f t="shared" si="104"/>
        <v/>
      </c>
      <c r="K386" s="206" t="str">
        <f t="shared" si="92"/>
        <v/>
      </c>
      <c r="L386" s="206" t="str">
        <f t="shared" si="93"/>
        <v/>
      </c>
      <c r="M386" s="206" t="str">
        <f t="shared" si="94"/>
        <v/>
      </c>
      <c r="N386" s="206" t="str">
        <f t="shared" si="105"/>
        <v/>
      </c>
      <c r="O386" s="206" t="str">
        <f t="shared" si="95"/>
        <v/>
      </c>
      <c r="P386" s="165" t="str">
        <f t="shared" si="96"/>
        <v/>
      </c>
      <c r="Q386" s="207"/>
      <c r="R386" s="141" t="str">
        <f>IF(S386="IN",'BOM_Phan II'!$Y$3,"")</f>
        <v/>
      </c>
      <c r="S386" s="153" t="str">
        <f t="shared" si="97"/>
        <v/>
      </c>
      <c r="T386">
        <f t="shared" si="98"/>
        <v>6</v>
      </c>
      <c r="U386" s="208" t="str">
        <f t="shared" si="106"/>
        <v>KIỆN 9</v>
      </c>
      <c r="V386" s="208" t="str">
        <f t="shared" si="99"/>
        <v/>
      </c>
      <c r="W386" s="240"/>
      <c r="X386" s="240"/>
      <c r="Y386" s="240" t="str">
        <f t="shared" si="100"/>
        <v/>
      </c>
      <c r="Z386" s="240"/>
      <c r="AD386" s="232" t="str">
        <f t="shared" si="101"/>
        <v/>
      </c>
      <c r="AE386" s="204"/>
      <c r="AX386" s="3" t="str">
        <f t="shared" si="91"/>
        <v/>
      </c>
    </row>
    <row r="387" spans="1:50" s="155" customFormat="1" ht="30" hidden="1" customHeight="1">
      <c r="A387" s="141" t="str">
        <f t="shared" si="102"/>
        <v/>
      </c>
      <c r="B387" s="141" t="str">
        <f t="shared" si="103"/>
        <v/>
      </c>
      <c r="C387" s="205" t="str" cm="1">
        <f t="array" ref="C387">IF(D387="","",
    IF(AND(ISNUMBER(D387), D387=INT(D387)),
        $V$6 &amp; " " &amp; (IFERROR(MAX($Y$12:$Y386), 0) + 1),
        IF(ISNUMBER(SEARCH(".", D387)), "", INDEX($C$12:$C387, MATCH(2, 1/($C$12:$C387 &lt;&gt; ""))))
    )
)</f>
        <v/>
      </c>
      <c r="D387" s="206"/>
      <c r="E387" s="206" t="str">
        <f>IF(AA387 = "", "",
    IF(ISNUMBER(SEARCH("Kiện", C387)),
       " GÓI " &amp; COUNTIF($C$13:C387, "*Kiện*") &amp; "/" &amp; COUNTIF($C$13:$C$1000, "*Kiện*") &amp; " " &amp; AA387,
       AA387)
)</f>
        <v/>
      </c>
      <c r="F387" s="206"/>
      <c r="G387" s="206"/>
      <c r="H387" s="206"/>
      <c r="I387" s="206"/>
      <c r="J387" s="206" t="str">
        <f t="shared" si="104"/>
        <v/>
      </c>
      <c r="K387" s="206" t="str">
        <f t="shared" si="92"/>
        <v/>
      </c>
      <c r="L387" s="206" t="str">
        <f t="shared" si="93"/>
        <v/>
      </c>
      <c r="M387" s="206" t="str">
        <f t="shared" si="94"/>
        <v/>
      </c>
      <c r="N387" s="206" t="str">
        <f t="shared" si="105"/>
        <v/>
      </c>
      <c r="O387" s="206" t="str">
        <f t="shared" si="95"/>
        <v/>
      </c>
      <c r="P387" s="165" t="str">
        <f t="shared" si="96"/>
        <v/>
      </c>
      <c r="Q387" s="207"/>
      <c r="R387" s="141" t="str">
        <f>IF(S387="IN",'BOM_Phan II'!$Y$3,"")</f>
        <v/>
      </c>
      <c r="S387" s="153" t="str">
        <f t="shared" si="97"/>
        <v/>
      </c>
      <c r="T387">
        <f t="shared" si="98"/>
        <v>6</v>
      </c>
      <c r="U387" s="208" t="str">
        <f t="shared" si="106"/>
        <v>KIỆN 9</v>
      </c>
      <c r="V387" s="208" t="str">
        <f t="shared" si="99"/>
        <v/>
      </c>
      <c r="W387" s="240"/>
      <c r="X387" s="240"/>
      <c r="Y387" s="240" t="str">
        <f t="shared" si="100"/>
        <v/>
      </c>
      <c r="Z387" s="240"/>
      <c r="AD387" s="232" t="str">
        <f t="shared" si="101"/>
        <v/>
      </c>
      <c r="AE387" s="204"/>
      <c r="AX387" s="3" t="str">
        <f t="shared" si="91"/>
        <v/>
      </c>
    </row>
    <row r="388" spans="1:50" s="155" customFormat="1" ht="30" hidden="1" customHeight="1">
      <c r="A388" s="141" t="str">
        <f t="shared" si="102"/>
        <v/>
      </c>
      <c r="B388" s="141" t="str">
        <f t="shared" si="103"/>
        <v/>
      </c>
      <c r="C388" s="205" t="str" cm="1">
        <f t="array" ref="C388">IF(D388="","",
    IF(AND(ISNUMBER(D388), D388=INT(D388)),
        $V$6 &amp; " " &amp; (IFERROR(MAX($Y$12:$Y387), 0) + 1),
        IF(ISNUMBER(SEARCH(".", D388)), "", INDEX($C$12:$C388, MATCH(2, 1/($C$12:$C388 &lt;&gt; ""))))
    )
)</f>
        <v/>
      </c>
      <c r="D388" s="206"/>
      <c r="E388" s="206" t="str">
        <f>IF(AA388 = "", "",
    IF(ISNUMBER(SEARCH("Kiện", C388)),
       " GÓI " &amp; COUNTIF($C$13:C388, "*Kiện*") &amp; "/" &amp; COUNTIF($C$13:$C$1000, "*Kiện*") &amp; " " &amp; AA388,
       AA388)
)</f>
        <v/>
      </c>
      <c r="F388" s="206"/>
      <c r="G388" s="206"/>
      <c r="H388" s="206"/>
      <c r="I388" s="206"/>
      <c r="J388" s="206" t="str">
        <f t="shared" si="104"/>
        <v/>
      </c>
      <c r="K388" s="206" t="str">
        <f t="shared" si="92"/>
        <v/>
      </c>
      <c r="L388" s="206" t="str">
        <f t="shared" si="93"/>
        <v/>
      </c>
      <c r="M388" s="206" t="str">
        <f t="shared" si="94"/>
        <v/>
      </c>
      <c r="N388" s="206" t="str">
        <f t="shared" si="105"/>
        <v/>
      </c>
      <c r="O388" s="206" t="str">
        <f t="shared" si="95"/>
        <v/>
      </c>
      <c r="P388" s="165" t="str">
        <f t="shared" si="96"/>
        <v/>
      </c>
      <c r="Q388" s="207"/>
      <c r="R388" s="141" t="str">
        <f>IF(S388="IN",'BOM_Phan II'!$Y$3,"")</f>
        <v/>
      </c>
      <c r="S388" s="153" t="str">
        <f t="shared" si="97"/>
        <v/>
      </c>
      <c r="T388">
        <f t="shared" si="98"/>
        <v>6</v>
      </c>
      <c r="U388" s="208" t="str">
        <f t="shared" si="106"/>
        <v>KIỆN 9</v>
      </c>
      <c r="V388" s="208" t="str">
        <f t="shared" si="99"/>
        <v/>
      </c>
      <c r="W388" s="240"/>
      <c r="X388" s="240"/>
      <c r="Y388" s="240" t="str">
        <f t="shared" si="100"/>
        <v/>
      </c>
      <c r="Z388" s="240"/>
      <c r="AD388" s="232" t="str">
        <f t="shared" si="101"/>
        <v/>
      </c>
      <c r="AE388" s="204"/>
      <c r="AX388" s="3" t="str">
        <f t="shared" si="91"/>
        <v/>
      </c>
    </row>
    <row r="389" spans="1:50" s="155" customFormat="1" ht="30" hidden="1" customHeight="1">
      <c r="A389" s="141" t="str">
        <f t="shared" si="102"/>
        <v/>
      </c>
      <c r="B389" s="141" t="str">
        <f t="shared" si="103"/>
        <v/>
      </c>
      <c r="C389" s="205" t="str" cm="1">
        <f t="array" ref="C389">IF(D389="","",
    IF(AND(ISNUMBER(D389), D389=INT(D389)),
        $V$6 &amp; " " &amp; (IFERROR(MAX($Y$12:$Y388), 0) + 1),
        IF(ISNUMBER(SEARCH(".", D389)), "", INDEX($C$12:$C389, MATCH(2, 1/($C$12:$C389 &lt;&gt; ""))))
    )
)</f>
        <v/>
      </c>
      <c r="D389" s="206"/>
      <c r="E389" s="206" t="str">
        <f>IF(AA389 = "", "",
    IF(ISNUMBER(SEARCH("Kiện", C389)),
       " GÓI " &amp; COUNTIF($C$13:C389, "*Kiện*") &amp; "/" &amp; COUNTIF($C$13:$C$1000, "*Kiện*") &amp; " " &amp; AA389,
       AA389)
)</f>
        <v/>
      </c>
      <c r="F389" s="206"/>
      <c r="G389" s="206"/>
      <c r="H389" s="206"/>
      <c r="I389" s="206"/>
      <c r="J389" s="206" t="str">
        <f t="shared" si="104"/>
        <v/>
      </c>
      <c r="K389" s="206" t="str">
        <f t="shared" si="92"/>
        <v/>
      </c>
      <c r="L389" s="206" t="str">
        <f t="shared" si="93"/>
        <v/>
      </c>
      <c r="M389" s="206" t="str">
        <f t="shared" si="94"/>
        <v/>
      </c>
      <c r="N389" s="206" t="str">
        <f t="shared" si="105"/>
        <v/>
      </c>
      <c r="O389" s="206" t="str">
        <f t="shared" si="95"/>
        <v/>
      </c>
      <c r="P389" s="165" t="str">
        <f t="shared" si="96"/>
        <v/>
      </c>
      <c r="Q389" s="207"/>
      <c r="R389" s="141" t="str">
        <f>IF(S389="IN",'BOM_Phan II'!$Y$3,"")</f>
        <v/>
      </c>
      <c r="S389" s="153" t="str">
        <f t="shared" si="97"/>
        <v/>
      </c>
      <c r="T389">
        <f t="shared" si="98"/>
        <v>6</v>
      </c>
      <c r="U389" s="208" t="str">
        <f t="shared" si="106"/>
        <v>KIỆN 9</v>
      </c>
      <c r="V389" s="208" t="str">
        <f t="shared" si="99"/>
        <v/>
      </c>
      <c r="W389" s="240"/>
      <c r="X389" s="240"/>
      <c r="Y389" s="240" t="str">
        <f t="shared" si="100"/>
        <v/>
      </c>
      <c r="Z389" s="240"/>
      <c r="AD389" s="232" t="str">
        <f t="shared" si="101"/>
        <v/>
      </c>
      <c r="AE389" s="204"/>
      <c r="AX389" s="3" t="str">
        <f t="shared" si="91"/>
        <v/>
      </c>
    </row>
    <row r="390" spans="1:50" s="155" customFormat="1" ht="30" hidden="1" customHeight="1">
      <c r="A390" s="141" t="str">
        <f t="shared" si="102"/>
        <v/>
      </c>
      <c r="B390" s="141" t="str">
        <f t="shared" si="103"/>
        <v/>
      </c>
      <c r="C390" s="205" t="str" cm="1">
        <f t="array" ref="C390">IF(D390="","",
    IF(AND(ISNUMBER(D390), D390=INT(D390)),
        $V$6 &amp; " " &amp; (IFERROR(MAX($Y$12:$Y389), 0) + 1),
        IF(ISNUMBER(SEARCH(".", D390)), "", INDEX($C$12:$C390, MATCH(2, 1/($C$12:$C390 &lt;&gt; ""))))
    )
)</f>
        <v/>
      </c>
      <c r="D390" s="206"/>
      <c r="E390" s="206" t="str">
        <f>IF(AA390 = "", "",
    IF(ISNUMBER(SEARCH("Kiện", C390)),
       " GÓI " &amp; COUNTIF($C$13:C390, "*Kiện*") &amp; "/" &amp; COUNTIF($C$13:$C$1000, "*Kiện*") &amp; " " &amp; AA390,
       AA390)
)</f>
        <v/>
      </c>
      <c r="F390" s="206"/>
      <c r="G390" s="206"/>
      <c r="H390" s="206"/>
      <c r="I390" s="206"/>
      <c r="J390" s="206" t="str">
        <f t="shared" si="104"/>
        <v/>
      </c>
      <c r="K390" s="206" t="str">
        <f t="shared" si="92"/>
        <v/>
      </c>
      <c r="L390" s="206" t="str">
        <f t="shared" si="93"/>
        <v/>
      </c>
      <c r="M390" s="206" t="str">
        <f t="shared" si="94"/>
        <v/>
      </c>
      <c r="N390" s="206" t="str">
        <f t="shared" si="105"/>
        <v/>
      </c>
      <c r="O390" s="206" t="str">
        <f t="shared" si="95"/>
        <v/>
      </c>
      <c r="P390" s="165" t="str">
        <f t="shared" si="96"/>
        <v/>
      </c>
      <c r="Q390" s="207"/>
      <c r="R390" s="141" t="str">
        <f>IF(S390="IN",'BOM_Phan II'!$Y$3,"")</f>
        <v/>
      </c>
      <c r="S390" s="153" t="str">
        <f t="shared" si="97"/>
        <v/>
      </c>
      <c r="T390">
        <f t="shared" si="98"/>
        <v>6</v>
      </c>
      <c r="U390" s="208" t="str">
        <f t="shared" si="106"/>
        <v>KIỆN 9</v>
      </c>
      <c r="V390" s="208" t="str">
        <f t="shared" si="99"/>
        <v/>
      </c>
      <c r="W390" s="240"/>
      <c r="X390" s="240"/>
      <c r="Y390" s="240" t="str">
        <f t="shared" si="100"/>
        <v/>
      </c>
      <c r="Z390" s="240"/>
      <c r="AD390" s="232" t="str">
        <f t="shared" si="101"/>
        <v/>
      </c>
      <c r="AE390" s="204"/>
      <c r="AX390" s="3" t="str">
        <f t="shared" si="91"/>
        <v/>
      </c>
    </row>
    <row r="391" spans="1:50" s="155" customFormat="1" ht="30" hidden="1" customHeight="1">
      <c r="A391" s="141" t="str">
        <f t="shared" si="102"/>
        <v/>
      </c>
      <c r="B391" s="141" t="str">
        <f t="shared" si="103"/>
        <v/>
      </c>
      <c r="C391" s="205" t="str" cm="1">
        <f t="array" ref="C391">IF(D391="","",
    IF(AND(ISNUMBER(D391), D391=INT(D391)),
        $V$6 &amp; " " &amp; (IFERROR(MAX($Y$12:$Y390), 0) + 1),
        IF(ISNUMBER(SEARCH(".", D391)), "", INDEX($C$12:$C391, MATCH(2, 1/($C$12:$C391 &lt;&gt; ""))))
    )
)</f>
        <v/>
      </c>
      <c r="D391" s="206"/>
      <c r="E391" s="206" t="str">
        <f>IF(AA391 = "", "",
    IF(ISNUMBER(SEARCH("Kiện", C391)),
       " GÓI " &amp; COUNTIF($C$13:C391, "*Kiện*") &amp; "/" &amp; COUNTIF($C$13:$C$1000, "*Kiện*") &amp; " " &amp; AA391,
       AA391)
)</f>
        <v/>
      </c>
      <c r="F391" s="206"/>
      <c r="G391" s="206"/>
      <c r="H391" s="206"/>
      <c r="I391" s="206"/>
      <c r="J391" s="206" t="str">
        <f t="shared" si="104"/>
        <v/>
      </c>
      <c r="K391" s="206" t="str">
        <f t="shared" si="92"/>
        <v/>
      </c>
      <c r="L391" s="206" t="str">
        <f t="shared" si="93"/>
        <v/>
      </c>
      <c r="M391" s="206" t="str">
        <f t="shared" si="94"/>
        <v/>
      </c>
      <c r="N391" s="206" t="str">
        <f t="shared" si="105"/>
        <v/>
      </c>
      <c r="O391" s="206" t="str">
        <f t="shared" si="95"/>
        <v/>
      </c>
      <c r="P391" s="165" t="str">
        <f t="shared" si="96"/>
        <v/>
      </c>
      <c r="Q391" s="207"/>
      <c r="R391" s="141" t="str">
        <f>IF(S391="IN",'BOM_Phan II'!$Y$3,"")</f>
        <v/>
      </c>
      <c r="S391" s="153" t="str">
        <f t="shared" si="97"/>
        <v/>
      </c>
      <c r="T391">
        <f t="shared" si="98"/>
        <v>6</v>
      </c>
      <c r="U391" s="208" t="str">
        <f t="shared" si="106"/>
        <v>KIỆN 9</v>
      </c>
      <c r="V391" s="208" t="str">
        <f t="shared" si="99"/>
        <v/>
      </c>
      <c r="W391" s="240"/>
      <c r="X391" s="240"/>
      <c r="Y391" s="240" t="str">
        <f t="shared" si="100"/>
        <v/>
      </c>
      <c r="Z391" s="240"/>
      <c r="AD391" s="232" t="str">
        <f t="shared" si="101"/>
        <v/>
      </c>
      <c r="AE391" s="204"/>
      <c r="AX391" s="3" t="str">
        <f t="shared" si="91"/>
        <v/>
      </c>
    </row>
    <row r="392" spans="1:50" s="155" customFormat="1" ht="30" hidden="1" customHeight="1">
      <c r="A392" s="141" t="str">
        <f t="shared" si="102"/>
        <v/>
      </c>
      <c r="B392" s="141" t="str">
        <f t="shared" si="103"/>
        <v/>
      </c>
      <c r="C392" s="205" t="str" cm="1">
        <f t="array" ref="C392">IF(D392="","",
    IF(AND(ISNUMBER(D392), D392=INT(D392)),
        $V$6 &amp; " " &amp; (IFERROR(MAX($Y$12:$Y391), 0) + 1),
        IF(ISNUMBER(SEARCH(".", D392)), "", INDEX($C$12:$C392, MATCH(2, 1/($C$12:$C392 &lt;&gt; ""))))
    )
)</f>
        <v/>
      </c>
      <c r="D392" s="206"/>
      <c r="E392" s="206" t="str">
        <f>IF(AA392 = "", "",
    IF(ISNUMBER(SEARCH("Kiện", C392)),
       " GÓI " &amp; COUNTIF($C$13:C392, "*Kiện*") &amp; "/" &amp; COUNTIF($C$13:$C$1000, "*Kiện*") &amp; " " &amp; AA392,
       AA392)
)</f>
        <v/>
      </c>
      <c r="F392" s="206"/>
      <c r="G392" s="206"/>
      <c r="H392" s="206"/>
      <c r="I392" s="206"/>
      <c r="J392" s="206" t="str">
        <f t="shared" si="104"/>
        <v/>
      </c>
      <c r="K392" s="206" t="str">
        <f t="shared" si="92"/>
        <v/>
      </c>
      <c r="L392" s="206" t="str">
        <f t="shared" si="93"/>
        <v/>
      </c>
      <c r="M392" s="206" t="str">
        <f t="shared" si="94"/>
        <v/>
      </c>
      <c r="N392" s="206" t="str">
        <f t="shared" si="105"/>
        <v/>
      </c>
      <c r="O392" s="206" t="str">
        <f t="shared" si="95"/>
        <v/>
      </c>
      <c r="P392" s="165" t="str">
        <f t="shared" si="96"/>
        <v/>
      </c>
      <c r="Q392" s="207"/>
      <c r="R392" s="141" t="str">
        <f>IF(S392="IN",'BOM_Phan II'!$Y$3,"")</f>
        <v/>
      </c>
      <c r="S392" s="153" t="str">
        <f t="shared" si="97"/>
        <v/>
      </c>
      <c r="T392">
        <f t="shared" si="98"/>
        <v>6</v>
      </c>
      <c r="U392" s="208" t="str">
        <f t="shared" si="106"/>
        <v>KIỆN 9</v>
      </c>
      <c r="V392" s="208" t="str">
        <f t="shared" si="99"/>
        <v/>
      </c>
      <c r="W392" s="240"/>
      <c r="X392" s="240"/>
      <c r="Y392" s="240" t="str">
        <f t="shared" si="100"/>
        <v/>
      </c>
      <c r="Z392" s="240"/>
      <c r="AD392" s="232" t="str">
        <f t="shared" si="101"/>
        <v/>
      </c>
      <c r="AE392" s="204"/>
      <c r="AX392" s="3" t="str">
        <f t="shared" si="91"/>
        <v/>
      </c>
    </row>
    <row r="393" spans="1:50" s="155" customFormat="1" ht="30" hidden="1" customHeight="1">
      <c r="A393" s="141" t="str">
        <f t="shared" si="102"/>
        <v/>
      </c>
      <c r="B393" s="141" t="str">
        <f t="shared" si="103"/>
        <v/>
      </c>
      <c r="C393" s="205" t="str" cm="1">
        <f t="array" ref="C393">IF(D393="","",
    IF(AND(ISNUMBER(D393), D393=INT(D393)),
        $V$6 &amp; " " &amp; (IFERROR(MAX($Y$12:$Y392), 0) + 1),
        IF(ISNUMBER(SEARCH(".", D393)), "", INDEX($C$12:$C393, MATCH(2, 1/($C$12:$C393 &lt;&gt; ""))))
    )
)</f>
        <v/>
      </c>
      <c r="D393" s="206"/>
      <c r="E393" s="206" t="str">
        <f>IF(AA393 = "", "",
    IF(ISNUMBER(SEARCH("Kiện", C393)),
       " GÓI " &amp; COUNTIF($C$13:C393, "*Kiện*") &amp; "/" &amp; COUNTIF($C$13:$C$1000, "*Kiện*") &amp; " " &amp; AA393,
       AA393)
)</f>
        <v/>
      </c>
      <c r="F393" s="206"/>
      <c r="G393" s="206"/>
      <c r="H393" s="206"/>
      <c r="I393" s="206"/>
      <c r="J393" s="206" t="str">
        <f t="shared" si="104"/>
        <v/>
      </c>
      <c r="K393" s="206" t="str">
        <f t="shared" si="92"/>
        <v/>
      </c>
      <c r="L393" s="206" t="str">
        <f t="shared" si="93"/>
        <v/>
      </c>
      <c r="M393" s="206" t="str">
        <f t="shared" si="94"/>
        <v/>
      </c>
      <c r="N393" s="206" t="str">
        <f t="shared" si="105"/>
        <v/>
      </c>
      <c r="O393" s="206" t="str">
        <f t="shared" si="95"/>
        <v/>
      </c>
      <c r="P393" s="165" t="str">
        <f t="shared" si="96"/>
        <v/>
      </c>
      <c r="Q393" s="207"/>
      <c r="R393" s="141" t="str">
        <f>IF(S393="IN",'BOM_Phan II'!$Y$3,"")</f>
        <v/>
      </c>
      <c r="S393" s="153" t="str">
        <f t="shared" si="97"/>
        <v/>
      </c>
      <c r="T393">
        <f t="shared" si="98"/>
        <v>6</v>
      </c>
      <c r="U393" s="208" t="str">
        <f t="shared" si="106"/>
        <v>KIỆN 9</v>
      </c>
      <c r="V393" s="208" t="str">
        <f t="shared" si="99"/>
        <v/>
      </c>
      <c r="W393" s="240"/>
      <c r="X393" s="240"/>
      <c r="Y393" s="240" t="str">
        <f t="shared" si="100"/>
        <v/>
      </c>
      <c r="Z393" s="240"/>
      <c r="AD393" s="232" t="str">
        <f t="shared" si="101"/>
        <v/>
      </c>
      <c r="AE393" s="204"/>
      <c r="AX393" s="3" t="str">
        <f t="shared" si="91"/>
        <v/>
      </c>
    </row>
    <row r="394" spans="1:50" s="155" customFormat="1" ht="30" hidden="1" customHeight="1">
      <c r="A394" s="141" t="str">
        <f t="shared" si="102"/>
        <v/>
      </c>
      <c r="B394" s="141" t="str">
        <f t="shared" si="103"/>
        <v/>
      </c>
      <c r="C394" s="205" t="str" cm="1">
        <f t="array" ref="C394">IF(D394="","",
    IF(AND(ISNUMBER(D394), D394=INT(D394)),
        $V$6 &amp; " " &amp; (IFERROR(MAX($Y$12:$Y393), 0) + 1),
        IF(ISNUMBER(SEARCH(".", D394)), "", INDEX($C$12:$C394, MATCH(2, 1/($C$12:$C394 &lt;&gt; ""))))
    )
)</f>
        <v/>
      </c>
      <c r="D394" s="206"/>
      <c r="E394" s="206" t="str">
        <f>IF(AA394 = "", "",
    IF(ISNUMBER(SEARCH("Kiện", C394)),
       " GÓI " &amp; COUNTIF($C$13:C394, "*Kiện*") &amp; "/" &amp; COUNTIF($C$13:$C$1000, "*Kiện*") &amp; " " &amp; AA394,
       AA394)
)</f>
        <v/>
      </c>
      <c r="F394" s="206"/>
      <c r="G394" s="206"/>
      <c r="H394" s="206"/>
      <c r="I394" s="206"/>
      <c r="J394" s="206" t="str">
        <f t="shared" si="104"/>
        <v/>
      </c>
      <c r="K394" s="206" t="str">
        <f t="shared" si="92"/>
        <v/>
      </c>
      <c r="L394" s="206" t="str">
        <f t="shared" si="93"/>
        <v/>
      </c>
      <c r="M394" s="206" t="str">
        <f t="shared" si="94"/>
        <v/>
      </c>
      <c r="N394" s="206" t="str">
        <f t="shared" si="105"/>
        <v/>
      </c>
      <c r="O394" s="206" t="str">
        <f t="shared" si="95"/>
        <v/>
      </c>
      <c r="P394" s="165" t="str">
        <f t="shared" si="96"/>
        <v/>
      </c>
      <c r="Q394" s="207"/>
      <c r="R394" s="141" t="str">
        <f>IF(S394="IN",'BOM_Phan II'!$Y$3,"")</f>
        <v/>
      </c>
      <c r="S394" s="153" t="str">
        <f t="shared" si="97"/>
        <v/>
      </c>
      <c r="T394">
        <f t="shared" si="98"/>
        <v>6</v>
      </c>
      <c r="U394" s="208" t="str">
        <f t="shared" si="106"/>
        <v>KIỆN 9</v>
      </c>
      <c r="V394" s="208" t="str">
        <f t="shared" si="99"/>
        <v/>
      </c>
      <c r="W394" s="240"/>
      <c r="X394" s="240"/>
      <c r="Y394" s="240" t="str">
        <f t="shared" si="100"/>
        <v/>
      </c>
      <c r="Z394" s="240"/>
      <c r="AD394" s="232" t="str">
        <f t="shared" si="101"/>
        <v/>
      </c>
      <c r="AE394" s="204"/>
      <c r="AX394" s="3" t="str">
        <f t="shared" si="91"/>
        <v/>
      </c>
    </row>
    <row r="395" spans="1:50" s="155" customFormat="1" ht="30" hidden="1" customHeight="1">
      <c r="A395" s="141" t="str">
        <f t="shared" si="102"/>
        <v/>
      </c>
      <c r="B395" s="141" t="str">
        <f t="shared" si="103"/>
        <v/>
      </c>
      <c r="C395" s="205" t="str" cm="1">
        <f t="array" ref="C395">IF(D395="","",
    IF(AND(ISNUMBER(D395), D395=INT(D395)),
        $V$6 &amp; " " &amp; (IFERROR(MAX($Y$12:$Y394), 0) + 1),
        IF(ISNUMBER(SEARCH(".", D395)), "", INDEX($C$12:$C395, MATCH(2, 1/($C$12:$C395 &lt;&gt; ""))))
    )
)</f>
        <v/>
      </c>
      <c r="D395" s="206"/>
      <c r="E395" s="206" t="str">
        <f>IF(AA395 = "", "",
    IF(ISNUMBER(SEARCH("Kiện", C395)),
       " GÓI " &amp; COUNTIF($C$13:C395, "*Kiện*") &amp; "/" &amp; COUNTIF($C$13:$C$1000, "*Kiện*") &amp; " " &amp; AA395,
       AA395)
)</f>
        <v/>
      </c>
      <c r="F395" s="206"/>
      <c r="G395" s="206"/>
      <c r="H395" s="206"/>
      <c r="I395" s="206"/>
      <c r="J395" s="206" t="str">
        <f t="shared" si="104"/>
        <v/>
      </c>
      <c r="K395" s="206" t="str">
        <f t="shared" si="92"/>
        <v/>
      </c>
      <c r="L395" s="206" t="str">
        <f t="shared" si="93"/>
        <v/>
      </c>
      <c r="M395" s="206" t="str">
        <f t="shared" si="94"/>
        <v/>
      </c>
      <c r="N395" s="206" t="str">
        <f t="shared" si="105"/>
        <v/>
      </c>
      <c r="O395" s="206" t="str">
        <f t="shared" si="95"/>
        <v/>
      </c>
      <c r="P395" s="165" t="str">
        <f t="shared" si="96"/>
        <v/>
      </c>
      <c r="Q395" s="207"/>
      <c r="R395" s="141" t="str">
        <f>IF(S395="IN",'BOM_Phan II'!$Y$3,"")</f>
        <v/>
      </c>
      <c r="S395" s="153" t="str">
        <f t="shared" si="97"/>
        <v/>
      </c>
      <c r="T395">
        <f t="shared" si="98"/>
        <v>6</v>
      </c>
      <c r="U395" s="208" t="str">
        <f t="shared" si="106"/>
        <v>KIỆN 9</v>
      </c>
      <c r="V395" s="208" t="str">
        <f t="shared" si="99"/>
        <v/>
      </c>
      <c r="W395" s="240"/>
      <c r="X395" s="240"/>
      <c r="Y395" s="240" t="str">
        <f t="shared" si="100"/>
        <v/>
      </c>
      <c r="Z395" s="240"/>
      <c r="AD395" s="232" t="str">
        <f t="shared" si="101"/>
        <v/>
      </c>
      <c r="AE395" s="204"/>
      <c r="AX395" s="3" t="str">
        <f t="shared" si="91"/>
        <v/>
      </c>
    </row>
    <row r="396" spans="1:50" s="155" customFormat="1" ht="30" hidden="1" customHeight="1">
      <c r="A396" s="141" t="str">
        <f t="shared" si="102"/>
        <v/>
      </c>
      <c r="B396" s="141" t="str">
        <f t="shared" si="103"/>
        <v/>
      </c>
      <c r="C396" s="205" t="str" cm="1">
        <f t="array" ref="C396">IF(D396="","",
    IF(AND(ISNUMBER(D396), D396=INT(D396)),
        $V$6 &amp; " " &amp; (IFERROR(MAX($Y$12:$Y395), 0) + 1),
        IF(ISNUMBER(SEARCH(".", D396)), "", INDEX($C$12:$C396, MATCH(2, 1/($C$12:$C396 &lt;&gt; ""))))
    )
)</f>
        <v/>
      </c>
      <c r="D396" s="206"/>
      <c r="E396" s="206" t="str">
        <f>IF(AA396 = "", "",
    IF(ISNUMBER(SEARCH("Kiện", C396)),
       " GÓI " &amp; COUNTIF($C$13:C396, "*Kiện*") &amp; "/" &amp; COUNTIF($C$13:$C$1000, "*Kiện*") &amp; " " &amp; AA396,
       AA396)
)</f>
        <v/>
      </c>
      <c r="F396" s="206"/>
      <c r="G396" s="206"/>
      <c r="H396" s="206"/>
      <c r="I396" s="206"/>
      <c r="J396" s="206" t="str">
        <f t="shared" si="104"/>
        <v/>
      </c>
      <c r="K396" s="206" t="str">
        <f t="shared" si="92"/>
        <v/>
      </c>
      <c r="L396" s="206" t="str">
        <f t="shared" si="93"/>
        <v/>
      </c>
      <c r="M396" s="206" t="str">
        <f t="shared" si="94"/>
        <v/>
      </c>
      <c r="N396" s="206" t="str">
        <f t="shared" si="105"/>
        <v/>
      </c>
      <c r="O396" s="206" t="str">
        <f t="shared" si="95"/>
        <v/>
      </c>
      <c r="P396" s="165" t="str">
        <f t="shared" si="96"/>
        <v/>
      </c>
      <c r="Q396" s="207"/>
      <c r="R396" s="141" t="str">
        <f>IF(S396="IN",'BOM_Phan II'!$Y$3,"")</f>
        <v/>
      </c>
      <c r="S396" s="153" t="str">
        <f t="shared" si="97"/>
        <v/>
      </c>
      <c r="T396">
        <f t="shared" si="98"/>
        <v>6</v>
      </c>
      <c r="U396" s="208" t="str">
        <f t="shared" si="106"/>
        <v>KIỆN 9</v>
      </c>
      <c r="V396" s="208" t="str">
        <f t="shared" si="99"/>
        <v/>
      </c>
      <c r="W396" s="240"/>
      <c r="X396" s="240"/>
      <c r="Y396" s="240" t="str">
        <f t="shared" si="100"/>
        <v/>
      </c>
      <c r="Z396" s="240"/>
      <c r="AD396" s="232" t="str">
        <f t="shared" si="101"/>
        <v/>
      </c>
      <c r="AE396" s="204"/>
      <c r="AX396" s="3" t="str">
        <f t="shared" ref="AX396:AX459" si="107">+S396</f>
        <v/>
      </c>
    </row>
    <row r="397" spans="1:50" s="155" customFormat="1" ht="30" hidden="1" customHeight="1">
      <c r="A397" s="141" t="str">
        <f t="shared" si="102"/>
        <v/>
      </c>
      <c r="B397" s="141" t="str">
        <f t="shared" si="103"/>
        <v/>
      </c>
      <c r="C397" s="205" t="str" cm="1">
        <f t="array" ref="C397">IF(D397="","",
    IF(AND(ISNUMBER(D397), D397=INT(D397)),
        $V$6 &amp; " " &amp; (IFERROR(MAX($Y$12:$Y396), 0) + 1),
        IF(ISNUMBER(SEARCH(".", D397)), "", INDEX($C$12:$C397, MATCH(2, 1/($C$12:$C397 &lt;&gt; ""))))
    )
)</f>
        <v/>
      </c>
      <c r="D397" s="206"/>
      <c r="E397" s="206" t="str">
        <f>IF(AA397 = "", "",
    IF(ISNUMBER(SEARCH("Kiện", C397)),
       " GÓI " &amp; COUNTIF($C$13:C397, "*Kiện*") &amp; "/" &amp; COUNTIF($C$13:$C$1000, "*Kiện*") &amp; " " &amp; AA397,
       AA397)
)</f>
        <v/>
      </c>
      <c r="F397" s="206"/>
      <c r="G397" s="206"/>
      <c r="H397" s="206"/>
      <c r="I397" s="206"/>
      <c r="J397" s="206" t="str">
        <f t="shared" si="104"/>
        <v/>
      </c>
      <c r="K397" s="206" t="str">
        <f t="shared" si="92"/>
        <v/>
      </c>
      <c r="L397" s="206" t="str">
        <f t="shared" si="93"/>
        <v/>
      </c>
      <c r="M397" s="206" t="str">
        <f t="shared" si="94"/>
        <v/>
      </c>
      <c r="N397" s="206" t="str">
        <f t="shared" si="105"/>
        <v/>
      </c>
      <c r="O397" s="206" t="str">
        <f t="shared" si="95"/>
        <v/>
      </c>
      <c r="P397" s="165" t="str">
        <f t="shared" si="96"/>
        <v/>
      </c>
      <c r="Q397" s="207"/>
      <c r="R397" s="141" t="str">
        <f>IF(S397="IN",'BOM_Phan II'!$Y$3,"")</f>
        <v/>
      </c>
      <c r="S397" s="153" t="str">
        <f t="shared" si="97"/>
        <v/>
      </c>
      <c r="T397">
        <f t="shared" si="98"/>
        <v>6</v>
      </c>
      <c r="U397" s="208" t="str">
        <f t="shared" si="106"/>
        <v>KIỆN 9</v>
      </c>
      <c r="V397" s="208" t="str">
        <f t="shared" si="99"/>
        <v/>
      </c>
      <c r="W397" s="240"/>
      <c r="X397" s="240"/>
      <c r="Y397" s="240" t="str">
        <f t="shared" si="100"/>
        <v/>
      </c>
      <c r="Z397" s="240"/>
      <c r="AD397" s="232" t="str">
        <f t="shared" si="101"/>
        <v/>
      </c>
      <c r="AE397" s="204"/>
      <c r="AX397" s="3" t="str">
        <f t="shared" si="107"/>
        <v/>
      </c>
    </row>
    <row r="398" spans="1:50" s="155" customFormat="1" ht="30" hidden="1" customHeight="1">
      <c r="A398" s="141" t="str">
        <f t="shared" si="102"/>
        <v/>
      </c>
      <c r="B398" s="141" t="str">
        <f t="shared" si="103"/>
        <v/>
      </c>
      <c r="C398" s="205" t="str" cm="1">
        <f t="array" ref="C398">IF(D398="","",
    IF(AND(ISNUMBER(D398), D398=INT(D398)),
        $V$6 &amp; " " &amp; (IFERROR(MAX($Y$12:$Y397), 0) + 1),
        IF(ISNUMBER(SEARCH(".", D398)), "", INDEX($C$12:$C398, MATCH(2, 1/($C$12:$C398 &lt;&gt; ""))))
    )
)</f>
        <v/>
      </c>
      <c r="D398" s="206"/>
      <c r="E398" s="206" t="str">
        <f>IF(AA398 = "", "",
    IF(ISNUMBER(SEARCH("Kiện", C398)),
       " GÓI " &amp; COUNTIF($C$13:C398, "*Kiện*") &amp; "/" &amp; COUNTIF($C$13:$C$1000, "*Kiện*") &amp; " " &amp; AA398,
       AA398)
)</f>
        <v/>
      </c>
      <c r="F398" s="206"/>
      <c r="G398" s="206"/>
      <c r="H398" s="206"/>
      <c r="I398" s="206"/>
      <c r="J398" s="206" t="str">
        <f t="shared" si="104"/>
        <v/>
      </c>
      <c r="K398" s="206" t="str">
        <f t="shared" ref="K398:K461" si="108">IFERROR(IF($C398&lt;&gt;"",IF($T$13=1,F398+20,IF($T$13=2,F398+20,IF($T$13=3,F398+50,IF($T$13=4,F398+40,IF($T$13=5,F398+50,IF($T$13=51,F398+50,IF($T$13=6,F398+50,IF($T$13=7,F398+50,"")))))))),""),"")</f>
        <v/>
      </c>
      <c r="L398" s="206" t="str">
        <f t="shared" ref="L398:L461" si="109">IFERROR(IF($C398&lt;&gt;"",IF($T$13=1,G398+20,IF($T$13=2,G398+20,IF($T$13=3,G398+50,IF($T$13=4,G398+40,IF($T$13=5,G398+50,IF($T$13=51,G398+50,IF($T$13=6,G398+50,IF($T$13=7,G398+50,"")))))))),""),"")</f>
        <v/>
      </c>
      <c r="M398" s="206" t="str">
        <f t="shared" ref="M398:M461" si="110">IFERROR(IF($C398&lt;&gt;"",IF($T$13=1,H398+20,IF($T$13=2,H398+20,IF($T$13=3,H398+70,IF($T$13=4,H398+40,IF($T$13=5,H398+50,IF($T$13=51,H398+150,IF($T$13=6,H398+50,IF($T$13=7,H398+50,"")))))))),""),"")</f>
        <v/>
      </c>
      <c r="N398" s="206" t="str">
        <f t="shared" si="105"/>
        <v/>
      </c>
      <c r="O398" s="206" t="str">
        <f t="shared" ref="O398:O461" si="111">IF(C398&lt;&gt;"",$O$12,"")</f>
        <v/>
      </c>
      <c r="P398" s="165" t="str">
        <f t="shared" ref="P398:P461" si="112">IFERROR(IF(C398&lt;&gt;"",SUMIFS($V$13:$V$969,$U$13:$U$969,C398)*$S$6,V398*$S$6),"")</f>
        <v/>
      </c>
      <c r="Q398" s="207"/>
      <c r="R398" s="141" t="str">
        <f>IF(S398="IN",'BOM_Phan II'!$Y$3,"")</f>
        <v/>
      </c>
      <c r="S398" s="153" t="str">
        <f t="shared" ref="S398:S461" si="113">IF(OR(E398&lt;&gt;"",D398&lt;&gt;""),"IN","")</f>
        <v/>
      </c>
      <c r="T398">
        <f t="shared" ref="T398:T461" si="114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398" s="208" t="str">
        <f t="shared" si="106"/>
        <v>KIỆN 9</v>
      </c>
      <c r="V398" s="208" t="str">
        <f t="shared" ref="V398:V461" si="115">IFERROR(IF(AND(C398="", OR($W398="1", $W398="2")), IF(I398="", "", F398*G398*H398*I398/10^9), ""), "")</f>
        <v/>
      </c>
      <c r="W398" s="240"/>
      <c r="X398" s="240"/>
      <c r="Y398" s="240" t="str">
        <f t="shared" ref="Y398:Y461" si="116">IFERROR(VALUE(RIGHT(C398,LEN(C398)-5)),"")</f>
        <v/>
      </c>
      <c r="Z398" s="240"/>
      <c r="AD398" s="232" t="str">
        <f t="shared" ref="AD398:AD461" si="117">IFERROR(VALUE(RIGHT(C398,LEN(C398)-5)),"")</f>
        <v/>
      </c>
      <c r="AE398" s="204"/>
      <c r="AX398" s="3" t="str">
        <f t="shared" si="107"/>
        <v/>
      </c>
    </row>
    <row r="399" spans="1:50" s="155" customFormat="1" ht="30" hidden="1" customHeight="1">
      <c r="A399" s="141" t="str">
        <f t="shared" si="102"/>
        <v/>
      </c>
      <c r="B399" s="141" t="str">
        <f t="shared" si="103"/>
        <v/>
      </c>
      <c r="C399" s="205" t="str" cm="1">
        <f t="array" ref="C399">IF(D399="","",
    IF(AND(ISNUMBER(D399), D399=INT(D399)),
        $V$6 &amp; " " &amp; (IFERROR(MAX($Y$12:$Y398), 0) + 1),
        IF(ISNUMBER(SEARCH(".", D399)), "", INDEX($C$12:$C399, MATCH(2, 1/($C$12:$C399 &lt;&gt; ""))))
    )
)</f>
        <v/>
      </c>
      <c r="D399" s="206"/>
      <c r="E399" s="206" t="str">
        <f>IF(AA399 = "", "",
    IF(ISNUMBER(SEARCH("Kiện", C399)),
       " GÓI " &amp; COUNTIF($C$13:C399, "*Kiện*") &amp; "/" &amp; COUNTIF($C$13:$C$1000, "*Kiện*") &amp; " " &amp; AA399,
       AA399)
)</f>
        <v/>
      </c>
      <c r="F399" s="206"/>
      <c r="G399" s="206"/>
      <c r="H399" s="206"/>
      <c r="I399" s="206"/>
      <c r="J399" s="206" t="str">
        <f t="shared" si="104"/>
        <v/>
      </c>
      <c r="K399" s="206" t="str">
        <f t="shared" si="108"/>
        <v/>
      </c>
      <c r="L399" s="206" t="str">
        <f t="shared" si="109"/>
        <v/>
      </c>
      <c r="M399" s="206" t="str">
        <f t="shared" si="110"/>
        <v/>
      </c>
      <c r="N399" s="206" t="str">
        <f t="shared" si="105"/>
        <v/>
      </c>
      <c r="O399" s="206" t="str">
        <f t="shared" si="111"/>
        <v/>
      </c>
      <c r="P399" s="165" t="str">
        <f t="shared" si="112"/>
        <v/>
      </c>
      <c r="Q399" s="207"/>
      <c r="R399" s="141" t="str">
        <f>IF(S399="IN",'BOM_Phan II'!$Y$3,"")</f>
        <v/>
      </c>
      <c r="S399" s="153" t="str">
        <f t="shared" si="113"/>
        <v/>
      </c>
      <c r="T399">
        <f t="shared" si="114"/>
        <v>6</v>
      </c>
      <c r="U399" s="208" t="str">
        <f t="shared" si="106"/>
        <v>KIỆN 9</v>
      </c>
      <c r="V399" s="208" t="str">
        <f t="shared" si="115"/>
        <v/>
      </c>
      <c r="W399" s="240"/>
      <c r="X399" s="240"/>
      <c r="Y399" s="240" t="str">
        <f t="shared" si="116"/>
        <v/>
      </c>
      <c r="Z399" s="240"/>
      <c r="AD399" s="232" t="str">
        <f t="shared" si="117"/>
        <v/>
      </c>
      <c r="AE399" s="204"/>
      <c r="AX399" s="3" t="str">
        <f t="shared" si="107"/>
        <v/>
      </c>
    </row>
    <row r="400" spans="1:50" s="155" customFormat="1" ht="30" hidden="1" customHeight="1">
      <c r="A400" s="141" t="str">
        <f t="shared" ref="A400:A463" si="118">IF(S400="IN",$E$6,"")</f>
        <v/>
      </c>
      <c r="B400" s="141" t="str">
        <f t="shared" ref="B400:B463" si="119">IF(S400="IN","Muc "&amp;$E$7,"")</f>
        <v/>
      </c>
      <c r="C400" s="205" t="str" cm="1">
        <f t="array" ref="C400">IF(D400="","",
    IF(AND(ISNUMBER(D400), D400=INT(D400)),
        $V$6 &amp; " " &amp; (IFERROR(MAX($Y$12:$Y399), 0) + 1),
        IF(ISNUMBER(SEARCH(".", D400)), "", INDEX($C$12:$C400, MATCH(2, 1/($C$12:$C400 &lt;&gt; ""))))
    )
)</f>
        <v/>
      </c>
      <c r="D400" s="206"/>
      <c r="E400" s="206" t="str">
        <f>IF(AA400 = "", "",
    IF(ISNUMBER(SEARCH("Kiện", C400)),
       " GÓI " &amp; COUNTIF($C$13:C400, "*Kiện*") &amp; "/" &amp; COUNTIF($C$13:$C$1000, "*Kiện*") &amp; " " &amp; AA400,
       AA400)
)</f>
        <v/>
      </c>
      <c r="F400" s="206"/>
      <c r="G400" s="206"/>
      <c r="H400" s="206"/>
      <c r="I400" s="206"/>
      <c r="J400" s="206" t="str">
        <f t="shared" ref="J400:J463" si="120">IF(C400&lt;&gt;"",C400&amp;"_"&amp;$E$6,"")</f>
        <v/>
      </c>
      <c r="K400" s="206" t="str">
        <f t="shared" si="108"/>
        <v/>
      </c>
      <c r="L400" s="206" t="str">
        <f t="shared" si="109"/>
        <v/>
      </c>
      <c r="M400" s="206" t="str">
        <f t="shared" si="110"/>
        <v/>
      </c>
      <c r="N400" s="206" t="str">
        <f t="shared" ref="N400:N463" si="121">IF(C400&lt;&gt;"",I400,"")</f>
        <v/>
      </c>
      <c r="O400" s="206" t="str">
        <f t="shared" si="111"/>
        <v/>
      </c>
      <c r="P400" s="165" t="str">
        <f t="shared" si="112"/>
        <v/>
      </c>
      <c r="Q400" s="207"/>
      <c r="R400" s="141" t="str">
        <f>IF(S400="IN",'BOM_Phan II'!$Y$3,"")</f>
        <v/>
      </c>
      <c r="S400" s="153" t="str">
        <f t="shared" si="113"/>
        <v/>
      </c>
      <c r="T400">
        <f t="shared" si="114"/>
        <v>6</v>
      </c>
      <c r="U400" s="208" t="str">
        <f t="shared" ref="U400:U463" si="122">IF(C400="",U399,C400)</f>
        <v>KIỆN 9</v>
      </c>
      <c r="V400" s="208" t="str">
        <f t="shared" si="115"/>
        <v/>
      </c>
      <c r="W400" s="240"/>
      <c r="X400" s="240"/>
      <c r="Y400" s="240" t="str">
        <f t="shared" si="116"/>
        <v/>
      </c>
      <c r="Z400" s="240"/>
      <c r="AD400" s="232" t="str">
        <f t="shared" si="117"/>
        <v/>
      </c>
      <c r="AE400" s="204"/>
      <c r="AX400" s="3" t="str">
        <f t="shared" si="107"/>
        <v/>
      </c>
    </row>
    <row r="401" spans="1:50" s="155" customFormat="1" ht="30" hidden="1" customHeight="1">
      <c r="A401" s="141" t="str">
        <f t="shared" si="118"/>
        <v/>
      </c>
      <c r="B401" s="141" t="str">
        <f t="shared" si="119"/>
        <v/>
      </c>
      <c r="C401" s="205" t="str" cm="1">
        <f t="array" ref="C401">IF(D401="","",
    IF(AND(ISNUMBER(D401), D401=INT(D401)),
        $V$6 &amp; " " &amp; (IFERROR(MAX($Y$12:$Y400), 0) + 1),
        IF(ISNUMBER(SEARCH(".", D401)), "", INDEX($C$12:$C401, MATCH(2, 1/($C$12:$C401 &lt;&gt; ""))))
    )
)</f>
        <v/>
      </c>
      <c r="D401" s="206"/>
      <c r="E401" s="206" t="str">
        <f>IF(AA401 = "", "",
    IF(ISNUMBER(SEARCH("Kiện", C401)),
       " GÓI " &amp; COUNTIF($C$13:C401, "*Kiện*") &amp; "/" &amp; COUNTIF($C$13:$C$1000, "*Kiện*") &amp; " " &amp; AA401,
       AA401)
)</f>
        <v/>
      </c>
      <c r="F401" s="206"/>
      <c r="G401" s="206"/>
      <c r="H401" s="206"/>
      <c r="I401" s="206"/>
      <c r="J401" s="206" t="str">
        <f t="shared" si="120"/>
        <v/>
      </c>
      <c r="K401" s="206" t="str">
        <f t="shared" si="108"/>
        <v/>
      </c>
      <c r="L401" s="206" t="str">
        <f t="shared" si="109"/>
        <v/>
      </c>
      <c r="M401" s="206" t="str">
        <f t="shared" si="110"/>
        <v/>
      </c>
      <c r="N401" s="206" t="str">
        <f t="shared" si="121"/>
        <v/>
      </c>
      <c r="O401" s="206" t="str">
        <f t="shared" si="111"/>
        <v/>
      </c>
      <c r="P401" s="165" t="str">
        <f t="shared" si="112"/>
        <v/>
      </c>
      <c r="Q401" s="207"/>
      <c r="R401" s="141" t="str">
        <f>IF(S401="IN",'BOM_Phan II'!$Y$3,"")</f>
        <v/>
      </c>
      <c r="S401" s="153" t="str">
        <f t="shared" si="113"/>
        <v/>
      </c>
      <c r="T401">
        <f t="shared" si="114"/>
        <v>6</v>
      </c>
      <c r="U401" s="208" t="str">
        <f t="shared" si="122"/>
        <v>KIỆN 9</v>
      </c>
      <c r="V401" s="208" t="str">
        <f t="shared" si="115"/>
        <v/>
      </c>
      <c r="W401" s="240"/>
      <c r="X401" s="240"/>
      <c r="Y401" s="240" t="str">
        <f t="shared" si="116"/>
        <v/>
      </c>
      <c r="Z401" s="240"/>
      <c r="AD401" s="232" t="str">
        <f t="shared" si="117"/>
        <v/>
      </c>
      <c r="AE401" s="204"/>
      <c r="AX401" s="3" t="str">
        <f t="shared" si="107"/>
        <v/>
      </c>
    </row>
    <row r="402" spans="1:50" s="155" customFormat="1" ht="30" hidden="1" customHeight="1">
      <c r="A402" s="141" t="str">
        <f t="shared" si="118"/>
        <v/>
      </c>
      <c r="B402" s="141" t="str">
        <f t="shared" si="119"/>
        <v/>
      </c>
      <c r="C402" s="205" t="str" cm="1">
        <f t="array" ref="C402">IF(D402="","",
    IF(AND(ISNUMBER(D402), D402=INT(D402)),
        $V$6 &amp; " " &amp; (IFERROR(MAX($Y$12:$Y401), 0) + 1),
        IF(ISNUMBER(SEARCH(".", D402)), "", INDEX($C$12:$C402, MATCH(2, 1/($C$12:$C402 &lt;&gt; ""))))
    )
)</f>
        <v/>
      </c>
      <c r="D402" s="206"/>
      <c r="E402" s="206" t="str">
        <f>IF(AA402 = "", "",
    IF(ISNUMBER(SEARCH("Kiện", C402)),
       " GÓI " &amp; COUNTIF($C$13:C402, "*Kiện*") &amp; "/" &amp; COUNTIF($C$13:$C$1000, "*Kiện*") &amp; " " &amp; AA402,
       AA402)
)</f>
        <v/>
      </c>
      <c r="F402" s="206"/>
      <c r="G402" s="206"/>
      <c r="H402" s="206"/>
      <c r="I402" s="206"/>
      <c r="J402" s="206" t="str">
        <f t="shared" si="120"/>
        <v/>
      </c>
      <c r="K402" s="206" t="str">
        <f t="shared" si="108"/>
        <v/>
      </c>
      <c r="L402" s="206" t="str">
        <f t="shared" si="109"/>
        <v/>
      </c>
      <c r="M402" s="206" t="str">
        <f t="shared" si="110"/>
        <v/>
      </c>
      <c r="N402" s="206" t="str">
        <f t="shared" si="121"/>
        <v/>
      </c>
      <c r="O402" s="206" t="str">
        <f t="shared" si="111"/>
        <v/>
      </c>
      <c r="P402" s="165" t="str">
        <f t="shared" si="112"/>
        <v/>
      </c>
      <c r="Q402" s="207"/>
      <c r="R402" s="141" t="str">
        <f>IF(S402="IN",'BOM_Phan II'!$Y$3,"")</f>
        <v/>
      </c>
      <c r="S402" s="153" t="str">
        <f t="shared" si="113"/>
        <v/>
      </c>
      <c r="T402">
        <f t="shared" si="114"/>
        <v>6</v>
      </c>
      <c r="U402" s="208" t="str">
        <f t="shared" si="122"/>
        <v>KIỆN 9</v>
      </c>
      <c r="V402" s="208" t="str">
        <f t="shared" si="115"/>
        <v/>
      </c>
      <c r="W402" s="240"/>
      <c r="X402" s="240"/>
      <c r="Y402" s="240" t="str">
        <f t="shared" si="116"/>
        <v/>
      </c>
      <c r="Z402" s="240"/>
      <c r="AD402" s="232" t="str">
        <f t="shared" si="117"/>
        <v/>
      </c>
      <c r="AE402" s="204"/>
      <c r="AX402" s="3" t="str">
        <f t="shared" si="107"/>
        <v/>
      </c>
    </row>
    <row r="403" spans="1:50" s="155" customFormat="1" ht="30" hidden="1" customHeight="1">
      <c r="A403" s="141" t="str">
        <f t="shared" si="118"/>
        <v/>
      </c>
      <c r="B403" s="141" t="str">
        <f t="shared" si="119"/>
        <v/>
      </c>
      <c r="C403" s="205" t="str" cm="1">
        <f t="array" ref="C403">IF(D403="","",
    IF(AND(ISNUMBER(D403), D403=INT(D403)),
        $V$6 &amp; " " &amp; (IFERROR(MAX($Y$12:$Y402), 0) + 1),
        IF(ISNUMBER(SEARCH(".", D403)), "", INDEX($C$12:$C403, MATCH(2, 1/($C$12:$C403 &lt;&gt; ""))))
    )
)</f>
        <v/>
      </c>
      <c r="D403" s="206"/>
      <c r="E403" s="206" t="str">
        <f>IF(AA403 = "", "",
    IF(ISNUMBER(SEARCH("Kiện", C403)),
       " GÓI " &amp; COUNTIF($C$13:C403, "*Kiện*") &amp; "/" &amp; COUNTIF($C$13:$C$1000, "*Kiện*") &amp; " " &amp; AA403,
       AA403)
)</f>
        <v/>
      </c>
      <c r="F403" s="206"/>
      <c r="G403" s="206"/>
      <c r="H403" s="206"/>
      <c r="I403" s="206"/>
      <c r="J403" s="206" t="str">
        <f t="shared" si="120"/>
        <v/>
      </c>
      <c r="K403" s="206" t="str">
        <f t="shared" si="108"/>
        <v/>
      </c>
      <c r="L403" s="206" t="str">
        <f t="shared" si="109"/>
        <v/>
      </c>
      <c r="M403" s="206" t="str">
        <f t="shared" si="110"/>
        <v/>
      </c>
      <c r="N403" s="206" t="str">
        <f t="shared" si="121"/>
        <v/>
      </c>
      <c r="O403" s="206" t="str">
        <f t="shared" si="111"/>
        <v/>
      </c>
      <c r="P403" s="165" t="str">
        <f t="shared" si="112"/>
        <v/>
      </c>
      <c r="Q403" s="207"/>
      <c r="R403" s="141" t="str">
        <f>IF(S403="IN",'BOM_Phan II'!$Y$3,"")</f>
        <v/>
      </c>
      <c r="S403" s="153" t="str">
        <f t="shared" si="113"/>
        <v/>
      </c>
      <c r="T403">
        <f t="shared" si="114"/>
        <v>6</v>
      </c>
      <c r="U403" s="208" t="str">
        <f t="shared" si="122"/>
        <v>KIỆN 9</v>
      </c>
      <c r="V403" s="208" t="str">
        <f t="shared" si="115"/>
        <v/>
      </c>
      <c r="W403" s="240"/>
      <c r="X403" s="240"/>
      <c r="Y403" s="240" t="str">
        <f t="shared" si="116"/>
        <v/>
      </c>
      <c r="Z403" s="240"/>
      <c r="AD403" s="232" t="str">
        <f t="shared" si="117"/>
        <v/>
      </c>
      <c r="AE403" s="204"/>
      <c r="AX403" s="3" t="str">
        <f t="shared" si="107"/>
        <v/>
      </c>
    </row>
    <row r="404" spans="1:50" s="155" customFormat="1" ht="30" hidden="1" customHeight="1">
      <c r="A404" s="141" t="str">
        <f t="shared" si="118"/>
        <v/>
      </c>
      <c r="B404" s="141" t="str">
        <f t="shared" si="119"/>
        <v/>
      </c>
      <c r="C404" s="205" t="str" cm="1">
        <f t="array" ref="C404">IF(D404="","",
    IF(AND(ISNUMBER(D404), D404=INT(D404)),
        $V$6 &amp; " " &amp; (IFERROR(MAX($Y$12:$Y403), 0) + 1),
        IF(ISNUMBER(SEARCH(".", D404)), "", INDEX($C$12:$C404, MATCH(2, 1/($C$12:$C404 &lt;&gt; ""))))
    )
)</f>
        <v/>
      </c>
      <c r="D404" s="206"/>
      <c r="E404" s="206" t="str">
        <f>IF(AA404 = "", "",
    IF(ISNUMBER(SEARCH("Kiện", C404)),
       " GÓI " &amp; COUNTIF($C$13:C404, "*Kiện*") &amp; "/" &amp; COUNTIF($C$13:$C$1000, "*Kiện*") &amp; " " &amp; AA404,
       AA404)
)</f>
        <v/>
      </c>
      <c r="F404" s="206"/>
      <c r="G404" s="206"/>
      <c r="H404" s="206"/>
      <c r="I404" s="206"/>
      <c r="J404" s="206" t="str">
        <f t="shared" si="120"/>
        <v/>
      </c>
      <c r="K404" s="206" t="str">
        <f t="shared" si="108"/>
        <v/>
      </c>
      <c r="L404" s="206" t="str">
        <f t="shared" si="109"/>
        <v/>
      </c>
      <c r="M404" s="206" t="str">
        <f t="shared" si="110"/>
        <v/>
      </c>
      <c r="N404" s="206" t="str">
        <f t="shared" si="121"/>
        <v/>
      </c>
      <c r="O404" s="206" t="str">
        <f t="shared" si="111"/>
        <v/>
      </c>
      <c r="P404" s="165" t="str">
        <f t="shared" si="112"/>
        <v/>
      </c>
      <c r="Q404" s="207"/>
      <c r="R404" s="141" t="str">
        <f>IF(S404="IN",'BOM_Phan II'!$Y$3,"")</f>
        <v/>
      </c>
      <c r="S404" s="153" t="str">
        <f t="shared" si="113"/>
        <v/>
      </c>
      <c r="T404">
        <f t="shared" si="114"/>
        <v>6</v>
      </c>
      <c r="U404" s="208" t="str">
        <f t="shared" si="122"/>
        <v>KIỆN 9</v>
      </c>
      <c r="V404" s="208" t="str">
        <f t="shared" si="115"/>
        <v/>
      </c>
      <c r="W404" s="240"/>
      <c r="X404" s="240"/>
      <c r="Y404" s="240" t="str">
        <f t="shared" si="116"/>
        <v/>
      </c>
      <c r="Z404" s="240"/>
      <c r="AD404" s="232" t="str">
        <f t="shared" si="117"/>
        <v/>
      </c>
      <c r="AE404" s="204"/>
      <c r="AX404" s="3" t="str">
        <f t="shared" si="107"/>
        <v/>
      </c>
    </row>
    <row r="405" spans="1:50" s="155" customFormat="1" ht="30" hidden="1" customHeight="1">
      <c r="A405" s="141" t="str">
        <f t="shared" si="118"/>
        <v/>
      </c>
      <c r="B405" s="141" t="str">
        <f t="shared" si="119"/>
        <v/>
      </c>
      <c r="C405" s="205" t="str" cm="1">
        <f t="array" ref="C405">IF(D405="","",
    IF(AND(ISNUMBER(D405), D405=INT(D405)),
        $V$6 &amp; " " &amp; (IFERROR(MAX($Y$12:$Y404), 0) + 1),
        IF(ISNUMBER(SEARCH(".", D405)), "", INDEX($C$12:$C405, MATCH(2, 1/($C$12:$C405 &lt;&gt; ""))))
    )
)</f>
        <v/>
      </c>
      <c r="D405" s="206"/>
      <c r="E405" s="206" t="str">
        <f>IF(AA405 = "", "",
    IF(ISNUMBER(SEARCH("Kiện", C405)),
       " GÓI " &amp; COUNTIF($C$13:C405, "*Kiện*") &amp; "/" &amp; COUNTIF($C$13:$C$1000, "*Kiện*") &amp; " " &amp; AA405,
       AA405)
)</f>
        <v/>
      </c>
      <c r="F405" s="206"/>
      <c r="G405" s="206"/>
      <c r="H405" s="206"/>
      <c r="I405" s="206"/>
      <c r="J405" s="206" t="str">
        <f t="shared" si="120"/>
        <v/>
      </c>
      <c r="K405" s="206" t="str">
        <f t="shared" si="108"/>
        <v/>
      </c>
      <c r="L405" s="206" t="str">
        <f t="shared" si="109"/>
        <v/>
      </c>
      <c r="M405" s="206" t="str">
        <f t="shared" si="110"/>
        <v/>
      </c>
      <c r="N405" s="206" t="str">
        <f t="shared" si="121"/>
        <v/>
      </c>
      <c r="O405" s="206" t="str">
        <f t="shared" si="111"/>
        <v/>
      </c>
      <c r="P405" s="165" t="str">
        <f t="shared" si="112"/>
        <v/>
      </c>
      <c r="Q405" s="207"/>
      <c r="R405" s="141" t="str">
        <f>IF(S405="IN",'BOM_Phan II'!$Y$3,"")</f>
        <v/>
      </c>
      <c r="S405" s="153" t="str">
        <f t="shared" si="113"/>
        <v/>
      </c>
      <c r="T405">
        <f t="shared" si="114"/>
        <v>6</v>
      </c>
      <c r="U405" s="208" t="str">
        <f t="shared" si="122"/>
        <v>KIỆN 9</v>
      </c>
      <c r="V405" s="208" t="str">
        <f t="shared" si="115"/>
        <v/>
      </c>
      <c r="W405" s="240"/>
      <c r="X405" s="240"/>
      <c r="Y405" s="240" t="str">
        <f t="shared" si="116"/>
        <v/>
      </c>
      <c r="Z405" s="240"/>
      <c r="AD405" s="232" t="str">
        <f t="shared" si="117"/>
        <v/>
      </c>
      <c r="AE405" s="204"/>
      <c r="AX405" s="3" t="str">
        <f t="shared" si="107"/>
        <v/>
      </c>
    </row>
    <row r="406" spans="1:50" s="155" customFormat="1" ht="30" hidden="1" customHeight="1">
      <c r="A406" s="141" t="str">
        <f t="shared" si="118"/>
        <v/>
      </c>
      <c r="B406" s="141" t="str">
        <f t="shared" si="119"/>
        <v/>
      </c>
      <c r="C406" s="205" t="str" cm="1">
        <f t="array" ref="C406">IF(D406="","",
    IF(AND(ISNUMBER(D406), D406=INT(D406)),
        $V$6 &amp; " " &amp; (IFERROR(MAX($Y$12:$Y405), 0) + 1),
        IF(ISNUMBER(SEARCH(".", D406)), "", INDEX($C$12:$C406, MATCH(2, 1/($C$12:$C406 &lt;&gt; ""))))
    )
)</f>
        <v/>
      </c>
      <c r="D406" s="206"/>
      <c r="E406" s="206" t="str">
        <f>IF(AA406 = "", "",
    IF(ISNUMBER(SEARCH("Kiện", C406)),
       " GÓI " &amp; COUNTIF($C$13:C406, "*Kiện*") &amp; "/" &amp; COUNTIF($C$13:$C$1000, "*Kiện*") &amp; " " &amp; AA406,
       AA406)
)</f>
        <v/>
      </c>
      <c r="F406" s="206"/>
      <c r="G406" s="206"/>
      <c r="H406" s="206"/>
      <c r="I406" s="206"/>
      <c r="J406" s="206" t="str">
        <f t="shared" si="120"/>
        <v/>
      </c>
      <c r="K406" s="206" t="str">
        <f t="shared" si="108"/>
        <v/>
      </c>
      <c r="L406" s="206" t="str">
        <f t="shared" si="109"/>
        <v/>
      </c>
      <c r="M406" s="206" t="str">
        <f t="shared" si="110"/>
        <v/>
      </c>
      <c r="N406" s="206" t="str">
        <f t="shared" si="121"/>
        <v/>
      </c>
      <c r="O406" s="206" t="str">
        <f t="shared" si="111"/>
        <v/>
      </c>
      <c r="P406" s="165" t="str">
        <f t="shared" si="112"/>
        <v/>
      </c>
      <c r="Q406" s="207"/>
      <c r="R406" s="141" t="str">
        <f>IF(S406="IN",'BOM_Phan II'!$Y$3,"")</f>
        <v/>
      </c>
      <c r="S406" s="153" t="str">
        <f t="shared" si="113"/>
        <v/>
      </c>
      <c r="T406">
        <f t="shared" si="114"/>
        <v>6</v>
      </c>
      <c r="U406" s="208" t="str">
        <f t="shared" si="122"/>
        <v>KIỆN 9</v>
      </c>
      <c r="V406" s="208" t="str">
        <f t="shared" si="115"/>
        <v/>
      </c>
      <c r="W406" s="240"/>
      <c r="X406" s="240"/>
      <c r="Y406" s="240" t="str">
        <f t="shared" si="116"/>
        <v/>
      </c>
      <c r="Z406" s="240"/>
      <c r="AD406" s="232" t="str">
        <f t="shared" si="117"/>
        <v/>
      </c>
      <c r="AE406" s="204"/>
      <c r="AX406" s="3" t="str">
        <f t="shared" si="107"/>
        <v/>
      </c>
    </row>
    <row r="407" spans="1:50" s="155" customFormat="1" ht="30" hidden="1" customHeight="1">
      <c r="A407" s="141" t="str">
        <f t="shared" si="118"/>
        <v/>
      </c>
      <c r="B407" s="141" t="str">
        <f t="shared" si="119"/>
        <v/>
      </c>
      <c r="C407" s="205" t="str" cm="1">
        <f t="array" ref="C407">IF(D407="","",
    IF(AND(ISNUMBER(D407), D407=INT(D407)),
        $V$6 &amp; " " &amp; (IFERROR(MAX($Y$12:$Y406), 0) + 1),
        IF(ISNUMBER(SEARCH(".", D407)), "", INDEX($C$12:$C407, MATCH(2, 1/($C$12:$C407 &lt;&gt; ""))))
    )
)</f>
        <v/>
      </c>
      <c r="D407" s="206"/>
      <c r="E407" s="206" t="str">
        <f>IF(AA407 = "", "",
    IF(ISNUMBER(SEARCH("Kiện", C407)),
       " GÓI " &amp; COUNTIF($C$13:C407, "*Kiện*") &amp; "/" &amp; COUNTIF($C$13:$C$1000, "*Kiện*") &amp; " " &amp; AA407,
       AA407)
)</f>
        <v/>
      </c>
      <c r="F407" s="206"/>
      <c r="G407" s="206"/>
      <c r="H407" s="206"/>
      <c r="I407" s="206"/>
      <c r="J407" s="206" t="str">
        <f t="shared" si="120"/>
        <v/>
      </c>
      <c r="K407" s="206" t="str">
        <f t="shared" si="108"/>
        <v/>
      </c>
      <c r="L407" s="206" t="str">
        <f t="shared" si="109"/>
        <v/>
      </c>
      <c r="M407" s="206" t="str">
        <f t="shared" si="110"/>
        <v/>
      </c>
      <c r="N407" s="206" t="str">
        <f t="shared" si="121"/>
        <v/>
      </c>
      <c r="O407" s="206" t="str">
        <f t="shared" si="111"/>
        <v/>
      </c>
      <c r="P407" s="165" t="str">
        <f t="shared" si="112"/>
        <v/>
      </c>
      <c r="Q407" s="207"/>
      <c r="R407" s="141" t="str">
        <f>IF(S407="IN",'BOM_Phan II'!$Y$3,"")</f>
        <v/>
      </c>
      <c r="S407" s="153" t="str">
        <f t="shared" si="113"/>
        <v/>
      </c>
      <c r="T407">
        <f t="shared" si="114"/>
        <v>6</v>
      </c>
      <c r="U407" s="208" t="str">
        <f t="shared" si="122"/>
        <v>KIỆN 9</v>
      </c>
      <c r="V407" s="208" t="str">
        <f t="shared" si="115"/>
        <v/>
      </c>
      <c r="W407" s="240"/>
      <c r="X407" s="240"/>
      <c r="Y407" s="240" t="str">
        <f t="shared" si="116"/>
        <v/>
      </c>
      <c r="Z407" s="240"/>
      <c r="AD407" s="232" t="str">
        <f t="shared" si="117"/>
        <v/>
      </c>
      <c r="AE407" s="204"/>
      <c r="AX407" s="3" t="str">
        <f t="shared" si="107"/>
        <v/>
      </c>
    </row>
    <row r="408" spans="1:50" s="155" customFormat="1" ht="30" hidden="1" customHeight="1">
      <c r="A408" s="141" t="str">
        <f t="shared" si="118"/>
        <v/>
      </c>
      <c r="B408" s="141" t="str">
        <f t="shared" si="119"/>
        <v/>
      </c>
      <c r="C408" s="205" t="str" cm="1">
        <f t="array" ref="C408">IF(D408="","",
    IF(AND(ISNUMBER(D408), D408=INT(D408)),
        $V$6 &amp; " " &amp; (IFERROR(MAX($Y$12:$Y407), 0) + 1),
        IF(ISNUMBER(SEARCH(".", D408)), "", INDEX($C$12:$C408, MATCH(2, 1/($C$12:$C408 &lt;&gt; ""))))
    )
)</f>
        <v/>
      </c>
      <c r="D408" s="206"/>
      <c r="E408" s="206" t="str">
        <f>IF(AA408 = "", "",
    IF(ISNUMBER(SEARCH("Kiện", C408)),
       " GÓI " &amp; COUNTIF($C$13:C408, "*Kiện*") &amp; "/" &amp; COUNTIF($C$13:$C$1000, "*Kiện*") &amp; " " &amp; AA408,
       AA408)
)</f>
        <v/>
      </c>
      <c r="F408" s="206"/>
      <c r="G408" s="206"/>
      <c r="H408" s="206"/>
      <c r="I408" s="206"/>
      <c r="J408" s="206" t="str">
        <f t="shared" si="120"/>
        <v/>
      </c>
      <c r="K408" s="206" t="str">
        <f t="shared" si="108"/>
        <v/>
      </c>
      <c r="L408" s="206" t="str">
        <f t="shared" si="109"/>
        <v/>
      </c>
      <c r="M408" s="206" t="str">
        <f t="shared" si="110"/>
        <v/>
      </c>
      <c r="N408" s="206" t="str">
        <f t="shared" si="121"/>
        <v/>
      </c>
      <c r="O408" s="206" t="str">
        <f t="shared" si="111"/>
        <v/>
      </c>
      <c r="P408" s="165" t="str">
        <f t="shared" si="112"/>
        <v/>
      </c>
      <c r="Q408" s="207"/>
      <c r="R408" s="141" t="str">
        <f>IF(S408="IN",'BOM_Phan II'!$Y$3,"")</f>
        <v/>
      </c>
      <c r="S408" s="153" t="str">
        <f t="shared" si="113"/>
        <v/>
      </c>
      <c r="T408">
        <f t="shared" si="114"/>
        <v>6</v>
      </c>
      <c r="U408" s="208" t="str">
        <f t="shared" si="122"/>
        <v>KIỆN 9</v>
      </c>
      <c r="V408" s="208" t="str">
        <f t="shared" si="115"/>
        <v/>
      </c>
      <c r="W408" s="240"/>
      <c r="X408" s="240"/>
      <c r="Y408" s="240" t="str">
        <f t="shared" si="116"/>
        <v/>
      </c>
      <c r="Z408" s="240"/>
      <c r="AD408" s="232" t="str">
        <f t="shared" si="117"/>
        <v/>
      </c>
      <c r="AE408" s="204"/>
      <c r="AX408" s="3" t="str">
        <f t="shared" si="107"/>
        <v/>
      </c>
    </row>
    <row r="409" spans="1:50" s="155" customFormat="1" ht="30" hidden="1" customHeight="1">
      <c r="A409" s="141" t="str">
        <f t="shared" si="118"/>
        <v/>
      </c>
      <c r="B409" s="141" t="str">
        <f t="shared" si="119"/>
        <v/>
      </c>
      <c r="C409" s="205" t="str" cm="1">
        <f t="array" ref="C409">IF(D409="","",
    IF(AND(ISNUMBER(D409), D409=INT(D409)),
        $V$6 &amp; " " &amp; (IFERROR(MAX($Y$12:$Y408), 0) + 1),
        IF(ISNUMBER(SEARCH(".", D409)), "", INDEX($C$12:$C409, MATCH(2, 1/($C$12:$C409 &lt;&gt; ""))))
    )
)</f>
        <v/>
      </c>
      <c r="D409" s="206"/>
      <c r="E409" s="206" t="str">
        <f>IF(AA409 = "", "",
    IF(ISNUMBER(SEARCH("Kiện", C409)),
       " GÓI " &amp; COUNTIF($C$13:C409, "*Kiện*") &amp; "/" &amp; COUNTIF($C$13:$C$1000, "*Kiện*") &amp; " " &amp; AA409,
       AA409)
)</f>
        <v/>
      </c>
      <c r="F409" s="206"/>
      <c r="G409" s="206"/>
      <c r="H409" s="206"/>
      <c r="I409" s="206"/>
      <c r="J409" s="206" t="str">
        <f t="shared" si="120"/>
        <v/>
      </c>
      <c r="K409" s="206" t="str">
        <f t="shared" si="108"/>
        <v/>
      </c>
      <c r="L409" s="206" t="str">
        <f t="shared" si="109"/>
        <v/>
      </c>
      <c r="M409" s="206" t="str">
        <f t="shared" si="110"/>
        <v/>
      </c>
      <c r="N409" s="206" t="str">
        <f t="shared" si="121"/>
        <v/>
      </c>
      <c r="O409" s="206" t="str">
        <f t="shared" si="111"/>
        <v/>
      </c>
      <c r="P409" s="165" t="str">
        <f t="shared" si="112"/>
        <v/>
      </c>
      <c r="Q409" s="207"/>
      <c r="R409" s="141" t="str">
        <f>IF(S409="IN",'BOM_Phan II'!$Y$3,"")</f>
        <v/>
      </c>
      <c r="S409" s="153" t="str">
        <f t="shared" si="113"/>
        <v/>
      </c>
      <c r="T409">
        <f t="shared" si="114"/>
        <v>6</v>
      </c>
      <c r="U409" s="208" t="str">
        <f t="shared" si="122"/>
        <v>KIỆN 9</v>
      </c>
      <c r="V409" s="208" t="str">
        <f t="shared" si="115"/>
        <v/>
      </c>
      <c r="W409" s="240"/>
      <c r="X409" s="240"/>
      <c r="Y409" s="240" t="str">
        <f t="shared" si="116"/>
        <v/>
      </c>
      <c r="Z409" s="240"/>
      <c r="AD409" s="232" t="str">
        <f t="shared" si="117"/>
        <v/>
      </c>
      <c r="AE409" s="204"/>
      <c r="AX409" s="3" t="str">
        <f t="shared" si="107"/>
        <v/>
      </c>
    </row>
    <row r="410" spans="1:50" s="155" customFormat="1" ht="30" hidden="1" customHeight="1">
      <c r="A410" s="141" t="str">
        <f t="shared" si="118"/>
        <v/>
      </c>
      <c r="B410" s="141" t="str">
        <f t="shared" si="119"/>
        <v/>
      </c>
      <c r="C410" s="205" t="str" cm="1">
        <f t="array" ref="C410">IF(D410="","",
    IF(AND(ISNUMBER(D410), D410=INT(D410)),
        $V$6 &amp; " " &amp; (IFERROR(MAX($Y$12:$Y409), 0) + 1),
        IF(ISNUMBER(SEARCH(".", D410)), "", INDEX($C$12:$C410, MATCH(2, 1/($C$12:$C410 &lt;&gt; ""))))
    )
)</f>
        <v/>
      </c>
      <c r="D410" s="206"/>
      <c r="E410" s="206" t="str">
        <f>IF(AA410 = "", "",
    IF(ISNUMBER(SEARCH("Kiện", C410)),
       " GÓI " &amp; COUNTIF($C$13:C410, "*Kiện*") &amp; "/" &amp; COUNTIF($C$13:$C$1000, "*Kiện*") &amp; " " &amp; AA410,
       AA410)
)</f>
        <v/>
      </c>
      <c r="F410" s="206"/>
      <c r="G410" s="206"/>
      <c r="H410" s="206"/>
      <c r="I410" s="206"/>
      <c r="J410" s="206" t="str">
        <f t="shared" si="120"/>
        <v/>
      </c>
      <c r="K410" s="206" t="str">
        <f t="shared" si="108"/>
        <v/>
      </c>
      <c r="L410" s="206" t="str">
        <f t="shared" si="109"/>
        <v/>
      </c>
      <c r="M410" s="206" t="str">
        <f t="shared" si="110"/>
        <v/>
      </c>
      <c r="N410" s="206" t="str">
        <f t="shared" si="121"/>
        <v/>
      </c>
      <c r="O410" s="206" t="str">
        <f t="shared" si="111"/>
        <v/>
      </c>
      <c r="P410" s="165" t="str">
        <f t="shared" si="112"/>
        <v/>
      </c>
      <c r="Q410" s="207"/>
      <c r="R410" s="141" t="str">
        <f>IF(S410="IN",'BOM_Phan II'!$Y$3,"")</f>
        <v/>
      </c>
      <c r="S410" s="153" t="str">
        <f t="shared" si="113"/>
        <v/>
      </c>
      <c r="T410">
        <f t="shared" si="114"/>
        <v>6</v>
      </c>
      <c r="U410" s="208" t="str">
        <f t="shared" si="122"/>
        <v>KIỆN 9</v>
      </c>
      <c r="V410" s="208" t="str">
        <f t="shared" si="115"/>
        <v/>
      </c>
      <c r="W410" s="240"/>
      <c r="X410" s="240"/>
      <c r="Y410" s="240" t="str">
        <f t="shared" si="116"/>
        <v/>
      </c>
      <c r="Z410" s="240"/>
      <c r="AD410" s="232" t="str">
        <f t="shared" si="117"/>
        <v/>
      </c>
      <c r="AE410" s="204"/>
      <c r="AX410" s="3" t="str">
        <f t="shared" si="107"/>
        <v/>
      </c>
    </row>
    <row r="411" spans="1:50" s="155" customFormat="1" ht="30" hidden="1" customHeight="1">
      <c r="A411" s="141" t="str">
        <f t="shared" si="118"/>
        <v/>
      </c>
      <c r="B411" s="141" t="str">
        <f t="shared" si="119"/>
        <v/>
      </c>
      <c r="C411" s="205" t="str" cm="1">
        <f t="array" ref="C411">IF(D411="","",
    IF(AND(ISNUMBER(D411), D411=INT(D411)),
        $V$6 &amp; " " &amp; (IFERROR(MAX($Y$12:$Y410), 0) + 1),
        IF(ISNUMBER(SEARCH(".", D411)), "", INDEX($C$12:$C411, MATCH(2, 1/($C$12:$C411 &lt;&gt; ""))))
    )
)</f>
        <v/>
      </c>
      <c r="D411" s="206"/>
      <c r="E411" s="206" t="str">
        <f>IF(AA411 = "", "",
    IF(ISNUMBER(SEARCH("Kiện", C411)),
       " GÓI " &amp; COUNTIF($C$13:C411, "*Kiện*") &amp; "/" &amp; COUNTIF($C$13:$C$1000, "*Kiện*") &amp; " " &amp; AA411,
       AA411)
)</f>
        <v/>
      </c>
      <c r="F411" s="206"/>
      <c r="G411" s="206"/>
      <c r="H411" s="206"/>
      <c r="I411" s="206"/>
      <c r="J411" s="206" t="str">
        <f t="shared" si="120"/>
        <v/>
      </c>
      <c r="K411" s="206" t="str">
        <f t="shared" si="108"/>
        <v/>
      </c>
      <c r="L411" s="206" t="str">
        <f t="shared" si="109"/>
        <v/>
      </c>
      <c r="M411" s="206" t="str">
        <f t="shared" si="110"/>
        <v/>
      </c>
      <c r="N411" s="206" t="str">
        <f t="shared" si="121"/>
        <v/>
      </c>
      <c r="O411" s="206" t="str">
        <f t="shared" si="111"/>
        <v/>
      </c>
      <c r="P411" s="165" t="str">
        <f t="shared" si="112"/>
        <v/>
      </c>
      <c r="Q411" s="207"/>
      <c r="R411" s="141" t="str">
        <f>IF(S411="IN",'BOM_Phan II'!$Y$3,"")</f>
        <v/>
      </c>
      <c r="S411" s="153" t="str">
        <f t="shared" si="113"/>
        <v/>
      </c>
      <c r="T411">
        <f t="shared" si="114"/>
        <v>6</v>
      </c>
      <c r="U411" s="208" t="str">
        <f t="shared" si="122"/>
        <v>KIỆN 9</v>
      </c>
      <c r="V411" s="208" t="str">
        <f t="shared" si="115"/>
        <v/>
      </c>
      <c r="W411" s="240"/>
      <c r="X411" s="240"/>
      <c r="Y411" s="240" t="str">
        <f t="shared" si="116"/>
        <v/>
      </c>
      <c r="Z411" s="240"/>
      <c r="AD411" s="232" t="str">
        <f t="shared" si="117"/>
        <v/>
      </c>
      <c r="AE411" s="204"/>
      <c r="AX411" s="3" t="str">
        <f t="shared" si="107"/>
        <v/>
      </c>
    </row>
    <row r="412" spans="1:50" s="155" customFormat="1" ht="30" hidden="1" customHeight="1">
      <c r="A412" s="141" t="str">
        <f t="shared" si="118"/>
        <v/>
      </c>
      <c r="B412" s="141" t="str">
        <f t="shared" si="119"/>
        <v/>
      </c>
      <c r="C412" s="205" t="str" cm="1">
        <f t="array" ref="C412">IF(D412="","",
    IF(AND(ISNUMBER(D412), D412=INT(D412)),
        $V$6 &amp; " " &amp; (IFERROR(MAX($Y$12:$Y411), 0) + 1),
        IF(ISNUMBER(SEARCH(".", D412)), "", INDEX($C$12:$C412, MATCH(2, 1/($C$12:$C412 &lt;&gt; ""))))
    )
)</f>
        <v/>
      </c>
      <c r="D412" s="206"/>
      <c r="E412" s="206" t="str">
        <f>IF(AA412 = "", "",
    IF(ISNUMBER(SEARCH("Kiện", C412)),
       " GÓI " &amp; COUNTIF($C$13:C412, "*Kiện*") &amp; "/" &amp; COUNTIF($C$13:$C$1000, "*Kiện*") &amp; " " &amp; AA412,
       AA412)
)</f>
        <v/>
      </c>
      <c r="F412" s="206"/>
      <c r="G412" s="206"/>
      <c r="H412" s="206"/>
      <c r="I412" s="206"/>
      <c r="J412" s="206" t="str">
        <f t="shared" si="120"/>
        <v/>
      </c>
      <c r="K412" s="206" t="str">
        <f t="shared" si="108"/>
        <v/>
      </c>
      <c r="L412" s="206" t="str">
        <f t="shared" si="109"/>
        <v/>
      </c>
      <c r="M412" s="206" t="str">
        <f t="shared" si="110"/>
        <v/>
      </c>
      <c r="N412" s="206" t="str">
        <f t="shared" si="121"/>
        <v/>
      </c>
      <c r="O412" s="206" t="str">
        <f t="shared" si="111"/>
        <v/>
      </c>
      <c r="P412" s="165" t="str">
        <f t="shared" si="112"/>
        <v/>
      </c>
      <c r="Q412" s="207"/>
      <c r="R412" s="141" t="str">
        <f>IF(S412="IN",'BOM_Phan II'!$Y$3,"")</f>
        <v/>
      </c>
      <c r="S412" s="153" t="str">
        <f t="shared" si="113"/>
        <v/>
      </c>
      <c r="T412">
        <f t="shared" si="114"/>
        <v>6</v>
      </c>
      <c r="U412" s="208" t="str">
        <f t="shared" si="122"/>
        <v>KIỆN 9</v>
      </c>
      <c r="V412" s="208" t="str">
        <f t="shared" si="115"/>
        <v/>
      </c>
      <c r="W412" s="240"/>
      <c r="X412" s="240"/>
      <c r="Y412" s="240" t="str">
        <f t="shared" si="116"/>
        <v/>
      </c>
      <c r="Z412" s="240"/>
      <c r="AD412" s="232" t="str">
        <f t="shared" si="117"/>
        <v/>
      </c>
      <c r="AE412" s="204"/>
      <c r="AX412" s="3" t="str">
        <f t="shared" si="107"/>
        <v/>
      </c>
    </row>
    <row r="413" spans="1:50" s="155" customFormat="1" ht="30" hidden="1" customHeight="1">
      <c r="A413" s="141" t="str">
        <f t="shared" si="118"/>
        <v/>
      </c>
      <c r="B413" s="141" t="str">
        <f t="shared" si="119"/>
        <v/>
      </c>
      <c r="C413" s="205" t="str" cm="1">
        <f t="array" ref="C413">IF(D413="","",
    IF(AND(ISNUMBER(D413), D413=INT(D413)),
        $V$6 &amp; " " &amp; (IFERROR(MAX($Y$12:$Y412), 0) + 1),
        IF(ISNUMBER(SEARCH(".", D413)), "", INDEX($C$12:$C413, MATCH(2, 1/($C$12:$C413 &lt;&gt; ""))))
    )
)</f>
        <v/>
      </c>
      <c r="D413" s="206"/>
      <c r="E413" s="206" t="str">
        <f>IF(AA413 = "", "",
    IF(ISNUMBER(SEARCH("Kiện", C413)),
       " GÓI " &amp; COUNTIF($C$13:C413, "*Kiện*") &amp; "/" &amp; COUNTIF($C$13:$C$1000, "*Kiện*") &amp; " " &amp; AA413,
       AA413)
)</f>
        <v/>
      </c>
      <c r="F413" s="206"/>
      <c r="G413" s="206"/>
      <c r="H413" s="206"/>
      <c r="I413" s="206"/>
      <c r="J413" s="206" t="str">
        <f t="shared" si="120"/>
        <v/>
      </c>
      <c r="K413" s="206" t="str">
        <f t="shared" si="108"/>
        <v/>
      </c>
      <c r="L413" s="206" t="str">
        <f t="shared" si="109"/>
        <v/>
      </c>
      <c r="M413" s="206" t="str">
        <f t="shared" si="110"/>
        <v/>
      </c>
      <c r="N413" s="206" t="str">
        <f t="shared" si="121"/>
        <v/>
      </c>
      <c r="O413" s="206" t="str">
        <f t="shared" si="111"/>
        <v/>
      </c>
      <c r="P413" s="165" t="str">
        <f t="shared" si="112"/>
        <v/>
      </c>
      <c r="Q413" s="207"/>
      <c r="R413" s="141" t="str">
        <f>IF(S413="IN",'BOM_Phan II'!$Y$3,"")</f>
        <v/>
      </c>
      <c r="S413" s="153" t="str">
        <f t="shared" si="113"/>
        <v/>
      </c>
      <c r="T413">
        <f t="shared" si="114"/>
        <v>6</v>
      </c>
      <c r="U413" s="208" t="str">
        <f t="shared" si="122"/>
        <v>KIỆN 9</v>
      </c>
      <c r="V413" s="208" t="str">
        <f t="shared" si="115"/>
        <v/>
      </c>
      <c r="W413" s="240"/>
      <c r="X413" s="240"/>
      <c r="Y413" s="240" t="str">
        <f t="shared" si="116"/>
        <v/>
      </c>
      <c r="Z413" s="240"/>
      <c r="AD413" s="232" t="str">
        <f t="shared" si="117"/>
        <v/>
      </c>
      <c r="AE413" s="204"/>
      <c r="AX413" s="3" t="str">
        <f t="shared" si="107"/>
        <v/>
      </c>
    </row>
    <row r="414" spans="1:50" s="155" customFormat="1" ht="30" hidden="1" customHeight="1">
      <c r="A414" s="141" t="str">
        <f t="shared" si="118"/>
        <v/>
      </c>
      <c r="B414" s="141" t="str">
        <f t="shared" si="119"/>
        <v/>
      </c>
      <c r="C414" s="205" t="str" cm="1">
        <f t="array" ref="C414">IF(D414="","",
    IF(AND(ISNUMBER(D414), D414=INT(D414)),
        $V$6 &amp; " " &amp; (IFERROR(MAX($Y$12:$Y413), 0) + 1),
        IF(ISNUMBER(SEARCH(".", D414)), "", INDEX($C$12:$C414, MATCH(2, 1/($C$12:$C414 &lt;&gt; ""))))
    )
)</f>
        <v/>
      </c>
      <c r="D414" s="206"/>
      <c r="E414" s="206" t="str">
        <f>IF(AA414 = "", "",
    IF(ISNUMBER(SEARCH("Kiện", C414)),
       " GÓI " &amp; COUNTIF($C$13:C414, "*Kiện*") &amp; "/" &amp; COUNTIF($C$13:$C$1000, "*Kiện*") &amp; " " &amp; AA414,
       AA414)
)</f>
        <v/>
      </c>
      <c r="F414" s="206"/>
      <c r="G414" s="206"/>
      <c r="H414" s="206"/>
      <c r="I414" s="206"/>
      <c r="J414" s="206" t="str">
        <f t="shared" si="120"/>
        <v/>
      </c>
      <c r="K414" s="206" t="str">
        <f t="shared" si="108"/>
        <v/>
      </c>
      <c r="L414" s="206" t="str">
        <f t="shared" si="109"/>
        <v/>
      </c>
      <c r="M414" s="206" t="str">
        <f t="shared" si="110"/>
        <v/>
      </c>
      <c r="N414" s="206" t="str">
        <f t="shared" si="121"/>
        <v/>
      </c>
      <c r="O414" s="206" t="str">
        <f t="shared" si="111"/>
        <v/>
      </c>
      <c r="P414" s="165" t="str">
        <f t="shared" si="112"/>
        <v/>
      </c>
      <c r="Q414" s="207"/>
      <c r="R414" s="141" t="str">
        <f>IF(S414="IN",'BOM_Phan II'!$Y$3,"")</f>
        <v/>
      </c>
      <c r="S414" s="153" t="str">
        <f t="shared" si="113"/>
        <v/>
      </c>
      <c r="T414">
        <f t="shared" si="114"/>
        <v>6</v>
      </c>
      <c r="U414" s="208" t="str">
        <f t="shared" si="122"/>
        <v>KIỆN 9</v>
      </c>
      <c r="V414" s="208" t="str">
        <f t="shared" si="115"/>
        <v/>
      </c>
      <c r="W414" s="240"/>
      <c r="X414" s="240"/>
      <c r="Y414" s="240" t="str">
        <f t="shared" si="116"/>
        <v/>
      </c>
      <c r="Z414" s="240"/>
      <c r="AD414" s="232" t="str">
        <f t="shared" si="117"/>
        <v/>
      </c>
      <c r="AE414" s="204"/>
      <c r="AX414" s="3" t="str">
        <f t="shared" si="107"/>
        <v/>
      </c>
    </row>
    <row r="415" spans="1:50" s="155" customFormat="1" ht="30" hidden="1" customHeight="1">
      <c r="A415" s="141" t="str">
        <f t="shared" si="118"/>
        <v/>
      </c>
      <c r="B415" s="141" t="str">
        <f t="shared" si="119"/>
        <v/>
      </c>
      <c r="C415" s="205" t="str" cm="1">
        <f t="array" ref="C415">IF(D415="","",
    IF(AND(ISNUMBER(D415), D415=INT(D415)),
        $V$6 &amp; " " &amp; (IFERROR(MAX($Y$12:$Y414), 0) + 1),
        IF(ISNUMBER(SEARCH(".", D415)), "", INDEX($C$12:$C415, MATCH(2, 1/($C$12:$C415 &lt;&gt; ""))))
    )
)</f>
        <v/>
      </c>
      <c r="D415" s="206"/>
      <c r="E415" s="206" t="str">
        <f>IF(AA415 = "", "",
    IF(ISNUMBER(SEARCH("Kiện", C415)),
       " GÓI " &amp; COUNTIF($C$13:C415, "*Kiện*") &amp; "/" &amp; COUNTIF($C$13:$C$1000, "*Kiện*") &amp; " " &amp; AA415,
       AA415)
)</f>
        <v/>
      </c>
      <c r="F415" s="206"/>
      <c r="G415" s="206"/>
      <c r="H415" s="206"/>
      <c r="I415" s="206"/>
      <c r="J415" s="206" t="str">
        <f t="shared" si="120"/>
        <v/>
      </c>
      <c r="K415" s="206" t="str">
        <f t="shared" si="108"/>
        <v/>
      </c>
      <c r="L415" s="206" t="str">
        <f t="shared" si="109"/>
        <v/>
      </c>
      <c r="M415" s="206" t="str">
        <f t="shared" si="110"/>
        <v/>
      </c>
      <c r="N415" s="206" t="str">
        <f t="shared" si="121"/>
        <v/>
      </c>
      <c r="O415" s="206" t="str">
        <f t="shared" si="111"/>
        <v/>
      </c>
      <c r="P415" s="165" t="str">
        <f t="shared" si="112"/>
        <v/>
      </c>
      <c r="Q415" s="207"/>
      <c r="R415" s="141" t="str">
        <f>IF(S415="IN",'BOM_Phan II'!$Y$3,"")</f>
        <v/>
      </c>
      <c r="S415" s="153" t="str">
        <f t="shared" si="113"/>
        <v/>
      </c>
      <c r="T415">
        <f t="shared" si="114"/>
        <v>6</v>
      </c>
      <c r="U415" s="208" t="str">
        <f t="shared" si="122"/>
        <v>KIỆN 9</v>
      </c>
      <c r="V415" s="208" t="str">
        <f t="shared" si="115"/>
        <v/>
      </c>
      <c r="W415" s="240"/>
      <c r="X415" s="240"/>
      <c r="Y415" s="240" t="str">
        <f t="shared" si="116"/>
        <v/>
      </c>
      <c r="Z415" s="240"/>
      <c r="AD415" s="232" t="str">
        <f t="shared" si="117"/>
        <v/>
      </c>
      <c r="AE415" s="204"/>
      <c r="AX415" s="3" t="str">
        <f t="shared" si="107"/>
        <v/>
      </c>
    </row>
    <row r="416" spans="1:50" s="155" customFormat="1" ht="30" hidden="1" customHeight="1">
      <c r="A416" s="141" t="str">
        <f t="shared" si="118"/>
        <v/>
      </c>
      <c r="B416" s="141" t="str">
        <f t="shared" si="119"/>
        <v/>
      </c>
      <c r="C416" s="205" t="str" cm="1">
        <f t="array" ref="C416">IF(D416="","",
    IF(AND(ISNUMBER(D416), D416=INT(D416)),
        $V$6 &amp; " " &amp; (IFERROR(MAX($Y$12:$Y415), 0) + 1),
        IF(ISNUMBER(SEARCH(".", D416)), "", INDEX($C$12:$C416, MATCH(2, 1/($C$12:$C416 &lt;&gt; ""))))
    )
)</f>
        <v/>
      </c>
      <c r="D416" s="206"/>
      <c r="E416" s="206" t="str">
        <f>IF(AA416 = "", "",
    IF(ISNUMBER(SEARCH("Kiện", C416)),
       " GÓI " &amp; COUNTIF($C$13:C416, "*Kiện*") &amp; "/" &amp; COUNTIF($C$13:$C$1000, "*Kiện*") &amp; " " &amp; AA416,
       AA416)
)</f>
        <v/>
      </c>
      <c r="F416" s="206"/>
      <c r="G416" s="206"/>
      <c r="H416" s="206"/>
      <c r="I416" s="206"/>
      <c r="J416" s="206" t="str">
        <f t="shared" si="120"/>
        <v/>
      </c>
      <c r="K416" s="206" t="str">
        <f t="shared" si="108"/>
        <v/>
      </c>
      <c r="L416" s="206" t="str">
        <f t="shared" si="109"/>
        <v/>
      </c>
      <c r="M416" s="206" t="str">
        <f t="shared" si="110"/>
        <v/>
      </c>
      <c r="N416" s="206" t="str">
        <f t="shared" si="121"/>
        <v/>
      </c>
      <c r="O416" s="206" t="str">
        <f t="shared" si="111"/>
        <v/>
      </c>
      <c r="P416" s="165" t="str">
        <f t="shared" si="112"/>
        <v/>
      </c>
      <c r="Q416" s="207"/>
      <c r="R416" s="141" t="str">
        <f>IF(S416="IN",'BOM_Phan II'!$Y$3,"")</f>
        <v/>
      </c>
      <c r="S416" s="153" t="str">
        <f t="shared" si="113"/>
        <v/>
      </c>
      <c r="T416">
        <f t="shared" si="114"/>
        <v>6</v>
      </c>
      <c r="U416" s="208" t="str">
        <f t="shared" si="122"/>
        <v>KIỆN 9</v>
      </c>
      <c r="V416" s="208" t="str">
        <f t="shared" si="115"/>
        <v/>
      </c>
      <c r="W416" s="240"/>
      <c r="X416" s="240"/>
      <c r="Y416" s="240" t="str">
        <f t="shared" si="116"/>
        <v/>
      </c>
      <c r="Z416" s="240"/>
      <c r="AD416" s="232" t="str">
        <f t="shared" si="117"/>
        <v/>
      </c>
      <c r="AE416" s="204"/>
      <c r="AX416" s="3" t="str">
        <f t="shared" si="107"/>
        <v/>
      </c>
    </row>
    <row r="417" spans="1:50" s="155" customFormat="1" ht="30" hidden="1" customHeight="1">
      <c r="A417" s="141" t="str">
        <f t="shared" si="118"/>
        <v/>
      </c>
      <c r="B417" s="141" t="str">
        <f t="shared" si="119"/>
        <v/>
      </c>
      <c r="C417" s="205" t="str" cm="1">
        <f t="array" ref="C417">IF(D417="","",
    IF(AND(ISNUMBER(D417), D417=INT(D417)),
        $V$6 &amp; " " &amp; (IFERROR(MAX($Y$12:$Y416), 0) + 1),
        IF(ISNUMBER(SEARCH(".", D417)), "", INDEX($C$12:$C417, MATCH(2, 1/($C$12:$C417 &lt;&gt; ""))))
    )
)</f>
        <v/>
      </c>
      <c r="D417" s="206"/>
      <c r="E417" s="206" t="str">
        <f>IF(AA417 = "", "",
    IF(ISNUMBER(SEARCH("Kiện", C417)),
       " GÓI " &amp; COUNTIF($C$13:C417, "*Kiện*") &amp; "/" &amp; COUNTIF($C$13:$C$1000, "*Kiện*") &amp; " " &amp; AA417,
       AA417)
)</f>
        <v/>
      </c>
      <c r="F417" s="206"/>
      <c r="G417" s="206"/>
      <c r="H417" s="206"/>
      <c r="I417" s="206"/>
      <c r="J417" s="206" t="str">
        <f t="shared" si="120"/>
        <v/>
      </c>
      <c r="K417" s="206" t="str">
        <f t="shared" si="108"/>
        <v/>
      </c>
      <c r="L417" s="206" t="str">
        <f t="shared" si="109"/>
        <v/>
      </c>
      <c r="M417" s="206" t="str">
        <f t="shared" si="110"/>
        <v/>
      </c>
      <c r="N417" s="206" t="str">
        <f t="shared" si="121"/>
        <v/>
      </c>
      <c r="O417" s="206" t="str">
        <f t="shared" si="111"/>
        <v/>
      </c>
      <c r="P417" s="165" t="str">
        <f t="shared" si="112"/>
        <v/>
      </c>
      <c r="Q417" s="207"/>
      <c r="R417" s="141" t="str">
        <f>IF(S417="IN",'BOM_Phan II'!$Y$3,"")</f>
        <v/>
      </c>
      <c r="S417" s="153" t="str">
        <f t="shared" si="113"/>
        <v/>
      </c>
      <c r="T417">
        <f t="shared" si="114"/>
        <v>6</v>
      </c>
      <c r="U417" s="208" t="str">
        <f t="shared" si="122"/>
        <v>KIỆN 9</v>
      </c>
      <c r="V417" s="208" t="str">
        <f t="shared" si="115"/>
        <v/>
      </c>
      <c r="W417" s="240"/>
      <c r="X417" s="240"/>
      <c r="Y417" s="240" t="str">
        <f t="shared" si="116"/>
        <v/>
      </c>
      <c r="Z417" s="240"/>
      <c r="AD417" s="232" t="str">
        <f t="shared" si="117"/>
        <v/>
      </c>
      <c r="AE417" s="204"/>
      <c r="AX417" s="3" t="str">
        <f t="shared" si="107"/>
        <v/>
      </c>
    </row>
    <row r="418" spans="1:50" s="155" customFormat="1" ht="30" hidden="1" customHeight="1">
      <c r="A418" s="141" t="str">
        <f t="shared" si="118"/>
        <v/>
      </c>
      <c r="B418" s="141" t="str">
        <f t="shared" si="119"/>
        <v/>
      </c>
      <c r="C418" s="205" t="str" cm="1">
        <f t="array" ref="C418">IF(D418="","",
    IF(AND(ISNUMBER(D418), D418=INT(D418)),
        $V$6 &amp; " " &amp; (IFERROR(MAX($Y$12:$Y417), 0) + 1),
        IF(ISNUMBER(SEARCH(".", D418)), "", INDEX($C$12:$C418, MATCH(2, 1/($C$12:$C418 &lt;&gt; ""))))
    )
)</f>
        <v/>
      </c>
      <c r="D418" s="206"/>
      <c r="E418" s="206" t="str">
        <f>IF(AA418 = "", "",
    IF(ISNUMBER(SEARCH("Kiện", C418)),
       " GÓI " &amp; COUNTIF($C$13:C418, "*Kiện*") &amp; "/" &amp; COUNTIF($C$13:$C$1000, "*Kiện*") &amp; " " &amp; AA418,
       AA418)
)</f>
        <v/>
      </c>
      <c r="F418" s="206"/>
      <c r="G418" s="206"/>
      <c r="H418" s="206"/>
      <c r="I418" s="206"/>
      <c r="J418" s="206" t="str">
        <f t="shared" si="120"/>
        <v/>
      </c>
      <c r="K418" s="206" t="str">
        <f t="shared" si="108"/>
        <v/>
      </c>
      <c r="L418" s="206" t="str">
        <f t="shared" si="109"/>
        <v/>
      </c>
      <c r="M418" s="206" t="str">
        <f t="shared" si="110"/>
        <v/>
      </c>
      <c r="N418" s="206" t="str">
        <f t="shared" si="121"/>
        <v/>
      </c>
      <c r="O418" s="206" t="str">
        <f t="shared" si="111"/>
        <v/>
      </c>
      <c r="P418" s="165" t="str">
        <f t="shared" si="112"/>
        <v/>
      </c>
      <c r="Q418" s="207"/>
      <c r="R418" s="141" t="str">
        <f>IF(S418="IN",'BOM_Phan II'!$Y$3,"")</f>
        <v/>
      </c>
      <c r="S418" s="153" t="str">
        <f t="shared" si="113"/>
        <v/>
      </c>
      <c r="T418">
        <f t="shared" si="114"/>
        <v>6</v>
      </c>
      <c r="U418" s="208" t="str">
        <f t="shared" si="122"/>
        <v>KIỆN 9</v>
      </c>
      <c r="V418" s="208" t="str">
        <f t="shared" si="115"/>
        <v/>
      </c>
      <c r="W418" s="240"/>
      <c r="X418" s="240"/>
      <c r="Y418" s="240" t="str">
        <f t="shared" si="116"/>
        <v/>
      </c>
      <c r="Z418" s="240"/>
      <c r="AD418" s="232" t="str">
        <f t="shared" si="117"/>
        <v/>
      </c>
      <c r="AE418" s="204"/>
      <c r="AX418" s="3" t="str">
        <f t="shared" si="107"/>
        <v/>
      </c>
    </row>
    <row r="419" spans="1:50" s="155" customFormat="1" ht="30" hidden="1" customHeight="1">
      <c r="A419" s="141" t="str">
        <f t="shared" si="118"/>
        <v/>
      </c>
      <c r="B419" s="141" t="str">
        <f t="shared" si="119"/>
        <v/>
      </c>
      <c r="C419" s="205" t="str" cm="1">
        <f t="array" ref="C419">IF(D419="","",
    IF(AND(ISNUMBER(D419), D419=INT(D419)),
        $V$6 &amp; " " &amp; (IFERROR(MAX($Y$12:$Y418), 0) + 1),
        IF(ISNUMBER(SEARCH(".", D419)), "", INDEX($C$12:$C419, MATCH(2, 1/($C$12:$C419 &lt;&gt; ""))))
    )
)</f>
        <v/>
      </c>
      <c r="D419" s="206"/>
      <c r="E419" s="206" t="str">
        <f>IF(AA419 = "", "",
    IF(ISNUMBER(SEARCH("Kiện", C419)),
       " GÓI " &amp; COUNTIF($C$13:C419, "*Kiện*") &amp; "/" &amp; COUNTIF($C$13:$C$1000, "*Kiện*") &amp; " " &amp; AA419,
       AA419)
)</f>
        <v/>
      </c>
      <c r="F419" s="206"/>
      <c r="G419" s="206"/>
      <c r="H419" s="206"/>
      <c r="I419" s="206"/>
      <c r="J419" s="206" t="str">
        <f t="shared" si="120"/>
        <v/>
      </c>
      <c r="K419" s="206" t="str">
        <f t="shared" si="108"/>
        <v/>
      </c>
      <c r="L419" s="206" t="str">
        <f t="shared" si="109"/>
        <v/>
      </c>
      <c r="M419" s="206" t="str">
        <f t="shared" si="110"/>
        <v/>
      </c>
      <c r="N419" s="206" t="str">
        <f t="shared" si="121"/>
        <v/>
      </c>
      <c r="O419" s="206" t="str">
        <f t="shared" si="111"/>
        <v/>
      </c>
      <c r="P419" s="165" t="str">
        <f t="shared" si="112"/>
        <v/>
      </c>
      <c r="Q419" s="207"/>
      <c r="R419" s="141" t="str">
        <f>IF(S419="IN",'BOM_Phan II'!$Y$3,"")</f>
        <v/>
      </c>
      <c r="S419" s="153" t="str">
        <f t="shared" si="113"/>
        <v/>
      </c>
      <c r="T419">
        <f t="shared" si="114"/>
        <v>6</v>
      </c>
      <c r="U419" s="208" t="str">
        <f t="shared" si="122"/>
        <v>KIỆN 9</v>
      </c>
      <c r="V419" s="208" t="str">
        <f t="shared" si="115"/>
        <v/>
      </c>
      <c r="W419" s="240"/>
      <c r="X419" s="240"/>
      <c r="Y419" s="240" t="str">
        <f t="shared" si="116"/>
        <v/>
      </c>
      <c r="Z419" s="240"/>
      <c r="AD419" s="232" t="str">
        <f t="shared" si="117"/>
        <v/>
      </c>
      <c r="AE419" s="204"/>
      <c r="AX419" s="3" t="str">
        <f t="shared" si="107"/>
        <v/>
      </c>
    </row>
    <row r="420" spans="1:50" s="155" customFormat="1" ht="30" hidden="1" customHeight="1">
      <c r="A420" s="141" t="str">
        <f t="shared" si="118"/>
        <v/>
      </c>
      <c r="B420" s="141" t="str">
        <f t="shared" si="119"/>
        <v/>
      </c>
      <c r="C420" s="205" t="str" cm="1">
        <f t="array" ref="C420">IF(D420="","",
    IF(AND(ISNUMBER(D420), D420=INT(D420)),
        $V$6 &amp; " " &amp; (IFERROR(MAX($Y$12:$Y419), 0) + 1),
        IF(ISNUMBER(SEARCH(".", D420)), "", INDEX($C$12:$C420, MATCH(2, 1/($C$12:$C420 &lt;&gt; ""))))
    )
)</f>
        <v/>
      </c>
      <c r="D420" s="206"/>
      <c r="E420" s="206" t="str">
        <f>IF(AA420 = "", "",
    IF(ISNUMBER(SEARCH("Kiện", C420)),
       " GÓI " &amp; COUNTIF($C$13:C420, "*Kiện*") &amp; "/" &amp; COUNTIF($C$13:$C$1000, "*Kiện*") &amp; " " &amp; AA420,
       AA420)
)</f>
        <v/>
      </c>
      <c r="F420" s="206"/>
      <c r="G420" s="206"/>
      <c r="H420" s="206"/>
      <c r="I420" s="206"/>
      <c r="J420" s="206" t="str">
        <f t="shared" si="120"/>
        <v/>
      </c>
      <c r="K420" s="206" t="str">
        <f t="shared" si="108"/>
        <v/>
      </c>
      <c r="L420" s="206" t="str">
        <f t="shared" si="109"/>
        <v/>
      </c>
      <c r="M420" s="206" t="str">
        <f t="shared" si="110"/>
        <v/>
      </c>
      <c r="N420" s="206" t="str">
        <f t="shared" si="121"/>
        <v/>
      </c>
      <c r="O420" s="206" t="str">
        <f t="shared" si="111"/>
        <v/>
      </c>
      <c r="P420" s="165" t="str">
        <f t="shared" si="112"/>
        <v/>
      </c>
      <c r="Q420" s="207"/>
      <c r="R420" s="141" t="str">
        <f>IF(S420="IN",'BOM_Phan II'!$Y$3,"")</f>
        <v/>
      </c>
      <c r="S420" s="153" t="str">
        <f t="shared" si="113"/>
        <v/>
      </c>
      <c r="T420">
        <f t="shared" si="114"/>
        <v>6</v>
      </c>
      <c r="U420" s="208" t="str">
        <f t="shared" si="122"/>
        <v>KIỆN 9</v>
      </c>
      <c r="V420" s="208" t="str">
        <f t="shared" si="115"/>
        <v/>
      </c>
      <c r="W420" s="240"/>
      <c r="X420" s="240"/>
      <c r="Y420" s="240" t="str">
        <f t="shared" si="116"/>
        <v/>
      </c>
      <c r="Z420" s="240"/>
      <c r="AD420" s="232" t="str">
        <f t="shared" si="117"/>
        <v/>
      </c>
      <c r="AE420" s="204"/>
      <c r="AX420" s="3" t="str">
        <f t="shared" si="107"/>
        <v/>
      </c>
    </row>
    <row r="421" spans="1:50" s="155" customFormat="1" ht="30" hidden="1" customHeight="1">
      <c r="A421" s="141" t="str">
        <f t="shared" si="118"/>
        <v/>
      </c>
      <c r="B421" s="141" t="str">
        <f t="shared" si="119"/>
        <v/>
      </c>
      <c r="C421" s="205" t="str" cm="1">
        <f t="array" ref="C421">IF(D421="","",
    IF(AND(ISNUMBER(D421), D421=INT(D421)),
        $V$6 &amp; " " &amp; (IFERROR(MAX($Y$12:$Y420), 0) + 1),
        IF(ISNUMBER(SEARCH(".", D421)), "", INDEX($C$12:$C421, MATCH(2, 1/($C$12:$C421 &lt;&gt; ""))))
    )
)</f>
        <v/>
      </c>
      <c r="D421" s="206"/>
      <c r="E421" s="206" t="str">
        <f>IF(AA421 = "", "",
    IF(ISNUMBER(SEARCH("Kiện", C421)),
       " GÓI " &amp; COUNTIF($C$13:C421, "*Kiện*") &amp; "/" &amp; COUNTIF($C$13:$C$1000, "*Kiện*") &amp; " " &amp; AA421,
       AA421)
)</f>
        <v/>
      </c>
      <c r="F421" s="206"/>
      <c r="G421" s="206"/>
      <c r="H421" s="206"/>
      <c r="I421" s="206"/>
      <c r="J421" s="206" t="str">
        <f t="shared" si="120"/>
        <v/>
      </c>
      <c r="K421" s="206" t="str">
        <f t="shared" si="108"/>
        <v/>
      </c>
      <c r="L421" s="206" t="str">
        <f t="shared" si="109"/>
        <v/>
      </c>
      <c r="M421" s="206" t="str">
        <f t="shared" si="110"/>
        <v/>
      </c>
      <c r="N421" s="206" t="str">
        <f t="shared" si="121"/>
        <v/>
      </c>
      <c r="O421" s="206" t="str">
        <f t="shared" si="111"/>
        <v/>
      </c>
      <c r="P421" s="165" t="str">
        <f t="shared" si="112"/>
        <v/>
      </c>
      <c r="Q421" s="207"/>
      <c r="R421" s="141" t="str">
        <f>IF(S421="IN",'BOM_Phan II'!$Y$3,"")</f>
        <v/>
      </c>
      <c r="S421" s="153" t="str">
        <f t="shared" si="113"/>
        <v/>
      </c>
      <c r="T421">
        <f t="shared" si="114"/>
        <v>6</v>
      </c>
      <c r="U421" s="208" t="str">
        <f t="shared" si="122"/>
        <v>KIỆN 9</v>
      </c>
      <c r="V421" s="208" t="str">
        <f t="shared" si="115"/>
        <v/>
      </c>
      <c r="W421" s="240"/>
      <c r="X421" s="240"/>
      <c r="Y421" s="240" t="str">
        <f t="shared" si="116"/>
        <v/>
      </c>
      <c r="Z421" s="240"/>
      <c r="AD421" s="232" t="str">
        <f t="shared" si="117"/>
        <v/>
      </c>
      <c r="AE421" s="204"/>
      <c r="AX421" s="3" t="str">
        <f t="shared" si="107"/>
        <v/>
      </c>
    </row>
    <row r="422" spans="1:50" s="155" customFormat="1" ht="30" hidden="1" customHeight="1">
      <c r="A422" s="141" t="str">
        <f t="shared" si="118"/>
        <v/>
      </c>
      <c r="B422" s="141" t="str">
        <f t="shared" si="119"/>
        <v/>
      </c>
      <c r="C422" s="205" t="str" cm="1">
        <f t="array" ref="C422">IF(D422="","",
    IF(AND(ISNUMBER(D422), D422=INT(D422)),
        $V$6 &amp; " " &amp; (IFERROR(MAX($Y$12:$Y421), 0) + 1),
        IF(ISNUMBER(SEARCH(".", D422)), "", INDEX($C$12:$C422, MATCH(2, 1/($C$12:$C422 &lt;&gt; ""))))
    )
)</f>
        <v/>
      </c>
      <c r="D422" s="206"/>
      <c r="E422" s="206" t="str">
        <f>IF(AA422 = "", "",
    IF(ISNUMBER(SEARCH("Kiện", C422)),
       " GÓI " &amp; COUNTIF($C$13:C422, "*Kiện*") &amp; "/" &amp; COUNTIF($C$13:$C$1000, "*Kiện*") &amp; " " &amp; AA422,
       AA422)
)</f>
        <v/>
      </c>
      <c r="F422" s="206"/>
      <c r="G422" s="206"/>
      <c r="H422" s="206"/>
      <c r="I422" s="206"/>
      <c r="J422" s="206" t="str">
        <f t="shared" si="120"/>
        <v/>
      </c>
      <c r="K422" s="206" t="str">
        <f t="shared" si="108"/>
        <v/>
      </c>
      <c r="L422" s="206" t="str">
        <f t="shared" si="109"/>
        <v/>
      </c>
      <c r="M422" s="206" t="str">
        <f t="shared" si="110"/>
        <v/>
      </c>
      <c r="N422" s="206" t="str">
        <f t="shared" si="121"/>
        <v/>
      </c>
      <c r="O422" s="206" t="str">
        <f t="shared" si="111"/>
        <v/>
      </c>
      <c r="P422" s="165" t="str">
        <f t="shared" si="112"/>
        <v/>
      </c>
      <c r="Q422" s="207"/>
      <c r="R422" s="141" t="str">
        <f>IF(S422="IN",'BOM_Phan II'!$Y$3,"")</f>
        <v/>
      </c>
      <c r="S422" s="153" t="str">
        <f t="shared" si="113"/>
        <v/>
      </c>
      <c r="T422">
        <f t="shared" si="114"/>
        <v>6</v>
      </c>
      <c r="U422" s="208" t="str">
        <f t="shared" si="122"/>
        <v>KIỆN 9</v>
      </c>
      <c r="V422" s="208" t="str">
        <f t="shared" si="115"/>
        <v/>
      </c>
      <c r="W422" s="240"/>
      <c r="X422" s="240"/>
      <c r="Y422" s="240" t="str">
        <f t="shared" si="116"/>
        <v/>
      </c>
      <c r="Z422" s="240"/>
      <c r="AD422" s="232" t="str">
        <f t="shared" si="117"/>
        <v/>
      </c>
      <c r="AE422" s="204"/>
      <c r="AX422" s="3" t="str">
        <f t="shared" si="107"/>
        <v/>
      </c>
    </row>
    <row r="423" spans="1:50" s="155" customFormat="1" ht="30" hidden="1" customHeight="1">
      <c r="A423" s="141" t="str">
        <f t="shared" si="118"/>
        <v/>
      </c>
      <c r="B423" s="141" t="str">
        <f t="shared" si="119"/>
        <v/>
      </c>
      <c r="C423" s="205" t="str" cm="1">
        <f t="array" ref="C423">IF(D423="","",
    IF(AND(ISNUMBER(D423), D423=INT(D423)),
        $V$6 &amp; " " &amp; (IFERROR(MAX($Y$12:$Y422), 0) + 1),
        IF(ISNUMBER(SEARCH(".", D423)), "", INDEX($C$12:$C423, MATCH(2, 1/($C$12:$C423 &lt;&gt; ""))))
    )
)</f>
        <v/>
      </c>
      <c r="D423" s="206"/>
      <c r="E423" s="206" t="str">
        <f>IF(AA423 = "", "",
    IF(ISNUMBER(SEARCH("Kiện", C423)),
       " GÓI " &amp; COUNTIF($C$13:C423, "*Kiện*") &amp; "/" &amp; COUNTIF($C$13:$C$1000, "*Kiện*") &amp; " " &amp; AA423,
       AA423)
)</f>
        <v/>
      </c>
      <c r="F423" s="206"/>
      <c r="G423" s="206"/>
      <c r="H423" s="206"/>
      <c r="I423" s="206"/>
      <c r="J423" s="206" t="str">
        <f t="shared" si="120"/>
        <v/>
      </c>
      <c r="K423" s="206" t="str">
        <f t="shared" si="108"/>
        <v/>
      </c>
      <c r="L423" s="206" t="str">
        <f t="shared" si="109"/>
        <v/>
      </c>
      <c r="M423" s="206" t="str">
        <f t="shared" si="110"/>
        <v/>
      </c>
      <c r="N423" s="206" t="str">
        <f t="shared" si="121"/>
        <v/>
      </c>
      <c r="O423" s="206" t="str">
        <f t="shared" si="111"/>
        <v/>
      </c>
      <c r="P423" s="165" t="str">
        <f t="shared" si="112"/>
        <v/>
      </c>
      <c r="Q423" s="207"/>
      <c r="R423" s="141" t="str">
        <f>IF(S423="IN",'BOM_Phan II'!$Y$3,"")</f>
        <v/>
      </c>
      <c r="S423" s="153" t="str">
        <f t="shared" si="113"/>
        <v/>
      </c>
      <c r="T423">
        <f t="shared" si="114"/>
        <v>6</v>
      </c>
      <c r="U423" s="208" t="str">
        <f t="shared" si="122"/>
        <v>KIỆN 9</v>
      </c>
      <c r="V423" s="208" t="str">
        <f t="shared" si="115"/>
        <v/>
      </c>
      <c r="W423" s="240"/>
      <c r="X423" s="240"/>
      <c r="Y423" s="240" t="str">
        <f t="shared" si="116"/>
        <v/>
      </c>
      <c r="Z423" s="240"/>
      <c r="AD423" s="232" t="str">
        <f t="shared" si="117"/>
        <v/>
      </c>
      <c r="AE423" s="204"/>
      <c r="AX423" s="3" t="str">
        <f t="shared" si="107"/>
        <v/>
      </c>
    </row>
    <row r="424" spans="1:50" s="155" customFormat="1" ht="30" hidden="1" customHeight="1">
      <c r="A424" s="141" t="str">
        <f t="shared" si="118"/>
        <v/>
      </c>
      <c r="B424" s="141" t="str">
        <f t="shared" si="119"/>
        <v/>
      </c>
      <c r="C424" s="205" t="str" cm="1">
        <f t="array" ref="C424">IF(D424="","",
    IF(AND(ISNUMBER(D424), D424=INT(D424)),
        $V$6 &amp; " " &amp; (IFERROR(MAX($Y$12:$Y423), 0) + 1),
        IF(ISNUMBER(SEARCH(".", D424)), "", INDEX($C$12:$C424, MATCH(2, 1/($C$12:$C424 &lt;&gt; ""))))
    )
)</f>
        <v/>
      </c>
      <c r="D424" s="206"/>
      <c r="E424" s="206" t="str">
        <f>IF(AA424 = "", "",
    IF(ISNUMBER(SEARCH("Kiện", C424)),
       " GÓI " &amp; COUNTIF($C$13:C424, "*Kiện*") &amp; "/" &amp; COUNTIF($C$13:$C$1000, "*Kiện*") &amp; " " &amp; AA424,
       AA424)
)</f>
        <v/>
      </c>
      <c r="F424" s="206"/>
      <c r="G424" s="206"/>
      <c r="H424" s="206"/>
      <c r="I424" s="206"/>
      <c r="J424" s="206" t="str">
        <f t="shared" si="120"/>
        <v/>
      </c>
      <c r="K424" s="206" t="str">
        <f t="shared" si="108"/>
        <v/>
      </c>
      <c r="L424" s="206" t="str">
        <f t="shared" si="109"/>
        <v/>
      </c>
      <c r="M424" s="206" t="str">
        <f t="shared" si="110"/>
        <v/>
      </c>
      <c r="N424" s="206" t="str">
        <f t="shared" si="121"/>
        <v/>
      </c>
      <c r="O424" s="206" t="str">
        <f t="shared" si="111"/>
        <v/>
      </c>
      <c r="P424" s="165" t="str">
        <f t="shared" si="112"/>
        <v/>
      </c>
      <c r="Q424" s="207"/>
      <c r="R424" s="141" t="str">
        <f>IF(S424="IN",'BOM_Phan II'!$Y$3,"")</f>
        <v/>
      </c>
      <c r="S424" s="153" t="str">
        <f t="shared" si="113"/>
        <v/>
      </c>
      <c r="T424">
        <f t="shared" si="114"/>
        <v>6</v>
      </c>
      <c r="U424" s="208" t="str">
        <f t="shared" si="122"/>
        <v>KIỆN 9</v>
      </c>
      <c r="V424" s="208" t="str">
        <f t="shared" si="115"/>
        <v/>
      </c>
      <c r="W424" s="240"/>
      <c r="X424" s="240"/>
      <c r="Y424" s="240" t="str">
        <f t="shared" si="116"/>
        <v/>
      </c>
      <c r="Z424" s="240"/>
      <c r="AD424" s="232" t="str">
        <f t="shared" si="117"/>
        <v/>
      </c>
      <c r="AE424" s="204"/>
      <c r="AX424" s="3" t="str">
        <f t="shared" si="107"/>
        <v/>
      </c>
    </row>
    <row r="425" spans="1:50" s="155" customFormat="1" ht="30" hidden="1" customHeight="1">
      <c r="A425" s="141" t="str">
        <f t="shared" si="118"/>
        <v/>
      </c>
      <c r="B425" s="141" t="str">
        <f t="shared" si="119"/>
        <v/>
      </c>
      <c r="C425" s="205" t="str" cm="1">
        <f t="array" ref="C425">IF(D425="","",
    IF(AND(ISNUMBER(D425), D425=INT(D425)),
        $V$6 &amp; " " &amp; (IFERROR(MAX($Y$12:$Y424), 0) + 1),
        IF(ISNUMBER(SEARCH(".", D425)), "", INDEX($C$12:$C425, MATCH(2, 1/($C$12:$C425 &lt;&gt; ""))))
    )
)</f>
        <v/>
      </c>
      <c r="D425" s="206"/>
      <c r="E425" s="206" t="str">
        <f>IF(AA425 = "", "",
    IF(ISNUMBER(SEARCH("Kiện", C425)),
       " GÓI " &amp; COUNTIF($C$13:C425, "*Kiện*") &amp; "/" &amp; COUNTIF($C$13:$C$1000, "*Kiện*") &amp; " " &amp; AA425,
       AA425)
)</f>
        <v/>
      </c>
      <c r="F425" s="206"/>
      <c r="G425" s="206"/>
      <c r="H425" s="206"/>
      <c r="I425" s="206"/>
      <c r="J425" s="206" t="str">
        <f t="shared" si="120"/>
        <v/>
      </c>
      <c r="K425" s="206" t="str">
        <f t="shared" si="108"/>
        <v/>
      </c>
      <c r="L425" s="206" t="str">
        <f t="shared" si="109"/>
        <v/>
      </c>
      <c r="M425" s="206" t="str">
        <f t="shared" si="110"/>
        <v/>
      </c>
      <c r="N425" s="206" t="str">
        <f t="shared" si="121"/>
        <v/>
      </c>
      <c r="O425" s="206" t="str">
        <f t="shared" si="111"/>
        <v/>
      </c>
      <c r="P425" s="165" t="str">
        <f t="shared" si="112"/>
        <v/>
      </c>
      <c r="Q425" s="207"/>
      <c r="R425" s="141" t="str">
        <f>IF(S425="IN",'BOM_Phan II'!$Y$3,"")</f>
        <v/>
      </c>
      <c r="S425" s="153" t="str">
        <f t="shared" si="113"/>
        <v/>
      </c>
      <c r="T425">
        <f t="shared" si="114"/>
        <v>6</v>
      </c>
      <c r="U425" s="208" t="str">
        <f t="shared" si="122"/>
        <v>KIỆN 9</v>
      </c>
      <c r="V425" s="208" t="str">
        <f t="shared" si="115"/>
        <v/>
      </c>
      <c r="W425" s="240"/>
      <c r="X425" s="240"/>
      <c r="Y425" s="240" t="str">
        <f t="shared" si="116"/>
        <v/>
      </c>
      <c r="Z425" s="240"/>
      <c r="AD425" s="232" t="str">
        <f t="shared" si="117"/>
        <v/>
      </c>
      <c r="AE425" s="204"/>
      <c r="AX425" s="3" t="str">
        <f t="shared" si="107"/>
        <v/>
      </c>
    </row>
    <row r="426" spans="1:50" s="155" customFormat="1" ht="30" hidden="1" customHeight="1">
      <c r="A426" s="141" t="str">
        <f t="shared" si="118"/>
        <v/>
      </c>
      <c r="B426" s="141" t="str">
        <f t="shared" si="119"/>
        <v/>
      </c>
      <c r="C426" s="205" t="str" cm="1">
        <f t="array" ref="C426">IF(D426="","",
    IF(AND(ISNUMBER(D426), D426=INT(D426)),
        $V$6 &amp; " " &amp; (IFERROR(MAX($Y$12:$Y425), 0) + 1),
        IF(ISNUMBER(SEARCH(".", D426)), "", INDEX($C$12:$C426, MATCH(2, 1/($C$12:$C426 &lt;&gt; ""))))
    )
)</f>
        <v/>
      </c>
      <c r="D426" s="206"/>
      <c r="E426" s="206" t="str">
        <f>IF(AA426 = "", "",
    IF(ISNUMBER(SEARCH("Kiện", C426)),
       " GÓI " &amp; COUNTIF($C$13:C426, "*Kiện*") &amp; "/" &amp; COUNTIF($C$13:$C$1000, "*Kiện*") &amp; " " &amp; AA426,
       AA426)
)</f>
        <v/>
      </c>
      <c r="F426" s="206"/>
      <c r="G426" s="206"/>
      <c r="H426" s="206"/>
      <c r="I426" s="206"/>
      <c r="J426" s="206" t="str">
        <f t="shared" si="120"/>
        <v/>
      </c>
      <c r="K426" s="206" t="str">
        <f t="shared" si="108"/>
        <v/>
      </c>
      <c r="L426" s="206" t="str">
        <f t="shared" si="109"/>
        <v/>
      </c>
      <c r="M426" s="206" t="str">
        <f t="shared" si="110"/>
        <v/>
      </c>
      <c r="N426" s="206" t="str">
        <f t="shared" si="121"/>
        <v/>
      </c>
      <c r="O426" s="206" t="str">
        <f t="shared" si="111"/>
        <v/>
      </c>
      <c r="P426" s="165" t="str">
        <f t="shared" si="112"/>
        <v/>
      </c>
      <c r="Q426" s="207"/>
      <c r="R426" s="141" t="str">
        <f>IF(S426="IN",'BOM_Phan II'!$Y$3,"")</f>
        <v/>
      </c>
      <c r="S426" s="153" t="str">
        <f t="shared" si="113"/>
        <v/>
      </c>
      <c r="T426">
        <f t="shared" si="114"/>
        <v>6</v>
      </c>
      <c r="U426" s="208" t="str">
        <f t="shared" si="122"/>
        <v>KIỆN 9</v>
      </c>
      <c r="V426" s="208" t="str">
        <f t="shared" si="115"/>
        <v/>
      </c>
      <c r="W426" s="240"/>
      <c r="X426" s="240"/>
      <c r="Y426" s="240" t="str">
        <f t="shared" si="116"/>
        <v/>
      </c>
      <c r="Z426" s="240"/>
      <c r="AD426" s="232" t="str">
        <f t="shared" si="117"/>
        <v/>
      </c>
      <c r="AE426" s="204"/>
      <c r="AX426" s="3" t="str">
        <f t="shared" si="107"/>
        <v/>
      </c>
    </row>
    <row r="427" spans="1:50" s="155" customFormat="1" ht="30" hidden="1" customHeight="1">
      <c r="A427" s="141" t="str">
        <f t="shared" si="118"/>
        <v/>
      </c>
      <c r="B427" s="141" t="str">
        <f t="shared" si="119"/>
        <v/>
      </c>
      <c r="C427" s="205" t="str" cm="1">
        <f t="array" ref="C427">IF(D427="","",
    IF(AND(ISNUMBER(D427), D427=INT(D427)),
        $V$6 &amp; " " &amp; (IFERROR(MAX($Y$12:$Y426), 0) + 1),
        IF(ISNUMBER(SEARCH(".", D427)), "", INDEX($C$12:$C427, MATCH(2, 1/($C$12:$C427 &lt;&gt; ""))))
    )
)</f>
        <v/>
      </c>
      <c r="D427" s="206"/>
      <c r="E427" s="206" t="str">
        <f>IF(AA427 = "", "",
    IF(ISNUMBER(SEARCH("Kiện", C427)),
       " GÓI " &amp; COUNTIF($C$13:C427, "*Kiện*") &amp; "/" &amp; COUNTIF($C$13:$C$1000, "*Kiện*") &amp; " " &amp; AA427,
       AA427)
)</f>
        <v/>
      </c>
      <c r="F427" s="206"/>
      <c r="G427" s="206"/>
      <c r="H427" s="206"/>
      <c r="I427" s="206"/>
      <c r="J427" s="206" t="str">
        <f t="shared" si="120"/>
        <v/>
      </c>
      <c r="K427" s="206" t="str">
        <f t="shared" si="108"/>
        <v/>
      </c>
      <c r="L427" s="206" t="str">
        <f t="shared" si="109"/>
        <v/>
      </c>
      <c r="M427" s="206" t="str">
        <f t="shared" si="110"/>
        <v/>
      </c>
      <c r="N427" s="206" t="str">
        <f t="shared" si="121"/>
        <v/>
      </c>
      <c r="O427" s="206" t="str">
        <f t="shared" si="111"/>
        <v/>
      </c>
      <c r="P427" s="165" t="str">
        <f t="shared" si="112"/>
        <v/>
      </c>
      <c r="Q427" s="207"/>
      <c r="R427" s="141" t="str">
        <f>IF(S427="IN",'BOM_Phan II'!$Y$3,"")</f>
        <v/>
      </c>
      <c r="S427" s="153" t="str">
        <f t="shared" si="113"/>
        <v/>
      </c>
      <c r="T427">
        <f t="shared" si="114"/>
        <v>6</v>
      </c>
      <c r="U427" s="208" t="str">
        <f t="shared" si="122"/>
        <v>KIỆN 9</v>
      </c>
      <c r="V427" s="208" t="str">
        <f t="shared" si="115"/>
        <v/>
      </c>
      <c r="W427" s="240"/>
      <c r="X427" s="240"/>
      <c r="Y427" s="240" t="str">
        <f t="shared" si="116"/>
        <v/>
      </c>
      <c r="Z427" s="240"/>
      <c r="AD427" s="232" t="str">
        <f t="shared" si="117"/>
        <v/>
      </c>
      <c r="AE427" s="204"/>
      <c r="AX427" s="3" t="str">
        <f t="shared" si="107"/>
        <v/>
      </c>
    </row>
    <row r="428" spans="1:50" s="155" customFormat="1" ht="30" hidden="1" customHeight="1">
      <c r="A428" s="141" t="str">
        <f t="shared" si="118"/>
        <v/>
      </c>
      <c r="B428" s="141" t="str">
        <f t="shared" si="119"/>
        <v/>
      </c>
      <c r="C428" s="205" t="str" cm="1">
        <f t="array" ref="C428">IF(D428="","",
    IF(AND(ISNUMBER(D428), D428=INT(D428)),
        $V$6 &amp; " " &amp; (IFERROR(MAX($Y$12:$Y427), 0) + 1),
        IF(ISNUMBER(SEARCH(".", D428)), "", INDEX($C$12:$C428, MATCH(2, 1/($C$12:$C428 &lt;&gt; ""))))
    )
)</f>
        <v/>
      </c>
      <c r="D428" s="206"/>
      <c r="E428" s="206" t="str">
        <f>IF(AA428 = "", "",
    IF(ISNUMBER(SEARCH("Kiện", C428)),
       " GÓI " &amp; COUNTIF($C$13:C428, "*Kiện*") &amp; "/" &amp; COUNTIF($C$13:$C$1000, "*Kiện*") &amp; " " &amp; AA428,
       AA428)
)</f>
        <v/>
      </c>
      <c r="F428" s="206"/>
      <c r="G428" s="206"/>
      <c r="H428" s="206"/>
      <c r="I428" s="206"/>
      <c r="J428" s="206" t="str">
        <f t="shared" si="120"/>
        <v/>
      </c>
      <c r="K428" s="206" t="str">
        <f t="shared" si="108"/>
        <v/>
      </c>
      <c r="L428" s="206" t="str">
        <f t="shared" si="109"/>
        <v/>
      </c>
      <c r="M428" s="206" t="str">
        <f t="shared" si="110"/>
        <v/>
      </c>
      <c r="N428" s="206" t="str">
        <f t="shared" si="121"/>
        <v/>
      </c>
      <c r="O428" s="206" t="str">
        <f t="shared" si="111"/>
        <v/>
      </c>
      <c r="P428" s="165" t="str">
        <f t="shared" si="112"/>
        <v/>
      </c>
      <c r="Q428" s="207"/>
      <c r="R428" s="141" t="str">
        <f>IF(S428="IN",'BOM_Phan II'!$Y$3,"")</f>
        <v/>
      </c>
      <c r="S428" s="153" t="str">
        <f t="shared" si="113"/>
        <v/>
      </c>
      <c r="T428">
        <f t="shared" si="114"/>
        <v>6</v>
      </c>
      <c r="U428" s="208" t="str">
        <f t="shared" si="122"/>
        <v>KIỆN 9</v>
      </c>
      <c r="V428" s="208" t="str">
        <f t="shared" si="115"/>
        <v/>
      </c>
      <c r="W428" s="240"/>
      <c r="X428" s="240"/>
      <c r="Y428" s="240" t="str">
        <f t="shared" si="116"/>
        <v/>
      </c>
      <c r="Z428" s="240"/>
      <c r="AD428" s="232" t="str">
        <f t="shared" si="117"/>
        <v/>
      </c>
      <c r="AE428" s="204"/>
      <c r="AX428" s="3" t="str">
        <f t="shared" si="107"/>
        <v/>
      </c>
    </row>
    <row r="429" spans="1:50" s="155" customFormat="1" ht="30" hidden="1" customHeight="1">
      <c r="A429" s="141" t="str">
        <f t="shared" si="118"/>
        <v/>
      </c>
      <c r="B429" s="141" t="str">
        <f t="shared" si="119"/>
        <v/>
      </c>
      <c r="C429" s="205" t="str" cm="1">
        <f t="array" ref="C429">IF(D429="","",
    IF(AND(ISNUMBER(D429), D429=INT(D429)),
        $V$6 &amp; " " &amp; (IFERROR(MAX($Y$12:$Y428), 0) + 1),
        IF(ISNUMBER(SEARCH(".", D429)), "", INDEX($C$12:$C429, MATCH(2, 1/($C$12:$C429 &lt;&gt; ""))))
    )
)</f>
        <v/>
      </c>
      <c r="D429" s="206"/>
      <c r="E429" s="206" t="str">
        <f>IF(AA429 = "", "",
    IF(ISNUMBER(SEARCH("Kiện", C429)),
       " GÓI " &amp; COUNTIF($C$13:C429, "*Kiện*") &amp; "/" &amp; COUNTIF($C$13:$C$1000, "*Kiện*") &amp; " " &amp; AA429,
       AA429)
)</f>
        <v/>
      </c>
      <c r="F429" s="206"/>
      <c r="G429" s="206"/>
      <c r="H429" s="206"/>
      <c r="I429" s="206"/>
      <c r="J429" s="206" t="str">
        <f t="shared" si="120"/>
        <v/>
      </c>
      <c r="K429" s="206" t="str">
        <f t="shared" si="108"/>
        <v/>
      </c>
      <c r="L429" s="206" t="str">
        <f t="shared" si="109"/>
        <v/>
      </c>
      <c r="M429" s="206" t="str">
        <f t="shared" si="110"/>
        <v/>
      </c>
      <c r="N429" s="206" t="str">
        <f t="shared" si="121"/>
        <v/>
      </c>
      <c r="O429" s="206" t="str">
        <f t="shared" si="111"/>
        <v/>
      </c>
      <c r="P429" s="165" t="str">
        <f t="shared" si="112"/>
        <v/>
      </c>
      <c r="Q429" s="207"/>
      <c r="R429" s="141" t="str">
        <f>IF(S429="IN",'BOM_Phan II'!$Y$3,"")</f>
        <v/>
      </c>
      <c r="S429" s="153" t="str">
        <f t="shared" si="113"/>
        <v/>
      </c>
      <c r="T429">
        <f t="shared" si="114"/>
        <v>6</v>
      </c>
      <c r="U429" s="208" t="str">
        <f t="shared" si="122"/>
        <v>KIỆN 9</v>
      </c>
      <c r="V429" s="208" t="str">
        <f t="shared" si="115"/>
        <v/>
      </c>
      <c r="W429" s="240"/>
      <c r="X429" s="240"/>
      <c r="Y429" s="240" t="str">
        <f t="shared" si="116"/>
        <v/>
      </c>
      <c r="Z429" s="240"/>
      <c r="AD429" s="232" t="str">
        <f t="shared" si="117"/>
        <v/>
      </c>
      <c r="AE429" s="204"/>
      <c r="AX429" s="3" t="str">
        <f t="shared" si="107"/>
        <v/>
      </c>
    </row>
    <row r="430" spans="1:50" s="155" customFormat="1" ht="30" hidden="1" customHeight="1">
      <c r="A430" s="141" t="str">
        <f t="shared" si="118"/>
        <v/>
      </c>
      <c r="B430" s="141" t="str">
        <f t="shared" si="119"/>
        <v/>
      </c>
      <c r="C430" s="205" t="str" cm="1">
        <f t="array" ref="C430">IF(D430="","",
    IF(AND(ISNUMBER(D430), D430=INT(D430)),
        $V$6 &amp; " " &amp; (IFERROR(MAX($Y$12:$Y429), 0) + 1),
        IF(ISNUMBER(SEARCH(".", D430)), "", INDEX($C$12:$C430, MATCH(2, 1/($C$12:$C430 &lt;&gt; ""))))
    )
)</f>
        <v/>
      </c>
      <c r="D430" s="206"/>
      <c r="E430" s="206" t="str">
        <f>IF(AA430 = "", "",
    IF(ISNUMBER(SEARCH("Kiện", C430)),
       " GÓI " &amp; COUNTIF($C$13:C430, "*Kiện*") &amp; "/" &amp; COUNTIF($C$13:$C$1000, "*Kiện*") &amp; " " &amp; AA430,
       AA430)
)</f>
        <v/>
      </c>
      <c r="F430" s="206"/>
      <c r="G430" s="206"/>
      <c r="H430" s="206"/>
      <c r="I430" s="206"/>
      <c r="J430" s="206" t="str">
        <f t="shared" si="120"/>
        <v/>
      </c>
      <c r="K430" s="206" t="str">
        <f t="shared" si="108"/>
        <v/>
      </c>
      <c r="L430" s="206" t="str">
        <f t="shared" si="109"/>
        <v/>
      </c>
      <c r="M430" s="206" t="str">
        <f t="shared" si="110"/>
        <v/>
      </c>
      <c r="N430" s="206" t="str">
        <f t="shared" si="121"/>
        <v/>
      </c>
      <c r="O430" s="206" t="str">
        <f t="shared" si="111"/>
        <v/>
      </c>
      <c r="P430" s="165" t="str">
        <f t="shared" si="112"/>
        <v/>
      </c>
      <c r="Q430" s="207"/>
      <c r="R430" s="141" t="str">
        <f>IF(S430="IN",'BOM_Phan II'!$Y$3,"")</f>
        <v/>
      </c>
      <c r="S430" s="153" t="str">
        <f t="shared" si="113"/>
        <v/>
      </c>
      <c r="T430">
        <f t="shared" si="114"/>
        <v>6</v>
      </c>
      <c r="U430" s="208" t="str">
        <f t="shared" si="122"/>
        <v>KIỆN 9</v>
      </c>
      <c r="V430" s="208" t="str">
        <f t="shared" si="115"/>
        <v/>
      </c>
      <c r="W430" s="240"/>
      <c r="X430" s="240"/>
      <c r="Y430" s="240" t="str">
        <f t="shared" si="116"/>
        <v/>
      </c>
      <c r="Z430" s="240"/>
      <c r="AD430" s="232" t="str">
        <f t="shared" si="117"/>
        <v/>
      </c>
      <c r="AE430" s="204"/>
      <c r="AX430" s="3" t="str">
        <f t="shared" si="107"/>
        <v/>
      </c>
    </row>
    <row r="431" spans="1:50" s="155" customFormat="1" ht="30" hidden="1" customHeight="1">
      <c r="A431" s="141" t="str">
        <f t="shared" si="118"/>
        <v/>
      </c>
      <c r="B431" s="141" t="str">
        <f t="shared" si="119"/>
        <v/>
      </c>
      <c r="C431" s="205" t="str" cm="1">
        <f t="array" ref="C431">IF(D431="","",
    IF(AND(ISNUMBER(D431), D431=INT(D431)),
        $V$6 &amp; " " &amp; (IFERROR(MAX($Y$12:$Y430), 0) + 1),
        IF(ISNUMBER(SEARCH(".", D431)), "", INDEX($C$12:$C431, MATCH(2, 1/($C$12:$C431 &lt;&gt; ""))))
    )
)</f>
        <v/>
      </c>
      <c r="D431" s="206"/>
      <c r="E431" s="206" t="str">
        <f>IF(AA431 = "", "",
    IF(ISNUMBER(SEARCH("Kiện", C431)),
       " GÓI " &amp; COUNTIF($C$13:C431, "*Kiện*") &amp; "/" &amp; COUNTIF($C$13:$C$1000, "*Kiện*") &amp; " " &amp; AA431,
       AA431)
)</f>
        <v/>
      </c>
      <c r="F431" s="206"/>
      <c r="G431" s="206"/>
      <c r="H431" s="206"/>
      <c r="I431" s="206"/>
      <c r="J431" s="206" t="str">
        <f t="shared" si="120"/>
        <v/>
      </c>
      <c r="K431" s="206" t="str">
        <f t="shared" si="108"/>
        <v/>
      </c>
      <c r="L431" s="206" t="str">
        <f t="shared" si="109"/>
        <v/>
      </c>
      <c r="M431" s="206" t="str">
        <f t="shared" si="110"/>
        <v/>
      </c>
      <c r="N431" s="206" t="str">
        <f t="shared" si="121"/>
        <v/>
      </c>
      <c r="O431" s="206" t="str">
        <f t="shared" si="111"/>
        <v/>
      </c>
      <c r="P431" s="165" t="str">
        <f t="shared" si="112"/>
        <v/>
      </c>
      <c r="Q431" s="207"/>
      <c r="R431" s="141" t="str">
        <f>IF(S431="IN",'BOM_Phan II'!$Y$3,"")</f>
        <v/>
      </c>
      <c r="S431" s="153" t="str">
        <f t="shared" si="113"/>
        <v/>
      </c>
      <c r="T431">
        <f t="shared" si="114"/>
        <v>6</v>
      </c>
      <c r="U431" s="208" t="str">
        <f t="shared" si="122"/>
        <v>KIỆN 9</v>
      </c>
      <c r="V431" s="208" t="str">
        <f t="shared" si="115"/>
        <v/>
      </c>
      <c r="W431" s="240"/>
      <c r="X431" s="240"/>
      <c r="Y431" s="240" t="str">
        <f t="shared" si="116"/>
        <v/>
      </c>
      <c r="Z431" s="240"/>
      <c r="AD431" s="232" t="str">
        <f t="shared" si="117"/>
        <v/>
      </c>
      <c r="AE431" s="204"/>
      <c r="AX431" s="3" t="str">
        <f t="shared" si="107"/>
        <v/>
      </c>
    </row>
    <row r="432" spans="1:50" s="155" customFormat="1" ht="30" hidden="1" customHeight="1">
      <c r="A432" s="141" t="str">
        <f t="shared" si="118"/>
        <v/>
      </c>
      <c r="B432" s="141" t="str">
        <f t="shared" si="119"/>
        <v/>
      </c>
      <c r="C432" s="205" t="str" cm="1">
        <f t="array" ref="C432">IF(D432="","",
    IF(AND(ISNUMBER(D432), D432=INT(D432)),
        $V$6 &amp; " " &amp; (IFERROR(MAX($Y$12:$Y431), 0) + 1),
        IF(ISNUMBER(SEARCH(".", D432)), "", INDEX($C$12:$C432, MATCH(2, 1/($C$12:$C432 &lt;&gt; ""))))
    )
)</f>
        <v/>
      </c>
      <c r="D432" s="206"/>
      <c r="E432" s="206" t="str">
        <f>IF(AA432 = "", "",
    IF(ISNUMBER(SEARCH("Kiện", C432)),
       " GÓI " &amp; COUNTIF($C$13:C432, "*Kiện*") &amp; "/" &amp; COUNTIF($C$13:$C$1000, "*Kiện*") &amp; " " &amp; AA432,
       AA432)
)</f>
        <v/>
      </c>
      <c r="F432" s="206"/>
      <c r="G432" s="206"/>
      <c r="H432" s="206"/>
      <c r="I432" s="206"/>
      <c r="J432" s="206" t="str">
        <f t="shared" si="120"/>
        <v/>
      </c>
      <c r="K432" s="206" t="str">
        <f t="shared" si="108"/>
        <v/>
      </c>
      <c r="L432" s="206" t="str">
        <f t="shared" si="109"/>
        <v/>
      </c>
      <c r="M432" s="206" t="str">
        <f t="shared" si="110"/>
        <v/>
      </c>
      <c r="N432" s="206" t="str">
        <f t="shared" si="121"/>
        <v/>
      </c>
      <c r="O432" s="206" t="str">
        <f t="shared" si="111"/>
        <v/>
      </c>
      <c r="P432" s="165" t="str">
        <f t="shared" si="112"/>
        <v/>
      </c>
      <c r="Q432" s="207"/>
      <c r="R432" s="141" t="str">
        <f>IF(S432="IN",'BOM_Phan II'!$Y$3,"")</f>
        <v/>
      </c>
      <c r="S432" s="153" t="str">
        <f t="shared" si="113"/>
        <v/>
      </c>
      <c r="T432">
        <f t="shared" si="114"/>
        <v>6</v>
      </c>
      <c r="U432" s="208" t="str">
        <f t="shared" si="122"/>
        <v>KIỆN 9</v>
      </c>
      <c r="V432" s="208" t="str">
        <f t="shared" si="115"/>
        <v/>
      </c>
      <c r="W432" s="240"/>
      <c r="X432" s="240"/>
      <c r="Y432" s="240" t="str">
        <f t="shared" si="116"/>
        <v/>
      </c>
      <c r="Z432" s="240"/>
      <c r="AD432" s="232" t="str">
        <f t="shared" si="117"/>
        <v/>
      </c>
      <c r="AE432" s="204"/>
      <c r="AX432" s="3" t="str">
        <f t="shared" si="107"/>
        <v/>
      </c>
    </row>
    <row r="433" spans="1:50" s="155" customFormat="1" ht="30" hidden="1" customHeight="1">
      <c r="A433" s="141" t="str">
        <f t="shared" si="118"/>
        <v/>
      </c>
      <c r="B433" s="141" t="str">
        <f t="shared" si="119"/>
        <v/>
      </c>
      <c r="C433" s="205" t="str" cm="1">
        <f t="array" ref="C433">IF(D433="","",
    IF(AND(ISNUMBER(D433), D433=INT(D433)),
        $V$6 &amp; " " &amp; (IFERROR(MAX($Y$12:$Y432), 0) + 1),
        IF(ISNUMBER(SEARCH(".", D433)), "", INDEX($C$12:$C433, MATCH(2, 1/($C$12:$C433 &lt;&gt; ""))))
    )
)</f>
        <v/>
      </c>
      <c r="D433" s="206"/>
      <c r="E433" s="206" t="str">
        <f>IF(AA433 = "", "",
    IF(ISNUMBER(SEARCH("Kiện", C433)),
       " GÓI " &amp; COUNTIF($C$13:C433, "*Kiện*") &amp; "/" &amp; COUNTIF($C$13:$C$1000, "*Kiện*") &amp; " " &amp; AA433,
       AA433)
)</f>
        <v/>
      </c>
      <c r="F433" s="206"/>
      <c r="G433" s="206"/>
      <c r="H433" s="206"/>
      <c r="I433" s="206"/>
      <c r="J433" s="206" t="str">
        <f t="shared" si="120"/>
        <v/>
      </c>
      <c r="K433" s="206" t="str">
        <f t="shared" si="108"/>
        <v/>
      </c>
      <c r="L433" s="206" t="str">
        <f t="shared" si="109"/>
        <v/>
      </c>
      <c r="M433" s="206" t="str">
        <f t="shared" si="110"/>
        <v/>
      </c>
      <c r="N433" s="206" t="str">
        <f t="shared" si="121"/>
        <v/>
      </c>
      <c r="O433" s="206" t="str">
        <f t="shared" si="111"/>
        <v/>
      </c>
      <c r="P433" s="165" t="str">
        <f t="shared" si="112"/>
        <v/>
      </c>
      <c r="Q433" s="207"/>
      <c r="R433" s="141" t="str">
        <f>IF(S433="IN",'BOM_Phan II'!$Y$3,"")</f>
        <v/>
      </c>
      <c r="S433" s="153" t="str">
        <f t="shared" si="113"/>
        <v/>
      </c>
      <c r="T433">
        <f t="shared" si="114"/>
        <v>6</v>
      </c>
      <c r="U433" s="208" t="str">
        <f t="shared" si="122"/>
        <v>KIỆN 9</v>
      </c>
      <c r="V433" s="208" t="str">
        <f t="shared" si="115"/>
        <v/>
      </c>
      <c r="W433" s="240"/>
      <c r="X433" s="240"/>
      <c r="Y433" s="240" t="str">
        <f t="shared" si="116"/>
        <v/>
      </c>
      <c r="Z433" s="240"/>
      <c r="AD433" s="232" t="str">
        <f t="shared" si="117"/>
        <v/>
      </c>
      <c r="AE433" s="204"/>
      <c r="AX433" s="3" t="str">
        <f t="shared" si="107"/>
        <v/>
      </c>
    </row>
    <row r="434" spans="1:50" s="155" customFormat="1" ht="30" hidden="1" customHeight="1">
      <c r="A434" s="141" t="str">
        <f t="shared" si="118"/>
        <v/>
      </c>
      <c r="B434" s="141" t="str">
        <f t="shared" si="119"/>
        <v/>
      </c>
      <c r="C434" s="205" t="str" cm="1">
        <f t="array" ref="C434">IF(D434="","",
    IF(AND(ISNUMBER(D434), D434=INT(D434)),
        $V$6 &amp; " " &amp; (IFERROR(MAX($Y$12:$Y433), 0) + 1),
        IF(ISNUMBER(SEARCH(".", D434)), "", INDEX($C$12:$C434, MATCH(2, 1/($C$12:$C434 &lt;&gt; ""))))
    )
)</f>
        <v/>
      </c>
      <c r="D434" s="206"/>
      <c r="E434" s="206" t="str">
        <f>IF(AA434 = "", "",
    IF(ISNUMBER(SEARCH("Kiện", C434)),
       " GÓI " &amp; COUNTIF($C$13:C434, "*Kiện*") &amp; "/" &amp; COUNTIF($C$13:$C$1000, "*Kiện*") &amp; " " &amp; AA434,
       AA434)
)</f>
        <v/>
      </c>
      <c r="F434" s="206"/>
      <c r="G434" s="206"/>
      <c r="H434" s="206"/>
      <c r="I434" s="206"/>
      <c r="J434" s="206" t="str">
        <f t="shared" si="120"/>
        <v/>
      </c>
      <c r="K434" s="206" t="str">
        <f t="shared" si="108"/>
        <v/>
      </c>
      <c r="L434" s="206" t="str">
        <f t="shared" si="109"/>
        <v/>
      </c>
      <c r="M434" s="206" t="str">
        <f t="shared" si="110"/>
        <v/>
      </c>
      <c r="N434" s="206" t="str">
        <f t="shared" si="121"/>
        <v/>
      </c>
      <c r="O434" s="206" t="str">
        <f t="shared" si="111"/>
        <v/>
      </c>
      <c r="P434" s="165" t="str">
        <f t="shared" si="112"/>
        <v/>
      </c>
      <c r="Q434" s="207"/>
      <c r="R434" s="141" t="str">
        <f>IF(S434="IN",'BOM_Phan II'!$Y$3,"")</f>
        <v/>
      </c>
      <c r="S434" s="153" t="str">
        <f t="shared" si="113"/>
        <v/>
      </c>
      <c r="T434">
        <f t="shared" si="114"/>
        <v>6</v>
      </c>
      <c r="U434" s="208" t="str">
        <f t="shared" si="122"/>
        <v>KIỆN 9</v>
      </c>
      <c r="V434" s="208" t="str">
        <f t="shared" si="115"/>
        <v/>
      </c>
      <c r="W434" s="240"/>
      <c r="X434" s="240"/>
      <c r="Y434" s="240" t="str">
        <f t="shared" si="116"/>
        <v/>
      </c>
      <c r="Z434" s="240"/>
      <c r="AD434" s="232" t="str">
        <f t="shared" si="117"/>
        <v/>
      </c>
      <c r="AE434" s="204"/>
      <c r="AX434" s="3" t="str">
        <f t="shared" si="107"/>
        <v/>
      </c>
    </row>
    <row r="435" spans="1:50" s="155" customFormat="1" ht="30" hidden="1" customHeight="1">
      <c r="A435" s="141" t="str">
        <f t="shared" si="118"/>
        <v/>
      </c>
      <c r="B435" s="141" t="str">
        <f t="shared" si="119"/>
        <v/>
      </c>
      <c r="C435" s="205" t="str" cm="1">
        <f t="array" ref="C435">IF(D435="","",
    IF(AND(ISNUMBER(D435), D435=INT(D435)),
        $V$6 &amp; " " &amp; (IFERROR(MAX($Y$12:$Y434), 0) + 1),
        IF(ISNUMBER(SEARCH(".", D435)), "", INDEX($C$12:$C435, MATCH(2, 1/($C$12:$C435 &lt;&gt; ""))))
    )
)</f>
        <v/>
      </c>
      <c r="D435" s="206"/>
      <c r="E435" s="206" t="str">
        <f>IF(AA435 = "", "",
    IF(ISNUMBER(SEARCH("Kiện", C435)),
       " GÓI " &amp; COUNTIF($C$13:C435, "*Kiện*") &amp; "/" &amp; COUNTIF($C$13:$C$1000, "*Kiện*") &amp; " " &amp; AA435,
       AA435)
)</f>
        <v/>
      </c>
      <c r="F435" s="206"/>
      <c r="G435" s="206"/>
      <c r="H435" s="206"/>
      <c r="I435" s="206"/>
      <c r="J435" s="206" t="str">
        <f t="shared" si="120"/>
        <v/>
      </c>
      <c r="K435" s="206" t="str">
        <f t="shared" si="108"/>
        <v/>
      </c>
      <c r="L435" s="206" t="str">
        <f t="shared" si="109"/>
        <v/>
      </c>
      <c r="M435" s="206" t="str">
        <f t="shared" si="110"/>
        <v/>
      </c>
      <c r="N435" s="206" t="str">
        <f t="shared" si="121"/>
        <v/>
      </c>
      <c r="O435" s="206" t="str">
        <f t="shared" si="111"/>
        <v/>
      </c>
      <c r="P435" s="165" t="str">
        <f t="shared" si="112"/>
        <v/>
      </c>
      <c r="Q435" s="207"/>
      <c r="R435" s="141" t="str">
        <f>IF(S435="IN",'BOM_Phan II'!$Y$3,"")</f>
        <v/>
      </c>
      <c r="S435" s="153" t="str">
        <f t="shared" si="113"/>
        <v/>
      </c>
      <c r="T435">
        <f t="shared" si="114"/>
        <v>6</v>
      </c>
      <c r="U435" s="208" t="str">
        <f t="shared" si="122"/>
        <v>KIỆN 9</v>
      </c>
      <c r="V435" s="208" t="str">
        <f t="shared" si="115"/>
        <v/>
      </c>
      <c r="W435" s="240"/>
      <c r="X435" s="240"/>
      <c r="Y435" s="240" t="str">
        <f t="shared" si="116"/>
        <v/>
      </c>
      <c r="Z435" s="240"/>
      <c r="AD435" s="232" t="str">
        <f t="shared" si="117"/>
        <v/>
      </c>
      <c r="AE435" s="204"/>
      <c r="AX435" s="3" t="str">
        <f t="shared" si="107"/>
        <v/>
      </c>
    </row>
    <row r="436" spans="1:50" s="155" customFormat="1" ht="30" hidden="1" customHeight="1">
      <c r="A436" s="141" t="str">
        <f t="shared" si="118"/>
        <v/>
      </c>
      <c r="B436" s="141" t="str">
        <f t="shared" si="119"/>
        <v/>
      </c>
      <c r="C436" s="205" t="str" cm="1">
        <f t="array" ref="C436">IF(D436="","",
    IF(AND(ISNUMBER(D436), D436=INT(D436)),
        $V$6 &amp; " " &amp; (IFERROR(MAX($Y$12:$Y435), 0) + 1),
        IF(ISNUMBER(SEARCH(".", D436)), "", INDEX($C$12:$C436, MATCH(2, 1/($C$12:$C436 &lt;&gt; ""))))
    )
)</f>
        <v/>
      </c>
      <c r="D436" s="206"/>
      <c r="E436" s="206" t="str">
        <f>IF(AA436 = "", "",
    IF(ISNUMBER(SEARCH("Kiện", C436)),
       " GÓI " &amp; COUNTIF($C$13:C436, "*Kiện*") &amp; "/" &amp; COUNTIF($C$13:$C$1000, "*Kiện*") &amp; " " &amp; AA436,
       AA436)
)</f>
        <v/>
      </c>
      <c r="F436" s="206"/>
      <c r="G436" s="206"/>
      <c r="H436" s="206"/>
      <c r="I436" s="206"/>
      <c r="J436" s="206" t="str">
        <f t="shared" si="120"/>
        <v/>
      </c>
      <c r="K436" s="206" t="str">
        <f t="shared" si="108"/>
        <v/>
      </c>
      <c r="L436" s="206" t="str">
        <f t="shared" si="109"/>
        <v/>
      </c>
      <c r="M436" s="206" t="str">
        <f t="shared" si="110"/>
        <v/>
      </c>
      <c r="N436" s="206" t="str">
        <f t="shared" si="121"/>
        <v/>
      </c>
      <c r="O436" s="206" t="str">
        <f t="shared" si="111"/>
        <v/>
      </c>
      <c r="P436" s="165" t="str">
        <f t="shared" si="112"/>
        <v/>
      </c>
      <c r="Q436" s="207"/>
      <c r="R436" s="141" t="str">
        <f>IF(S436="IN",'BOM_Phan II'!$Y$3,"")</f>
        <v/>
      </c>
      <c r="S436" s="153" t="str">
        <f t="shared" si="113"/>
        <v/>
      </c>
      <c r="T436">
        <f t="shared" si="114"/>
        <v>6</v>
      </c>
      <c r="U436" s="208" t="str">
        <f t="shared" si="122"/>
        <v>KIỆN 9</v>
      </c>
      <c r="V436" s="208" t="str">
        <f t="shared" si="115"/>
        <v/>
      </c>
      <c r="W436" s="240"/>
      <c r="X436" s="240"/>
      <c r="Y436" s="240" t="str">
        <f t="shared" si="116"/>
        <v/>
      </c>
      <c r="Z436" s="240"/>
      <c r="AD436" s="232" t="str">
        <f t="shared" si="117"/>
        <v/>
      </c>
      <c r="AE436" s="204"/>
      <c r="AX436" s="3" t="str">
        <f t="shared" si="107"/>
        <v/>
      </c>
    </row>
    <row r="437" spans="1:50" s="155" customFormat="1" ht="30" hidden="1" customHeight="1">
      <c r="A437" s="141" t="str">
        <f t="shared" si="118"/>
        <v/>
      </c>
      <c r="B437" s="141" t="str">
        <f t="shared" si="119"/>
        <v/>
      </c>
      <c r="C437" s="205" t="str" cm="1">
        <f t="array" ref="C437">IF(D437="","",
    IF(AND(ISNUMBER(D437), D437=INT(D437)),
        $V$6 &amp; " " &amp; (IFERROR(MAX($Y$12:$Y436), 0) + 1),
        IF(ISNUMBER(SEARCH(".", D437)), "", INDEX($C$12:$C437, MATCH(2, 1/($C$12:$C437 &lt;&gt; ""))))
    )
)</f>
        <v/>
      </c>
      <c r="D437" s="206"/>
      <c r="E437" s="206" t="str">
        <f>IF(AA437 = "", "",
    IF(ISNUMBER(SEARCH("Kiện", C437)),
       " GÓI " &amp; COUNTIF($C$13:C437, "*Kiện*") &amp; "/" &amp; COUNTIF($C$13:$C$1000, "*Kiện*") &amp; " " &amp; AA437,
       AA437)
)</f>
        <v/>
      </c>
      <c r="F437" s="206"/>
      <c r="G437" s="206"/>
      <c r="H437" s="206"/>
      <c r="I437" s="206"/>
      <c r="J437" s="206" t="str">
        <f t="shared" si="120"/>
        <v/>
      </c>
      <c r="K437" s="206" t="str">
        <f t="shared" si="108"/>
        <v/>
      </c>
      <c r="L437" s="206" t="str">
        <f t="shared" si="109"/>
        <v/>
      </c>
      <c r="M437" s="206" t="str">
        <f t="shared" si="110"/>
        <v/>
      </c>
      <c r="N437" s="206" t="str">
        <f t="shared" si="121"/>
        <v/>
      </c>
      <c r="O437" s="206" t="str">
        <f t="shared" si="111"/>
        <v/>
      </c>
      <c r="P437" s="165" t="str">
        <f t="shared" si="112"/>
        <v/>
      </c>
      <c r="Q437" s="207"/>
      <c r="R437" s="141" t="str">
        <f>IF(S437="IN",'BOM_Phan II'!$Y$3,"")</f>
        <v/>
      </c>
      <c r="S437" s="153" t="str">
        <f t="shared" si="113"/>
        <v/>
      </c>
      <c r="T437">
        <f t="shared" si="114"/>
        <v>6</v>
      </c>
      <c r="U437" s="208" t="str">
        <f t="shared" si="122"/>
        <v>KIỆN 9</v>
      </c>
      <c r="V437" s="208" t="str">
        <f t="shared" si="115"/>
        <v/>
      </c>
      <c r="W437" s="240"/>
      <c r="X437" s="240"/>
      <c r="Y437" s="240" t="str">
        <f t="shared" si="116"/>
        <v/>
      </c>
      <c r="Z437" s="240"/>
      <c r="AD437" s="232" t="str">
        <f t="shared" si="117"/>
        <v/>
      </c>
      <c r="AE437" s="204"/>
      <c r="AX437" s="3" t="str">
        <f t="shared" si="107"/>
        <v/>
      </c>
    </row>
    <row r="438" spans="1:50" s="155" customFormat="1" ht="30" hidden="1" customHeight="1">
      <c r="A438" s="141" t="str">
        <f t="shared" si="118"/>
        <v/>
      </c>
      <c r="B438" s="141" t="str">
        <f t="shared" si="119"/>
        <v/>
      </c>
      <c r="C438" s="205" t="str" cm="1">
        <f t="array" ref="C438">IF(D438="","",
    IF(AND(ISNUMBER(D438), D438=INT(D438)),
        $V$6 &amp; " " &amp; (IFERROR(MAX($Y$12:$Y437), 0) + 1),
        IF(ISNUMBER(SEARCH(".", D438)), "", INDEX($C$12:$C438, MATCH(2, 1/($C$12:$C438 &lt;&gt; ""))))
    )
)</f>
        <v/>
      </c>
      <c r="D438" s="206"/>
      <c r="E438" s="206" t="str">
        <f>IF(AA438 = "", "",
    IF(ISNUMBER(SEARCH("Kiện", C438)),
       " GÓI " &amp; COUNTIF($C$13:C438, "*Kiện*") &amp; "/" &amp; COUNTIF($C$13:$C$1000, "*Kiện*") &amp; " " &amp; AA438,
       AA438)
)</f>
        <v/>
      </c>
      <c r="F438" s="206"/>
      <c r="G438" s="206"/>
      <c r="H438" s="206"/>
      <c r="I438" s="206"/>
      <c r="J438" s="206" t="str">
        <f t="shared" si="120"/>
        <v/>
      </c>
      <c r="K438" s="206" t="str">
        <f t="shared" si="108"/>
        <v/>
      </c>
      <c r="L438" s="206" t="str">
        <f t="shared" si="109"/>
        <v/>
      </c>
      <c r="M438" s="206" t="str">
        <f t="shared" si="110"/>
        <v/>
      </c>
      <c r="N438" s="206" t="str">
        <f t="shared" si="121"/>
        <v/>
      </c>
      <c r="O438" s="206" t="str">
        <f t="shared" si="111"/>
        <v/>
      </c>
      <c r="P438" s="165" t="str">
        <f t="shared" si="112"/>
        <v/>
      </c>
      <c r="Q438" s="207"/>
      <c r="R438" s="141" t="str">
        <f>IF(S438="IN",'BOM_Phan II'!$Y$3,"")</f>
        <v/>
      </c>
      <c r="S438" s="153" t="str">
        <f t="shared" si="113"/>
        <v/>
      </c>
      <c r="T438">
        <f t="shared" si="114"/>
        <v>6</v>
      </c>
      <c r="U438" s="208" t="str">
        <f t="shared" si="122"/>
        <v>KIỆN 9</v>
      </c>
      <c r="V438" s="208" t="str">
        <f t="shared" si="115"/>
        <v/>
      </c>
      <c r="W438" s="240"/>
      <c r="X438" s="240"/>
      <c r="Y438" s="240" t="str">
        <f t="shared" si="116"/>
        <v/>
      </c>
      <c r="Z438" s="240"/>
      <c r="AD438" s="232" t="str">
        <f t="shared" si="117"/>
        <v/>
      </c>
      <c r="AE438" s="204"/>
      <c r="AX438" s="3" t="str">
        <f t="shared" si="107"/>
        <v/>
      </c>
    </row>
    <row r="439" spans="1:50" s="155" customFormat="1" ht="30" hidden="1" customHeight="1">
      <c r="A439" s="141" t="str">
        <f t="shared" si="118"/>
        <v/>
      </c>
      <c r="B439" s="141" t="str">
        <f t="shared" si="119"/>
        <v/>
      </c>
      <c r="C439" s="205" t="str" cm="1">
        <f t="array" ref="C439">IF(D439="","",
    IF(AND(ISNUMBER(D439), D439=INT(D439)),
        $V$6 &amp; " " &amp; (IFERROR(MAX($Y$12:$Y438), 0) + 1),
        IF(ISNUMBER(SEARCH(".", D439)), "", INDEX($C$12:$C439, MATCH(2, 1/($C$12:$C439 &lt;&gt; ""))))
    )
)</f>
        <v/>
      </c>
      <c r="D439" s="206"/>
      <c r="E439" s="206" t="str">
        <f>IF(AA439 = "", "",
    IF(ISNUMBER(SEARCH("Kiện", C439)),
       " GÓI " &amp; COUNTIF($C$13:C439, "*Kiện*") &amp; "/" &amp; COUNTIF($C$13:$C$1000, "*Kiện*") &amp; " " &amp; AA439,
       AA439)
)</f>
        <v/>
      </c>
      <c r="F439" s="206"/>
      <c r="G439" s="206"/>
      <c r="H439" s="206"/>
      <c r="I439" s="206"/>
      <c r="J439" s="206" t="str">
        <f t="shared" si="120"/>
        <v/>
      </c>
      <c r="K439" s="206" t="str">
        <f t="shared" si="108"/>
        <v/>
      </c>
      <c r="L439" s="206" t="str">
        <f t="shared" si="109"/>
        <v/>
      </c>
      <c r="M439" s="206" t="str">
        <f t="shared" si="110"/>
        <v/>
      </c>
      <c r="N439" s="206" t="str">
        <f t="shared" si="121"/>
        <v/>
      </c>
      <c r="O439" s="206" t="str">
        <f t="shared" si="111"/>
        <v/>
      </c>
      <c r="P439" s="165" t="str">
        <f t="shared" si="112"/>
        <v/>
      </c>
      <c r="Q439" s="207"/>
      <c r="R439" s="141" t="str">
        <f>IF(S439="IN",'BOM_Phan II'!$Y$3,"")</f>
        <v/>
      </c>
      <c r="S439" s="153" t="str">
        <f t="shared" si="113"/>
        <v/>
      </c>
      <c r="T439">
        <f t="shared" si="114"/>
        <v>6</v>
      </c>
      <c r="U439" s="208" t="str">
        <f t="shared" si="122"/>
        <v>KIỆN 9</v>
      </c>
      <c r="V439" s="208" t="str">
        <f t="shared" si="115"/>
        <v/>
      </c>
      <c r="W439" s="240"/>
      <c r="X439" s="240"/>
      <c r="Y439" s="240" t="str">
        <f t="shared" si="116"/>
        <v/>
      </c>
      <c r="Z439" s="240"/>
      <c r="AD439" s="232" t="str">
        <f t="shared" si="117"/>
        <v/>
      </c>
      <c r="AE439" s="204"/>
      <c r="AX439" s="3" t="str">
        <f t="shared" si="107"/>
        <v/>
      </c>
    </row>
    <row r="440" spans="1:50" s="155" customFormat="1" ht="30" hidden="1" customHeight="1">
      <c r="A440" s="141" t="str">
        <f t="shared" si="118"/>
        <v/>
      </c>
      <c r="B440" s="141" t="str">
        <f t="shared" si="119"/>
        <v/>
      </c>
      <c r="C440" s="205" t="str" cm="1">
        <f t="array" ref="C440">IF(D440="","",
    IF(AND(ISNUMBER(D440), D440=INT(D440)),
        $V$6 &amp; " " &amp; (IFERROR(MAX($Y$12:$Y439), 0) + 1),
        IF(ISNUMBER(SEARCH(".", D440)), "", INDEX($C$12:$C440, MATCH(2, 1/($C$12:$C440 &lt;&gt; ""))))
    )
)</f>
        <v/>
      </c>
      <c r="D440" s="206"/>
      <c r="E440" s="206" t="str">
        <f>IF(AA440 = "", "",
    IF(ISNUMBER(SEARCH("Kiện", C440)),
       " GÓI " &amp; COUNTIF($C$13:C440, "*Kiện*") &amp; "/" &amp; COUNTIF($C$13:$C$1000, "*Kiện*") &amp; " " &amp; AA440,
       AA440)
)</f>
        <v/>
      </c>
      <c r="F440" s="206"/>
      <c r="G440" s="206"/>
      <c r="H440" s="206"/>
      <c r="I440" s="206"/>
      <c r="J440" s="206" t="str">
        <f t="shared" si="120"/>
        <v/>
      </c>
      <c r="K440" s="206" t="str">
        <f t="shared" si="108"/>
        <v/>
      </c>
      <c r="L440" s="206" t="str">
        <f t="shared" si="109"/>
        <v/>
      </c>
      <c r="M440" s="206" t="str">
        <f t="shared" si="110"/>
        <v/>
      </c>
      <c r="N440" s="206" t="str">
        <f t="shared" si="121"/>
        <v/>
      </c>
      <c r="O440" s="206" t="str">
        <f t="shared" si="111"/>
        <v/>
      </c>
      <c r="P440" s="165" t="str">
        <f t="shared" si="112"/>
        <v/>
      </c>
      <c r="Q440" s="207"/>
      <c r="R440" s="141" t="str">
        <f>IF(S440="IN",'BOM_Phan II'!$Y$3,"")</f>
        <v/>
      </c>
      <c r="S440" s="153" t="str">
        <f t="shared" si="113"/>
        <v/>
      </c>
      <c r="T440">
        <f t="shared" si="114"/>
        <v>6</v>
      </c>
      <c r="U440" s="208" t="str">
        <f t="shared" si="122"/>
        <v>KIỆN 9</v>
      </c>
      <c r="V440" s="208" t="str">
        <f t="shared" si="115"/>
        <v/>
      </c>
      <c r="W440" s="240"/>
      <c r="X440" s="240"/>
      <c r="Y440" s="240" t="str">
        <f t="shared" si="116"/>
        <v/>
      </c>
      <c r="Z440" s="240"/>
      <c r="AD440" s="232" t="str">
        <f t="shared" si="117"/>
        <v/>
      </c>
      <c r="AE440" s="204"/>
      <c r="AX440" s="3" t="str">
        <f t="shared" si="107"/>
        <v/>
      </c>
    </row>
    <row r="441" spans="1:50" s="155" customFormat="1" ht="30" hidden="1" customHeight="1">
      <c r="A441" s="141" t="str">
        <f t="shared" si="118"/>
        <v/>
      </c>
      <c r="B441" s="141" t="str">
        <f t="shared" si="119"/>
        <v/>
      </c>
      <c r="C441" s="205" t="str" cm="1">
        <f t="array" ref="C441">IF(D441="","",
    IF(AND(ISNUMBER(D441), D441=INT(D441)),
        $V$6 &amp; " " &amp; (IFERROR(MAX($Y$12:$Y440), 0) + 1),
        IF(ISNUMBER(SEARCH(".", D441)), "", INDEX($C$12:$C441, MATCH(2, 1/($C$12:$C441 &lt;&gt; ""))))
    )
)</f>
        <v/>
      </c>
      <c r="D441" s="206"/>
      <c r="E441" s="206" t="str">
        <f>IF(AA441 = "", "",
    IF(ISNUMBER(SEARCH("Kiện", C441)),
       " GÓI " &amp; COUNTIF($C$13:C441, "*Kiện*") &amp; "/" &amp; COUNTIF($C$13:$C$1000, "*Kiện*") &amp; " " &amp; AA441,
       AA441)
)</f>
        <v/>
      </c>
      <c r="F441" s="206"/>
      <c r="G441" s="206"/>
      <c r="H441" s="206"/>
      <c r="I441" s="206"/>
      <c r="J441" s="206" t="str">
        <f t="shared" si="120"/>
        <v/>
      </c>
      <c r="K441" s="206" t="str">
        <f t="shared" si="108"/>
        <v/>
      </c>
      <c r="L441" s="206" t="str">
        <f t="shared" si="109"/>
        <v/>
      </c>
      <c r="M441" s="206" t="str">
        <f t="shared" si="110"/>
        <v/>
      </c>
      <c r="N441" s="206" t="str">
        <f t="shared" si="121"/>
        <v/>
      </c>
      <c r="O441" s="206" t="str">
        <f t="shared" si="111"/>
        <v/>
      </c>
      <c r="P441" s="165" t="str">
        <f t="shared" si="112"/>
        <v/>
      </c>
      <c r="Q441" s="207"/>
      <c r="R441" s="141" t="str">
        <f>IF(S441="IN",'BOM_Phan II'!$Y$3,"")</f>
        <v/>
      </c>
      <c r="S441" s="153" t="str">
        <f t="shared" si="113"/>
        <v/>
      </c>
      <c r="T441">
        <f t="shared" si="114"/>
        <v>6</v>
      </c>
      <c r="U441" s="208" t="str">
        <f t="shared" si="122"/>
        <v>KIỆN 9</v>
      </c>
      <c r="V441" s="208" t="str">
        <f t="shared" si="115"/>
        <v/>
      </c>
      <c r="W441" s="240"/>
      <c r="X441" s="240"/>
      <c r="Y441" s="240" t="str">
        <f t="shared" si="116"/>
        <v/>
      </c>
      <c r="Z441" s="240"/>
      <c r="AD441" s="232" t="str">
        <f t="shared" si="117"/>
        <v/>
      </c>
      <c r="AE441" s="204"/>
      <c r="AX441" s="3" t="str">
        <f t="shared" si="107"/>
        <v/>
      </c>
    </row>
    <row r="442" spans="1:50" s="155" customFormat="1" ht="30" hidden="1" customHeight="1">
      <c r="A442" s="141" t="str">
        <f t="shared" si="118"/>
        <v/>
      </c>
      <c r="B442" s="141" t="str">
        <f t="shared" si="119"/>
        <v/>
      </c>
      <c r="C442" s="205" t="str" cm="1">
        <f t="array" ref="C442">IF(D442="","",
    IF(AND(ISNUMBER(D442), D442=INT(D442)),
        $V$6 &amp; " " &amp; (IFERROR(MAX($Y$12:$Y441), 0) + 1),
        IF(ISNUMBER(SEARCH(".", D442)), "", INDEX($C$12:$C442, MATCH(2, 1/($C$12:$C442 &lt;&gt; ""))))
    )
)</f>
        <v/>
      </c>
      <c r="D442" s="206"/>
      <c r="E442" s="206" t="str">
        <f>IF(AA442 = "", "",
    IF(ISNUMBER(SEARCH("Kiện", C442)),
       " GÓI " &amp; COUNTIF($C$13:C442, "*Kiện*") &amp; "/" &amp; COUNTIF($C$13:$C$1000, "*Kiện*") &amp; " " &amp; AA442,
       AA442)
)</f>
        <v/>
      </c>
      <c r="F442" s="206"/>
      <c r="G442" s="206"/>
      <c r="H442" s="206"/>
      <c r="I442" s="206"/>
      <c r="J442" s="206" t="str">
        <f t="shared" si="120"/>
        <v/>
      </c>
      <c r="K442" s="206" t="str">
        <f t="shared" si="108"/>
        <v/>
      </c>
      <c r="L442" s="206" t="str">
        <f t="shared" si="109"/>
        <v/>
      </c>
      <c r="M442" s="206" t="str">
        <f t="shared" si="110"/>
        <v/>
      </c>
      <c r="N442" s="206" t="str">
        <f t="shared" si="121"/>
        <v/>
      </c>
      <c r="O442" s="206" t="str">
        <f t="shared" si="111"/>
        <v/>
      </c>
      <c r="P442" s="165" t="str">
        <f t="shared" si="112"/>
        <v/>
      </c>
      <c r="Q442" s="207"/>
      <c r="R442" s="141" t="str">
        <f>IF(S442="IN",'BOM_Phan II'!$Y$3,"")</f>
        <v/>
      </c>
      <c r="S442" s="153" t="str">
        <f t="shared" si="113"/>
        <v/>
      </c>
      <c r="T442">
        <f t="shared" si="114"/>
        <v>6</v>
      </c>
      <c r="U442" s="208" t="str">
        <f t="shared" si="122"/>
        <v>KIỆN 9</v>
      </c>
      <c r="V442" s="208" t="str">
        <f t="shared" si="115"/>
        <v/>
      </c>
      <c r="W442" s="240"/>
      <c r="X442" s="240"/>
      <c r="Y442" s="240" t="str">
        <f t="shared" si="116"/>
        <v/>
      </c>
      <c r="Z442" s="240"/>
      <c r="AD442" s="232" t="str">
        <f t="shared" si="117"/>
        <v/>
      </c>
      <c r="AE442" s="204"/>
      <c r="AX442" s="3" t="str">
        <f t="shared" si="107"/>
        <v/>
      </c>
    </row>
    <row r="443" spans="1:50" s="155" customFormat="1" ht="30" hidden="1" customHeight="1">
      <c r="A443" s="141" t="str">
        <f t="shared" si="118"/>
        <v/>
      </c>
      <c r="B443" s="141" t="str">
        <f t="shared" si="119"/>
        <v/>
      </c>
      <c r="C443" s="205" t="str" cm="1">
        <f t="array" ref="C443">IF(D443="","",
    IF(AND(ISNUMBER(D443), D443=INT(D443)),
        $V$6 &amp; " " &amp; (IFERROR(MAX($Y$12:$Y442), 0) + 1),
        IF(ISNUMBER(SEARCH(".", D443)), "", INDEX($C$12:$C443, MATCH(2, 1/($C$12:$C443 &lt;&gt; ""))))
    )
)</f>
        <v/>
      </c>
      <c r="D443" s="206"/>
      <c r="E443" s="206" t="str">
        <f>IF(AA443 = "", "",
    IF(ISNUMBER(SEARCH("Kiện", C443)),
       " GÓI " &amp; COUNTIF($C$13:C443, "*Kiện*") &amp; "/" &amp; COUNTIF($C$13:$C$1000, "*Kiện*") &amp; " " &amp; AA443,
       AA443)
)</f>
        <v/>
      </c>
      <c r="F443" s="206"/>
      <c r="G443" s="206"/>
      <c r="H443" s="206"/>
      <c r="I443" s="206"/>
      <c r="J443" s="206" t="str">
        <f t="shared" si="120"/>
        <v/>
      </c>
      <c r="K443" s="206" t="str">
        <f t="shared" si="108"/>
        <v/>
      </c>
      <c r="L443" s="206" t="str">
        <f t="shared" si="109"/>
        <v/>
      </c>
      <c r="M443" s="206" t="str">
        <f t="shared" si="110"/>
        <v/>
      </c>
      <c r="N443" s="206" t="str">
        <f t="shared" si="121"/>
        <v/>
      </c>
      <c r="O443" s="206" t="str">
        <f t="shared" si="111"/>
        <v/>
      </c>
      <c r="P443" s="165" t="str">
        <f t="shared" si="112"/>
        <v/>
      </c>
      <c r="Q443" s="207"/>
      <c r="R443" s="141" t="str">
        <f>IF(S443="IN",'BOM_Phan II'!$Y$3,"")</f>
        <v/>
      </c>
      <c r="S443" s="153" t="str">
        <f t="shared" si="113"/>
        <v/>
      </c>
      <c r="T443">
        <f t="shared" si="114"/>
        <v>6</v>
      </c>
      <c r="U443" s="208" t="str">
        <f t="shared" si="122"/>
        <v>KIỆN 9</v>
      </c>
      <c r="V443" s="208" t="str">
        <f t="shared" si="115"/>
        <v/>
      </c>
      <c r="W443" s="240"/>
      <c r="X443" s="240"/>
      <c r="Y443" s="240" t="str">
        <f t="shared" si="116"/>
        <v/>
      </c>
      <c r="Z443" s="240"/>
      <c r="AD443" s="232" t="str">
        <f t="shared" si="117"/>
        <v/>
      </c>
      <c r="AE443" s="204"/>
      <c r="AX443" s="3" t="str">
        <f t="shared" si="107"/>
        <v/>
      </c>
    </row>
    <row r="444" spans="1:50" s="155" customFormat="1" ht="30" hidden="1" customHeight="1">
      <c r="A444" s="141" t="str">
        <f t="shared" si="118"/>
        <v/>
      </c>
      <c r="B444" s="141" t="str">
        <f t="shared" si="119"/>
        <v/>
      </c>
      <c r="C444" s="205" t="str" cm="1">
        <f t="array" ref="C444">IF(D444="","",
    IF(AND(ISNUMBER(D444), D444=INT(D444)),
        $V$6 &amp; " " &amp; (IFERROR(MAX($Y$12:$Y443), 0) + 1),
        IF(ISNUMBER(SEARCH(".", D444)), "", INDEX($C$12:$C444, MATCH(2, 1/($C$12:$C444 &lt;&gt; ""))))
    )
)</f>
        <v/>
      </c>
      <c r="D444" s="206"/>
      <c r="E444" s="206" t="str">
        <f>IF(AA444 = "", "",
    IF(ISNUMBER(SEARCH("Kiện", C444)),
       " GÓI " &amp; COUNTIF($C$13:C444, "*Kiện*") &amp; "/" &amp; COUNTIF($C$13:$C$1000, "*Kiện*") &amp; " " &amp; AA444,
       AA444)
)</f>
        <v/>
      </c>
      <c r="F444" s="206"/>
      <c r="G444" s="206"/>
      <c r="H444" s="206"/>
      <c r="I444" s="206"/>
      <c r="J444" s="206" t="str">
        <f t="shared" si="120"/>
        <v/>
      </c>
      <c r="K444" s="206" t="str">
        <f t="shared" si="108"/>
        <v/>
      </c>
      <c r="L444" s="206" t="str">
        <f t="shared" si="109"/>
        <v/>
      </c>
      <c r="M444" s="206" t="str">
        <f t="shared" si="110"/>
        <v/>
      </c>
      <c r="N444" s="206" t="str">
        <f t="shared" si="121"/>
        <v/>
      </c>
      <c r="O444" s="206" t="str">
        <f t="shared" si="111"/>
        <v/>
      </c>
      <c r="P444" s="165" t="str">
        <f t="shared" si="112"/>
        <v/>
      </c>
      <c r="Q444" s="207"/>
      <c r="R444" s="141" t="str">
        <f>IF(S444="IN",'BOM_Phan II'!$Y$3,"")</f>
        <v/>
      </c>
      <c r="S444" s="153" t="str">
        <f t="shared" si="113"/>
        <v/>
      </c>
      <c r="T444">
        <f t="shared" si="114"/>
        <v>6</v>
      </c>
      <c r="U444" s="208" t="str">
        <f t="shared" si="122"/>
        <v>KIỆN 9</v>
      </c>
      <c r="V444" s="208" t="str">
        <f t="shared" si="115"/>
        <v/>
      </c>
      <c r="W444" s="240"/>
      <c r="X444" s="240"/>
      <c r="Y444" s="240" t="str">
        <f t="shared" si="116"/>
        <v/>
      </c>
      <c r="Z444" s="240"/>
      <c r="AD444" s="232" t="str">
        <f t="shared" si="117"/>
        <v/>
      </c>
      <c r="AE444" s="204"/>
      <c r="AX444" s="3" t="str">
        <f t="shared" si="107"/>
        <v/>
      </c>
    </row>
    <row r="445" spans="1:50" s="155" customFormat="1" ht="30" hidden="1" customHeight="1">
      <c r="A445" s="141" t="str">
        <f t="shared" si="118"/>
        <v/>
      </c>
      <c r="B445" s="141" t="str">
        <f t="shared" si="119"/>
        <v/>
      </c>
      <c r="C445" s="205" t="str" cm="1">
        <f t="array" ref="C445">IF(D445="","",
    IF(AND(ISNUMBER(D445), D445=INT(D445)),
        $V$6 &amp; " " &amp; (IFERROR(MAX($Y$12:$Y444), 0) + 1),
        IF(ISNUMBER(SEARCH(".", D445)), "", INDEX($C$12:$C445, MATCH(2, 1/($C$12:$C445 &lt;&gt; ""))))
    )
)</f>
        <v/>
      </c>
      <c r="D445" s="206"/>
      <c r="E445" s="206" t="str">
        <f>IF(AA445 = "", "",
    IF(ISNUMBER(SEARCH("Kiện", C445)),
       " GÓI " &amp; COUNTIF($C$13:C445, "*Kiện*") &amp; "/" &amp; COUNTIF($C$13:$C$1000, "*Kiện*") &amp; " " &amp; AA445,
       AA445)
)</f>
        <v/>
      </c>
      <c r="F445" s="206"/>
      <c r="G445" s="206"/>
      <c r="H445" s="206"/>
      <c r="I445" s="206"/>
      <c r="J445" s="206" t="str">
        <f t="shared" si="120"/>
        <v/>
      </c>
      <c r="K445" s="206" t="str">
        <f t="shared" si="108"/>
        <v/>
      </c>
      <c r="L445" s="206" t="str">
        <f t="shared" si="109"/>
        <v/>
      </c>
      <c r="M445" s="206" t="str">
        <f t="shared" si="110"/>
        <v/>
      </c>
      <c r="N445" s="206" t="str">
        <f t="shared" si="121"/>
        <v/>
      </c>
      <c r="O445" s="206" t="str">
        <f t="shared" si="111"/>
        <v/>
      </c>
      <c r="P445" s="165" t="str">
        <f t="shared" si="112"/>
        <v/>
      </c>
      <c r="Q445" s="207"/>
      <c r="R445" s="141" t="str">
        <f>IF(S445="IN",'BOM_Phan II'!$Y$3,"")</f>
        <v/>
      </c>
      <c r="S445" s="153" t="str">
        <f t="shared" si="113"/>
        <v/>
      </c>
      <c r="T445">
        <f t="shared" si="114"/>
        <v>6</v>
      </c>
      <c r="U445" s="208" t="str">
        <f t="shared" si="122"/>
        <v>KIỆN 9</v>
      </c>
      <c r="V445" s="208" t="str">
        <f t="shared" si="115"/>
        <v/>
      </c>
      <c r="W445" s="240"/>
      <c r="X445" s="240"/>
      <c r="Y445" s="240" t="str">
        <f t="shared" si="116"/>
        <v/>
      </c>
      <c r="Z445" s="240"/>
      <c r="AD445" s="232" t="str">
        <f t="shared" si="117"/>
        <v/>
      </c>
      <c r="AE445" s="204"/>
      <c r="AX445" s="3" t="str">
        <f t="shared" si="107"/>
        <v/>
      </c>
    </row>
    <row r="446" spans="1:50" s="155" customFormat="1" ht="30" hidden="1" customHeight="1">
      <c r="A446" s="141" t="str">
        <f t="shared" si="118"/>
        <v/>
      </c>
      <c r="B446" s="141" t="str">
        <f t="shared" si="119"/>
        <v/>
      </c>
      <c r="C446" s="205" t="str" cm="1">
        <f t="array" ref="C446">IF(D446="","",
    IF(AND(ISNUMBER(D446), D446=INT(D446)),
        $V$6 &amp; " " &amp; (IFERROR(MAX($Y$12:$Y445), 0) + 1),
        IF(ISNUMBER(SEARCH(".", D446)), "", INDEX($C$12:$C446, MATCH(2, 1/($C$12:$C446 &lt;&gt; ""))))
    )
)</f>
        <v/>
      </c>
      <c r="D446" s="206"/>
      <c r="E446" s="206" t="str">
        <f>IF(AA446 = "", "",
    IF(ISNUMBER(SEARCH("Kiện", C446)),
       " GÓI " &amp; COUNTIF($C$13:C446, "*Kiện*") &amp; "/" &amp; COUNTIF($C$13:$C$1000, "*Kiện*") &amp; " " &amp; AA446,
       AA446)
)</f>
        <v/>
      </c>
      <c r="F446" s="206"/>
      <c r="G446" s="206"/>
      <c r="H446" s="206"/>
      <c r="I446" s="206"/>
      <c r="J446" s="206" t="str">
        <f t="shared" si="120"/>
        <v/>
      </c>
      <c r="K446" s="206" t="str">
        <f t="shared" si="108"/>
        <v/>
      </c>
      <c r="L446" s="206" t="str">
        <f t="shared" si="109"/>
        <v/>
      </c>
      <c r="M446" s="206" t="str">
        <f t="shared" si="110"/>
        <v/>
      </c>
      <c r="N446" s="206" t="str">
        <f t="shared" si="121"/>
        <v/>
      </c>
      <c r="O446" s="206" t="str">
        <f t="shared" si="111"/>
        <v/>
      </c>
      <c r="P446" s="165" t="str">
        <f t="shared" si="112"/>
        <v/>
      </c>
      <c r="Q446" s="207"/>
      <c r="R446" s="141" t="str">
        <f>IF(S446="IN",'BOM_Phan II'!$Y$3,"")</f>
        <v/>
      </c>
      <c r="S446" s="153" t="str">
        <f t="shared" si="113"/>
        <v/>
      </c>
      <c r="T446">
        <f t="shared" si="114"/>
        <v>6</v>
      </c>
      <c r="U446" s="208" t="str">
        <f t="shared" si="122"/>
        <v>KIỆN 9</v>
      </c>
      <c r="V446" s="208" t="str">
        <f t="shared" si="115"/>
        <v/>
      </c>
      <c r="W446" s="240"/>
      <c r="X446" s="240"/>
      <c r="Y446" s="240" t="str">
        <f t="shared" si="116"/>
        <v/>
      </c>
      <c r="Z446" s="240"/>
      <c r="AD446" s="232" t="str">
        <f t="shared" si="117"/>
        <v/>
      </c>
      <c r="AE446" s="204"/>
      <c r="AX446" s="3" t="str">
        <f t="shared" si="107"/>
        <v/>
      </c>
    </row>
    <row r="447" spans="1:50" s="155" customFormat="1" ht="30" hidden="1" customHeight="1">
      <c r="A447" s="141" t="str">
        <f t="shared" si="118"/>
        <v/>
      </c>
      <c r="B447" s="141" t="str">
        <f t="shared" si="119"/>
        <v/>
      </c>
      <c r="C447" s="205" t="str" cm="1">
        <f t="array" ref="C447">IF(D447="","",
    IF(AND(ISNUMBER(D447), D447=INT(D447)),
        $V$6 &amp; " " &amp; (IFERROR(MAX($Y$12:$Y446), 0) + 1),
        IF(ISNUMBER(SEARCH(".", D447)), "", INDEX($C$12:$C447, MATCH(2, 1/($C$12:$C447 &lt;&gt; ""))))
    )
)</f>
        <v/>
      </c>
      <c r="D447" s="206"/>
      <c r="E447" s="206" t="str">
        <f>IF(AA447 = "", "",
    IF(ISNUMBER(SEARCH("Kiện", C447)),
       " GÓI " &amp; COUNTIF($C$13:C447, "*Kiện*") &amp; "/" &amp; COUNTIF($C$13:$C$1000, "*Kiện*") &amp; " " &amp; AA447,
       AA447)
)</f>
        <v/>
      </c>
      <c r="F447" s="206"/>
      <c r="G447" s="206"/>
      <c r="H447" s="206"/>
      <c r="I447" s="206"/>
      <c r="J447" s="206" t="str">
        <f t="shared" si="120"/>
        <v/>
      </c>
      <c r="K447" s="206" t="str">
        <f t="shared" si="108"/>
        <v/>
      </c>
      <c r="L447" s="206" t="str">
        <f t="shared" si="109"/>
        <v/>
      </c>
      <c r="M447" s="206" t="str">
        <f t="shared" si="110"/>
        <v/>
      </c>
      <c r="N447" s="206" t="str">
        <f t="shared" si="121"/>
        <v/>
      </c>
      <c r="O447" s="206" t="str">
        <f t="shared" si="111"/>
        <v/>
      </c>
      <c r="P447" s="165" t="str">
        <f t="shared" si="112"/>
        <v/>
      </c>
      <c r="Q447" s="207"/>
      <c r="R447" s="141" t="str">
        <f>IF(S447="IN",'BOM_Phan II'!$Y$3,"")</f>
        <v/>
      </c>
      <c r="S447" s="153" t="str">
        <f t="shared" si="113"/>
        <v/>
      </c>
      <c r="T447">
        <f t="shared" si="114"/>
        <v>6</v>
      </c>
      <c r="U447" s="208" t="str">
        <f t="shared" si="122"/>
        <v>KIỆN 9</v>
      </c>
      <c r="V447" s="208" t="str">
        <f t="shared" si="115"/>
        <v/>
      </c>
      <c r="W447" s="240"/>
      <c r="X447" s="240"/>
      <c r="Y447" s="240" t="str">
        <f t="shared" si="116"/>
        <v/>
      </c>
      <c r="Z447" s="240"/>
      <c r="AD447" s="232" t="str">
        <f t="shared" si="117"/>
        <v/>
      </c>
      <c r="AE447" s="204"/>
      <c r="AX447" s="3" t="str">
        <f t="shared" si="107"/>
        <v/>
      </c>
    </row>
    <row r="448" spans="1:50" s="155" customFormat="1" ht="30" hidden="1" customHeight="1">
      <c r="A448" s="141" t="str">
        <f t="shared" si="118"/>
        <v/>
      </c>
      <c r="B448" s="141" t="str">
        <f t="shared" si="119"/>
        <v/>
      </c>
      <c r="C448" s="205" t="str" cm="1">
        <f t="array" ref="C448">IF(D448="","",
    IF(AND(ISNUMBER(D448), D448=INT(D448)),
        $V$6 &amp; " " &amp; (IFERROR(MAX($Y$12:$Y447), 0) + 1),
        IF(ISNUMBER(SEARCH(".", D448)), "", INDEX($C$12:$C448, MATCH(2, 1/($C$12:$C448 &lt;&gt; ""))))
    )
)</f>
        <v/>
      </c>
      <c r="D448" s="206"/>
      <c r="E448" s="206" t="str">
        <f>IF(AA448 = "", "",
    IF(ISNUMBER(SEARCH("Kiện", C448)),
       " GÓI " &amp; COUNTIF($C$13:C448, "*Kiện*") &amp; "/" &amp; COUNTIF($C$13:$C$1000, "*Kiện*") &amp; " " &amp; AA448,
       AA448)
)</f>
        <v/>
      </c>
      <c r="F448" s="206"/>
      <c r="G448" s="206"/>
      <c r="H448" s="206"/>
      <c r="I448" s="206"/>
      <c r="J448" s="206" t="str">
        <f t="shared" si="120"/>
        <v/>
      </c>
      <c r="K448" s="206" t="str">
        <f t="shared" si="108"/>
        <v/>
      </c>
      <c r="L448" s="206" t="str">
        <f t="shared" si="109"/>
        <v/>
      </c>
      <c r="M448" s="206" t="str">
        <f t="shared" si="110"/>
        <v/>
      </c>
      <c r="N448" s="206" t="str">
        <f t="shared" si="121"/>
        <v/>
      </c>
      <c r="O448" s="206" t="str">
        <f t="shared" si="111"/>
        <v/>
      </c>
      <c r="P448" s="165" t="str">
        <f t="shared" si="112"/>
        <v/>
      </c>
      <c r="Q448" s="207"/>
      <c r="R448" s="141" t="str">
        <f>IF(S448="IN",'BOM_Phan II'!$Y$3,"")</f>
        <v/>
      </c>
      <c r="S448" s="153" t="str">
        <f t="shared" si="113"/>
        <v/>
      </c>
      <c r="T448">
        <f t="shared" si="114"/>
        <v>6</v>
      </c>
      <c r="U448" s="208" t="str">
        <f t="shared" si="122"/>
        <v>KIỆN 9</v>
      </c>
      <c r="V448" s="208" t="str">
        <f t="shared" si="115"/>
        <v/>
      </c>
      <c r="W448" s="240"/>
      <c r="X448" s="240"/>
      <c r="Y448" s="240" t="str">
        <f t="shared" si="116"/>
        <v/>
      </c>
      <c r="Z448" s="240"/>
      <c r="AD448" s="232" t="str">
        <f t="shared" si="117"/>
        <v/>
      </c>
      <c r="AE448" s="204"/>
      <c r="AX448" s="3" t="str">
        <f t="shared" si="107"/>
        <v/>
      </c>
    </row>
    <row r="449" spans="1:50" s="155" customFormat="1" ht="30" hidden="1" customHeight="1">
      <c r="A449" s="141" t="str">
        <f t="shared" si="118"/>
        <v/>
      </c>
      <c r="B449" s="141" t="str">
        <f t="shared" si="119"/>
        <v/>
      </c>
      <c r="C449" s="205" t="str" cm="1">
        <f t="array" ref="C449">IF(D449="","",
    IF(AND(ISNUMBER(D449), D449=INT(D449)),
        $V$6 &amp; " " &amp; (IFERROR(MAX($Y$12:$Y448), 0) + 1),
        IF(ISNUMBER(SEARCH(".", D449)), "", INDEX($C$12:$C449, MATCH(2, 1/($C$12:$C449 &lt;&gt; ""))))
    )
)</f>
        <v/>
      </c>
      <c r="D449" s="206"/>
      <c r="E449" s="206" t="str">
        <f>IF(AA449 = "", "",
    IF(ISNUMBER(SEARCH("Kiện", C449)),
       " GÓI " &amp; COUNTIF($C$13:C449, "*Kiện*") &amp; "/" &amp; COUNTIF($C$13:$C$1000, "*Kiện*") &amp; " " &amp; AA449,
       AA449)
)</f>
        <v/>
      </c>
      <c r="F449" s="206"/>
      <c r="G449" s="206"/>
      <c r="H449" s="206"/>
      <c r="I449" s="206"/>
      <c r="J449" s="206" t="str">
        <f t="shared" si="120"/>
        <v/>
      </c>
      <c r="K449" s="206" t="str">
        <f t="shared" si="108"/>
        <v/>
      </c>
      <c r="L449" s="206" t="str">
        <f t="shared" si="109"/>
        <v/>
      </c>
      <c r="M449" s="206" t="str">
        <f t="shared" si="110"/>
        <v/>
      </c>
      <c r="N449" s="206" t="str">
        <f t="shared" si="121"/>
        <v/>
      </c>
      <c r="O449" s="206" t="str">
        <f t="shared" si="111"/>
        <v/>
      </c>
      <c r="P449" s="165" t="str">
        <f t="shared" si="112"/>
        <v/>
      </c>
      <c r="Q449" s="207"/>
      <c r="R449" s="141" t="str">
        <f>IF(S449="IN",'BOM_Phan II'!$Y$3,"")</f>
        <v/>
      </c>
      <c r="S449" s="153" t="str">
        <f t="shared" si="113"/>
        <v/>
      </c>
      <c r="T449">
        <f t="shared" si="114"/>
        <v>6</v>
      </c>
      <c r="U449" s="208" t="str">
        <f t="shared" si="122"/>
        <v>KIỆN 9</v>
      </c>
      <c r="V449" s="208" t="str">
        <f t="shared" si="115"/>
        <v/>
      </c>
      <c r="W449" s="240"/>
      <c r="X449" s="240"/>
      <c r="Y449" s="240" t="str">
        <f t="shared" si="116"/>
        <v/>
      </c>
      <c r="Z449" s="240"/>
      <c r="AD449" s="232" t="str">
        <f t="shared" si="117"/>
        <v/>
      </c>
      <c r="AE449" s="204"/>
      <c r="AX449" s="3" t="str">
        <f t="shared" si="107"/>
        <v/>
      </c>
    </row>
    <row r="450" spans="1:50" s="155" customFormat="1" ht="30" hidden="1" customHeight="1">
      <c r="A450" s="141" t="str">
        <f t="shared" si="118"/>
        <v/>
      </c>
      <c r="B450" s="141" t="str">
        <f t="shared" si="119"/>
        <v/>
      </c>
      <c r="C450" s="205" t="str" cm="1">
        <f t="array" ref="C450">IF(D450="","",
    IF(AND(ISNUMBER(D450), D450=INT(D450)),
        $V$6 &amp; " " &amp; (IFERROR(MAX($Y$12:$Y449), 0) + 1),
        IF(ISNUMBER(SEARCH(".", D450)), "", INDEX($C$12:$C450, MATCH(2, 1/($C$12:$C450 &lt;&gt; ""))))
    )
)</f>
        <v/>
      </c>
      <c r="D450" s="206"/>
      <c r="E450" s="206" t="str">
        <f>IF(AA450 = "", "",
    IF(ISNUMBER(SEARCH("Kiện", C450)),
       " GÓI " &amp; COUNTIF($C$13:C450, "*Kiện*") &amp; "/" &amp; COUNTIF($C$13:$C$1000, "*Kiện*") &amp; " " &amp; AA450,
       AA450)
)</f>
        <v/>
      </c>
      <c r="F450" s="206"/>
      <c r="G450" s="206"/>
      <c r="H450" s="206"/>
      <c r="I450" s="206"/>
      <c r="J450" s="206" t="str">
        <f t="shared" si="120"/>
        <v/>
      </c>
      <c r="K450" s="206" t="str">
        <f t="shared" si="108"/>
        <v/>
      </c>
      <c r="L450" s="206" t="str">
        <f t="shared" si="109"/>
        <v/>
      </c>
      <c r="M450" s="206" t="str">
        <f t="shared" si="110"/>
        <v/>
      </c>
      <c r="N450" s="206" t="str">
        <f t="shared" si="121"/>
        <v/>
      </c>
      <c r="O450" s="206" t="str">
        <f t="shared" si="111"/>
        <v/>
      </c>
      <c r="P450" s="165" t="str">
        <f t="shared" si="112"/>
        <v/>
      </c>
      <c r="Q450" s="207"/>
      <c r="R450" s="141" t="str">
        <f>IF(S450="IN",'BOM_Phan II'!$Y$3,"")</f>
        <v/>
      </c>
      <c r="S450" s="153" t="str">
        <f t="shared" si="113"/>
        <v/>
      </c>
      <c r="T450">
        <f t="shared" si="114"/>
        <v>6</v>
      </c>
      <c r="U450" s="208" t="str">
        <f t="shared" si="122"/>
        <v>KIỆN 9</v>
      </c>
      <c r="V450" s="208" t="str">
        <f t="shared" si="115"/>
        <v/>
      </c>
      <c r="W450" s="240"/>
      <c r="X450" s="240"/>
      <c r="Y450" s="240" t="str">
        <f t="shared" si="116"/>
        <v/>
      </c>
      <c r="Z450" s="240"/>
      <c r="AD450" s="232" t="str">
        <f t="shared" si="117"/>
        <v/>
      </c>
      <c r="AE450" s="204"/>
      <c r="AX450" s="3" t="str">
        <f t="shared" si="107"/>
        <v/>
      </c>
    </row>
    <row r="451" spans="1:50" s="155" customFormat="1" ht="30" hidden="1" customHeight="1">
      <c r="A451" s="141" t="str">
        <f t="shared" si="118"/>
        <v/>
      </c>
      <c r="B451" s="141" t="str">
        <f t="shared" si="119"/>
        <v/>
      </c>
      <c r="C451" s="205" t="str" cm="1">
        <f t="array" ref="C451">IF(D451="","",
    IF(AND(ISNUMBER(D451), D451=INT(D451)),
        $V$6 &amp; " " &amp; (IFERROR(MAX($Y$12:$Y450), 0) + 1),
        IF(ISNUMBER(SEARCH(".", D451)), "", INDEX($C$12:$C451, MATCH(2, 1/($C$12:$C451 &lt;&gt; ""))))
    )
)</f>
        <v/>
      </c>
      <c r="D451" s="206"/>
      <c r="E451" s="206" t="str">
        <f>IF(AA451 = "", "",
    IF(ISNUMBER(SEARCH("Kiện", C451)),
       " GÓI " &amp; COUNTIF($C$13:C451, "*Kiện*") &amp; "/" &amp; COUNTIF($C$13:$C$1000, "*Kiện*") &amp; " " &amp; AA451,
       AA451)
)</f>
        <v/>
      </c>
      <c r="F451" s="206"/>
      <c r="G451" s="206"/>
      <c r="H451" s="206"/>
      <c r="I451" s="206"/>
      <c r="J451" s="206" t="str">
        <f t="shared" si="120"/>
        <v/>
      </c>
      <c r="K451" s="206" t="str">
        <f t="shared" si="108"/>
        <v/>
      </c>
      <c r="L451" s="206" t="str">
        <f t="shared" si="109"/>
        <v/>
      </c>
      <c r="M451" s="206" t="str">
        <f t="shared" si="110"/>
        <v/>
      </c>
      <c r="N451" s="206" t="str">
        <f t="shared" si="121"/>
        <v/>
      </c>
      <c r="O451" s="206" t="str">
        <f t="shared" si="111"/>
        <v/>
      </c>
      <c r="P451" s="165" t="str">
        <f t="shared" si="112"/>
        <v/>
      </c>
      <c r="Q451" s="207"/>
      <c r="R451" s="141" t="str">
        <f>IF(S451="IN",'BOM_Phan II'!$Y$3,"")</f>
        <v/>
      </c>
      <c r="S451" s="153" t="str">
        <f t="shared" si="113"/>
        <v/>
      </c>
      <c r="T451">
        <f t="shared" si="114"/>
        <v>6</v>
      </c>
      <c r="U451" s="208" t="str">
        <f t="shared" si="122"/>
        <v>KIỆN 9</v>
      </c>
      <c r="V451" s="208" t="str">
        <f t="shared" si="115"/>
        <v/>
      </c>
      <c r="W451" s="240"/>
      <c r="X451" s="240"/>
      <c r="Y451" s="240" t="str">
        <f t="shared" si="116"/>
        <v/>
      </c>
      <c r="Z451" s="240"/>
      <c r="AD451" s="232" t="str">
        <f t="shared" si="117"/>
        <v/>
      </c>
      <c r="AE451" s="204"/>
      <c r="AX451" s="3" t="str">
        <f t="shared" si="107"/>
        <v/>
      </c>
    </row>
    <row r="452" spans="1:50" s="155" customFormat="1" ht="30" hidden="1" customHeight="1">
      <c r="A452" s="141" t="str">
        <f t="shared" si="118"/>
        <v/>
      </c>
      <c r="B452" s="141" t="str">
        <f t="shared" si="119"/>
        <v/>
      </c>
      <c r="C452" s="205" t="str" cm="1">
        <f t="array" ref="C452">IF(D452="","",
    IF(AND(ISNUMBER(D452), D452=INT(D452)),
        $V$6 &amp; " " &amp; (IFERROR(MAX($Y$12:$Y451), 0) + 1),
        IF(ISNUMBER(SEARCH(".", D452)), "", INDEX($C$12:$C452, MATCH(2, 1/($C$12:$C452 &lt;&gt; ""))))
    )
)</f>
        <v/>
      </c>
      <c r="D452" s="206"/>
      <c r="E452" s="206" t="str">
        <f>IF(AA452 = "", "",
    IF(ISNUMBER(SEARCH("Kiện", C452)),
       " GÓI " &amp; COUNTIF($C$13:C452, "*Kiện*") &amp; "/" &amp; COUNTIF($C$13:$C$1000, "*Kiện*") &amp; " " &amp; AA452,
       AA452)
)</f>
        <v/>
      </c>
      <c r="F452" s="206"/>
      <c r="G452" s="206"/>
      <c r="H452" s="206"/>
      <c r="I452" s="206"/>
      <c r="J452" s="206" t="str">
        <f t="shared" si="120"/>
        <v/>
      </c>
      <c r="K452" s="206" t="str">
        <f t="shared" si="108"/>
        <v/>
      </c>
      <c r="L452" s="206" t="str">
        <f t="shared" si="109"/>
        <v/>
      </c>
      <c r="M452" s="206" t="str">
        <f t="shared" si="110"/>
        <v/>
      </c>
      <c r="N452" s="206" t="str">
        <f t="shared" si="121"/>
        <v/>
      </c>
      <c r="O452" s="206" t="str">
        <f t="shared" si="111"/>
        <v/>
      </c>
      <c r="P452" s="165" t="str">
        <f t="shared" si="112"/>
        <v/>
      </c>
      <c r="Q452" s="207"/>
      <c r="R452" s="141" t="str">
        <f>IF(S452="IN",'BOM_Phan II'!$Y$3,"")</f>
        <v/>
      </c>
      <c r="S452" s="153" t="str">
        <f t="shared" si="113"/>
        <v/>
      </c>
      <c r="T452">
        <f t="shared" si="114"/>
        <v>6</v>
      </c>
      <c r="U452" s="208" t="str">
        <f t="shared" si="122"/>
        <v>KIỆN 9</v>
      </c>
      <c r="V452" s="208" t="str">
        <f t="shared" si="115"/>
        <v/>
      </c>
      <c r="W452" s="240"/>
      <c r="X452" s="240"/>
      <c r="Y452" s="240" t="str">
        <f t="shared" si="116"/>
        <v/>
      </c>
      <c r="Z452" s="240"/>
      <c r="AD452" s="232" t="str">
        <f t="shared" si="117"/>
        <v/>
      </c>
      <c r="AE452" s="204"/>
      <c r="AX452" s="3" t="str">
        <f t="shared" si="107"/>
        <v/>
      </c>
    </row>
    <row r="453" spans="1:50" s="155" customFormat="1" ht="30" hidden="1" customHeight="1">
      <c r="A453" s="141" t="str">
        <f t="shared" si="118"/>
        <v/>
      </c>
      <c r="B453" s="141" t="str">
        <f t="shared" si="119"/>
        <v/>
      </c>
      <c r="C453" s="205" t="str" cm="1">
        <f t="array" ref="C453">IF(D453="","",
    IF(AND(ISNUMBER(D453), D453=INT(D453)),
        $V$6 &amp; " " &amp; (IFERROR(MAX($Y$12:$Y452), 0) + 1),
        IF(ISNUMBER(SEARCH(".", D453)), "", INDEX($C$12:$C453, MATCH(2, 1/($C$12:$C453 &lt;&gt; ""))))
    )
)</f>
        <v/>
      </c>
      <c r="D453" s="206"/>
      <c r="E453" s="206" t="str">
        <f>IF(AA453 = "", "",
    IF(ISNUMBER(SEARCH("Kiện", C453)),
       " GÓI " &amp; COUNTIF($C$13:C453, "*Kiện*") &amp; "/" &amp; COUNTIF($C$13:$C$1000, "*Kiện*") &amp; " " &amp; AA453,
       AA453)
)</f>
        <v/>
      </c>
      <c r="F453" s="206"/>
      <c r="G453" s="206"/>
      <c r="H453" s="206"/>
      <c r="I453" s="206"/>
      <c r="J453" s="206" t="str">
        <f t="shared" si="120"/>
        <v/>
      </c>
      <c r="K453" s="206" t="str">
        <f t="shared" si="108"/>
        <v/>
      </c>
      <c r="L453" s="206" t="str">
        <f t="shared" si="109"/>
        <v/>
      </c>
      <c r="M453" s="206" t="str">
        <f t="shared" si="110"/>
        <v/>
      </c>
      <c r="N453" s="206" t="str">
        <f t="shared" si="121"/>
        <v/>
      </c>
      <c r="O453" s="206" t="str">
        <f t="shared" si="111"/>
        <v/>
      </c>
      <c r="P453" s="165" t="str">
        <f t="shared" si="112"/>
        <v/>
      </c>
      <c r="Q453" s="207"/>
      <c r="R453" s="141" t="str">
        <f>IF(S453="IN",'BOM_Phan II'!$Y$3,"")</f>
        <v/>
      </c>
      <c r="S453" s="153" t="str">
        <f t="shared" si="113"/>
        <v/>
      </c>
      <c r="T453">
        <f t="shared" si="114"/>
        <v>6</v>
      </c>
      <c r="U453" s="208" t="str">
        <f t="shared" si="122"/>
        <v>KIỆN 9</v>
      </c>
      <c r="V453" s="208" t="str">
        <f t="shared" si="115"/>
        <v/>
      </c>
      <c r="W453" s="240"/>
      <c r="X453" s="240"/>
      <c r="Y453" s="240" t="str">
        <f t="shared" si="116"/>
        <v/>
      </c>
      <c r="Z453" s="240"/>
      <c r="AD453" s="232" t="str">
        <f t="shared" si="117"/>
        <v/>
      </c>
      <c r="AE453" s="204"/>
      <c r="AX453" s="3" t="str">
        <f t="shared" si="107"/>
        <v/>
      </c>
    </row>
    <row r="454" spans="1:50" s="155" customFormat="1" ht="30" hidden="1" customHeight="1">
      <c r="A454" s="141" t="str">
        <f t="shared" si="118"/>
        <v/>
      </c>
      <c r="B454" s="141" t="str">
        <f t="shared" si="119"/>
        <v/>
      </c>
      <c r="C454" s="205" t="str" cm="1">
        <f t="array" ref="C454">IF(D454="","",
    IF(AND(ISNUMBER(D454), D454=INT(D454)),
        $V$6 &amp; " " &amp; (IFERROR(MAX($Y$12:$Y453), 0) + 1),
        IF(ISNUMBER(SEARCH(".", D454)), "", INDEX($C$12:$C454, MATCH(2, 1/($C$12:$C454 &lt;&gt; ""))))
    )
)</f>
        <v/>
      </c>
      <c r="D454" s="206"/>
      <c r="E454" s="206" t="str">
        <f>IF(AA454 = "", "",
    IF(ISNUMBER(SEARCH("Kiện", C454)),
       " GÓI " &amp; COUNTIF($C$13:C454, "*Kiện*") &amp; "/" &amp; COUNTIF($C$13:$C$1000, "*Kiện*") &amp; " " &amp; AA454,
       AA454)
)</f>
        <v/>
      </c>
      <c r="F454" s="206"/>
      <c r="G454" s="206"/>
      <c r="H454" s="206"/>
      <c r="I454" s="206"/>
      <c r="J454" s="206" t="str">
        <f t="shared" si="120"/>
        <v/>
      </c>
      <c r="K454" s="206" t="str">
        <f t="shared" si="108"/>
        <v/>
      </c>
      <c r="L454" s="206" t="str">
        <f t="shared" si="109"/>
        <v/>
      </c>
      <c r="M454" s="206" t="str">
        <f t="shared" si="110"/>
        <v/>
      </c>
      <c r="N454" s="206" t="str">
        <f t="shared" si="121"/>
        <v/>
      </c>
      <c r="O454" s="206" t="str">
        <f t="shared" si="111"/>
        <v/>
      </c>
      <c r="P454" s="165" t="str">
        <f t="shared" si="112"/>
        <v/>
      </c>
      <c r="Q454" s="207"/>
      <c r="R454" s="141" t="str">
        <f>IF(S454="IN",'BOM_Phan II'!$Y$3,"")</f>
        <v/>
      </c>
      <c r="S454" s="153" t="str">
        <f t="shared" si="113"/>
        <v/>
      </c>
      <c r="T454">
        <f t="shared" si="114"/>
        <v>6</v>
      </c>
      <c r="U454" s="208" t="str">
        <f t="shared" si="122"/>
        <v>KIỆN 9</v>
      </c>
      <c r="V454" s="208" t="str">
        <f t="shared" si="115"/>
        <v/>
      </c>
      <c r="W454" s="240"/>
      <c r="X454" s="240"/>
      <c r="Y454" s="240" t="str">
        <f t="shared" si="116"/>
        <v/>
      </c>
      <c r="Z454" s="240"/>
      <c r="AD454" s="232" t="str">
        <f t="shared" si="117"/>
        <v/>
      </c>
      <c r="AE454" s="204"/>
      <c r="AX454" s="3" t="str">
        <f t="shared" si="107"/>
        <v/>
      </c>
    </row>
    <row r="455" spans="1:50" s="155" customFormat="1" ht="30" hidden="1" customHeight="1">
      <c r="A455" s="141" t="str">
        <f t="shared" si="118"/>
        <v/>
      </c>
      <c r="B455" s="141" t="str">
        <f t="shared" si="119"/>
        <v/>
      </c>
      <c r="C455" s="205" t="str" cm="1">
        <f t="array" ref="C455">IF(D455="","",
    IF(AND(ISNUMBER(D455), D455=INT(D455)),
        $V$6 &amp; " " &amp; (IFERROR(MAX($Y$12:$Y454), 0) + 1),
        IF(ISNUMBER(SEARCH(".", D455)), "", INDEX($C$12:$C455, MATCH(2, 1/($C$12:$C455 &lt;&gt; ""))))
    )
)</f>
        <v/>
      </c>
      <c r="D455" s="206"/>
      <c r="E455" s="206" t="str">
        <f>IF(AA455 = "", "",
    IF(ISNUMBER(SEARCH("Kiện", C455)),
       " GÓI " &amp; COUNTIF($C$13:C455, "*Kiện*") &amp; "/" &amp; COUNTIF($C$13:$C$1000, "*Kiện*") &amp; " " &amp; AA455,
       AA455)
)</f>
        <v/>
      </c>
      <c r="F455" s="206"/>
      <c r="G455" s="206"/>
      <c r="H455" s="206"/>
      <c r="I455" s="206"/>
      <c r="J455" s="206" t="str">
        <f t="shared" si="120"/>
        <v/>
      </c>
      <c r="K455" s="206" t="str">
        <f t="shared" si="108"/>
        <v/>
      </c>
      <c r="L455" s="206" t="str">
        <f t="shared" si="109"/>
        <v/>
      </c>
      <c r="M455" s="206" t="str">
        <f t="shared" si="110"/>
        <v/>
      </c>
      <c r="N455" s="206" t="str">
        <f t="shared" si="121"/>
        <v/>
      </c>
      <c r="O455" s="206" t="str">
        <f t="shared" si="111"/>
        <v/>
      </c>
      <c r="P455" s="165" t="str">
        <f t="shared" si="112"/>
        <v/>
      </c>
      <c r="Q455" s="207"/>
      <c r="R455" s="141" t="str">
        <f>IF(S455="IN",'BOM_Phan II'!$Y$3,"")</f>
        <v/>
      </c>
      <c r="S455" s="153" t="str">
        <f t="shared" si="113"/>
        <v/>
      </c>
      <c r="T455">
        <f t="shared" si="114"/>
        <v>6</v>
      </c>
      <c r="U455" s="208" t="str">
        <f t="shared" si="122"/>
        <v>KIỆN 9</v>
      </c>
      <c r="V455" s="208" t="str">
        <f t="shared" si="115"/>
        <v/>
      </c>
      <c r="W455" s="240"/>
      <c r="X455" s="240"/>
      <c r="Y455" s="240" t="str">
        <f t="shared" si="116"/>
        <v/>
      </c>
      <c r="Z455" s="240"/>
      <c r="AD455" s="232" t="str">
        <f t="shared" si="117"/>
        <v/>
      </c>
      <c r="AE455" s="204"/>
      <c r="AX455" s="3" t="str">
        <f t="shared" si="107"/>
        <v/>
      </c>
    </row>
    <row r="456" spans="1:50" s="155" customFormat="1" ht="30" hidden="1" customHeight="1">
      <c r="A456" s="141" t="str">
        <f t="shared" si="118"/>
        <v/>
      </c>
      <c r="B456" s="141" t="str">
        <f t="shared" si="119"/>
        <v/>
      </c>
      <c r="C456" s="205" t="str" cm="1">
        <f t="array" ref="C456">IF(D456="","",
    IF(AND(ISNUMBER(D456), D456=INT(D456)),
        $V$6 &amp; " " &amp; (IFERROR(MAX($Y$12:$Y455), 0) + 1),
        IF(ISNUMBER(SEARCH(".", D456)), "", INDEX($C$12:$C456, MATCH(2, 1/($C$12:$C456 &lt;&gt; ""))))
    )
)</f>
        <v/>
      </c>
      <c r="D456" s="206"/>
      <c r="E456" s="206" t="str">
        <f>IF(AA456 = "", "",
    IF(ISNUMBER(SEARCH("Kiện", C456)),
       " GÓI " &amp; COUNTIF($C$13:C456, "*Kiện*") &amp; "/" &amp; COUNTIF($C$13:$C$1000, "*Kiện*") &amp; " " &amp; AA456,
       AA456)
)</f>
        <v/>
      </c>
      <c r="F456" s="206"/>
      <c r="G456" s="206"/>
      <c r="H456" s="206"/>
      <c r="I456" s="206"/>
      <c r="J456" s="206" t="str">
        <f t="shared" si="120"/>
        <v/>
      </c>
      <c r="K456" s="206" t="str">
        <f t="shared" si="108"/>
        <v/>
      </c>
      <c r="L456" s="206" t="str">
        <f t="shared" si="109"/>
        <v/>
      </c>
      <c r="M456" s="206" t="str">
        <f t="shared" si="110"/>
        <v/>
      </c>
      <c r="N456" s="206" t="str">
        <f t="shared" si="121"/>
        <v/>
      </c>
      <c r="O456" s="206" t="str">
        <f t="shared" si="111"/>
        <v/>
      </c>
      <c r="P456" s="165" t="str">
        <f t="shared" si="112"/>
        <v/>
      </c>
      <c r="Q456" s="207"/>
      <c r="R456" s="141" t="str">
        <f>IF(S456="IN",'BOM_Phan II'!$Y$3,"")</f>
        <v/>
      </c>
      <c r="S456" s="153" t="str">
        <f t="shared" si="113"/>
        <v/>
      </c>
      <c r="T456">
        <f t="shared" si="114"/>
        <v>6</v>
      </c>
      <c r="U456" s="208" t="str">
        <f t="shared" si="122"/>
        <v>KIỆN 9</v>
      </c>
      <c r="V456" s="208" t="str">
        <f t="shared" si="115"/>
        <v/>
      </c>
      <c r="W456" s="240"/>
      <c r="X456" s="240"/>
      <c r="Y456" s="240" t="str">
        <f t="shared" si="116"/>
        <v/>
      </c>
      <c r="Z456" s="240"/>
      <c r="AD456" s="232" t="str">
        <f t="shared" si="117"/>
        <v/>
      </c>
      <c r="AE456" s="204"/>
      <c r="AX456" s="3" t="str">
        <f t="shared" si="107"/>
        <v/>
      </c>
    </row>
    <row r="457" spans="1:50" s="155" customFormat="1" ht="30" hidden="1" customHeight="1">
      <c r="A457" s="141" t="str">
        <f t="shared" si="118"/>
        <v/>
      </c>
      <c r="B457" s="141" t="str">
        <f t="shared" si="119"/>
        <v/>
      </c>
      <c r="C457" s="205" t="str" cm="1">
        <f t="array" ref="C457">IF(D457="","",
    IF(AND(ISNUMBER(D457), D457=INT(D457)),
        $V$6 &amp; " " &amp; (IFERROR(MAX($Y$12:$Y456), 0) + 1),
        IF(ISNUMBER(SEARCH(".", D457)), "", INDEX($C$12:$C457, MATCH(2, 1/($C$12:$C457 &lt;&gt; ""))))
    )
)</f>
        <v/>
      </c>
      <c r="D457" s="206"/>
      <c r="E457" s="206" t="str">
        <f>IF(AA457 = "", "",
    IF(ISNUMBER(SEARCH("Kiện", C457)),
       " GÓI " &amp; COUNTIF($C$13:C457, "*Kiện*") &amp; "/" &amp; COUNTIF($C$13:$C$1000, "*Kiện*") &amp; " " &amp; AA457,
       AA457)
)</f>
        <v/>
      </c>
      <c r="F457" s="206"/>
      <c r="G457" s="206"/>
      <c r="H457" s="206"/>
      <c r="I457" s="206"/>
      <c r="J457" s="206" t="str">
        <f t="shared" si="120"/>
        <v/>
      </c>
      <c r="K457" s="206" t="str">
        <f t="shared" si="108"/>
        <v/>
      </c>
      <c r="L457" s="206" t="str">
        <f t="shared" si="109"/>
        <v/>
      </c>
      <c r="M457" s="206" t="str">
        <f t="shared" si="110"/>
        <v/>
      </c>
      <c r="N457" s="206" t="str">
        <f t="shared" si="121"/>
        <v/>
      </c>
      <c r="O457" s="206" t="str">
        <f t="shared" si="111"/>
        <v/>
      </c>
      <c r="P457" s="165" t="str">
        <f t="shared" si="112"/>
        <v/>
      </c>
      <c r="Q457" s="207"/>
      <c r="R457" s="141" t="str">
        <f>IF(S457="IN",'BOM_Phan II'!$Y$3,"")</f>
        <v/>
      </c>
      <c r="S457" s="153" t="str">
        <f t="shared" si="113"/>
        <v/>
      </c>
      <c r="T457">
        <f t="shared" si="114"/>
        <v>6</v>
      </c>
      <c r="U457" s="208" t="str">
        <f t="shared" si="122"/>
        <v>KIỆN 9</v>
      </c>
      <c r="V457" s="208" t="str">
        <f t="shared" si="115"/>
        <v/>
      </c>
      <c r="W457" s="240"/>
      <c r="X457" s="240"/>
      <c r="Y457" s="240" t="str">
        <f t="shared" si="116"/>
        <v/>
      </c>
      <c r="Z457" s="240"/>
      <c r="AD457" s="232" t="str">
        <f t="shared" si="117"/>
        <v/>
      </c>
      <c r="AE457" s="204"/>
      <c r="AX457" s="3" t="str">
        <f t="shared" si="107"/>
        <v/>
      </c>
    </row>
    <row r="458" spans="1:50" s="155" customFormat="1" ht="30" hidden="1" customHeight="1">
      <c r="A458" s="141" t="str">
        <f t="shared" si="118"/>
        <v/>
      </c>
      <c r="B458" s="141" t="str">
        <f t="shared" si="119"/>
        <v/>
      </c>
      <c r="C458" s="205" t="str" cm="1">
        <f t="array" ref="C458">IF(D458="","",
    IF(AND(ISNUMBER(D458), D458=INT(D458)),
        $V$6 &amp; " " &amp; (IFERROR(MAX($Y$12:$Y457), 0) + 1),
        IF(ISNUMBER(SEARCH(".", D458)), "", INDEX($C$12:$C458, MATCH(2, 1/($C$12:$C458 &lt;&gt; ""))))
    )
)</f>
        <v/>
      </c>
      <c r="D458" s="206"/>
      <c r="E458" s="206" t="str">
        <f>IF(AA458 = "", "",
    IF(ISNUMBER(SEARCH("Kiện", C458)),
       " GÓI " &amp; COUNTIF($C$13:C458, "*Kiện*") &amp; "/" &amp; COUNTIF($C$13:$C$1000, "*Kiện*") &amp; " " &amp; AA458,
       AA458)
)</f>
        <v/>
      </c>
      <c r="F458" s="206"/>
      <c r="G458" s="206"/>
      <c r="H458" s="206"/>
      <c r="I458" s="206"/>
      <c r="J458" s="206" t="str">
        <f t="shared" si="120"/>
        <v/>
      </c>
      <c r="K458" s="206" t="str">
        <f t="shared" si="108"/>
        <v/>
      </c>
      <c r="L458" s="206" t="str">
        <f t="shared" si="109"/>
        <v/>
      </c>
      <c r="M458" s="206" t="str">
        <f t="shared" si="110"/>
        <v/>
      </c>
      <c r="N458" s="206" t="str">
        <f t="shared" si="121"/>
        <v/>
      </c>
      <c r="O458" s="206" t="str">
        <f t="shared" si="111"/>
        <v/>
      </c>
      <c r="P458" s="165" t="str">
        <f t="shared" si="112"/>
        <v/>
      </c>
      <c r="Q458" s="207"/>
      <c r="R458" s="141" t="str">
        <f>IF(S458="IN",'BOM_Phan II'!$Y$3,"")</f>
        <v/>
      </c>
      <c r="S458" s="153" t="str">
        <f t="shared" si="113"/>
        <v/>
      </c>
      <c r="T458">
        <f t="shared" si="114"/>
        <v>6</v>
      </c>
      <c r="U458" s="208" t="str">
        <f t="shared" si="122"/>
        <v>KIỆN 9</v>
      </c>
      <c r="V458" s="208" t="str">
        <f t="shared" si="115"/>
        <v/>
      </c>
      <c r="W458" s="240"/>
      <c r="X458" s="240"/>
      <c r="Y458" s="240" t="str">
        <f t="shared" si="116"/>
        <v/>
      </c>
      <c r="Z458" s="240"/>
      <c r="AD458" s="232" t="str">
        <f t="shared" si="117"/>
        <v/>
      </c>
      <c r="AE458" s="204"/>
      <c r="AX458" s="3" t="str">
        <f t="shared" si="107"/>
        <v/>
      </c>
    </row>
    <row r="459" spans="1:50" s="155" customFormat="1" ht="30" hidden="1" customHeight="1">
      <c r="A459" s="141" t="str">
        <f t="shared" si="118"/>
        <v/>
      </c>
      <c r="B459" s="141" t="str">
        <f t="shared" si="119"/>
        <v/>
      </c>
      <c r="C459" s="205" t="str" cm="1">
        <f t="array" ref="C459">IF(D459="","",
    IF(AND(ISNUMBER(D459), D459=INT(D459)),
        $V$6 &amp; " " &amp; (IFERROR(MAX($Y$12:$Y458), 0) + 1),
        IF(ISNUMBER(SEARCH(".", D459)), "", INDEX($C$12:$C459, MATCH(2, 1/($C$12:$C459 &lt;&gt; ""))))
    )
)</f>
        <v/>
      </c>
      <c r="D459" s="206"/>
      <c r="E459" s="206" t="str">
        <f>IF(AA459 = "", "",
    IF(ISNUMBER(SEARCH("Kiện", C459)),
       " GÓI " &amp; COUNTIF($C$13:C459, "*Kiện*") &amp; "/" &amp; COUNTIF($C$13:$C$1000, "*Kiện*") &amp; " " &amp; AA459,
       AA459)
)</f>
        <v/>
      </c>
      <c r="F459" s="206"/>
      <c r="G459" s="206"/>
      <c r="H459" s="206"/>
      <c r="I459" s="206"/>
      <c r="J459" s="206" t="str">
        <f t="shared" si="120"/>
        <v/>
      </c>
      <c r="K459" s="206" t="str">
        <f t="shared" si="108"/>
        <v/>
      </c>
      <c r="L459" s="206" t="str">
        <f t="shared" si="109"/>
        <v/>
      </c>
      <c r="M459" s="206" t="str">
        <f t="shared" si="110"/>
        <v/>
      </c>
      <c r="N459" s="206" t="str">
        <f t="shared" si="121"/>
        <v/>
      </c>
      <c r="O459" s="206" t="str">
        <f t="shared" si="111"/>
        <v/>
      </c>
      <c r="P459" s="165" t="str">
        <f t="shared" si="112"/>
        <v/>
      </c>
      <c r="Q459" s="207"/>
      <c r="R459" s="141" t="str">
        <f>IF(S459="IN",'BOM_Phan II'!$Y$3,"")</f>
        <v/>
      </c>
      <c r="S459" s="153" t="str">
        <f t="shared" si="113"/>
        <v/>
      </c>
      <c r="T459">
        <f t="shared" si="114"/>
        <v>6</v>
      </c>
      <c r="U459" s="208" t="str">
        <f t="shared" si="122"/>
        <v>KIỆN 9</v>
      </c>
      <c r="V459" s="208" t="str">
        <f t="shared" si="115"/>
        <v/>
      </c>
      <c r="W459" s="240"/>
      <c r="X459" s="240"/>
      <c r="Y459" s="240" t="str">
        <f t="shared" si="116"/>
        <v/>
      </c>
      <c r="Z459" s="240"/>
      <c r="AD459" s="232" t="str">
        <f t="shared" si="117"/>
        <v/>
      </c>
      <c r="AE459" s="204"/>
      <c r="AX459" s="3" t="str">
        <f t="shared" si="107"/>
        <v/>
      </c>
    </row>
    <row r="460" spans="1:50" s="155" customFormat="1" ht="30" hidden="1" customHeight="1">
      <c r="A460" s="141" t="str">
        <f t="shared" si="118"/>
        <v/>
      </c>
      <c r="B460" s="141" t="str">
        <f t="shared" si="119"/>
        <v/>
      </c>
      <c r="C460" s="205" t="str" cm="1">
        <f t="array" ref="C460">IF(D460="","",
    IF(AND(ISNUMBER(D460), D460=INT(D460)),
        $V$6 &amp; " " &amp; (IFERROR(MAX($Y$12:$Y459), 0) + 1),
        IF(ISNUMBER(SEARCH(".", D460)), "", INDEX($C$12:$C460, MATCH(2, 1/($C$12:$C460 &lt;&gt; ""))))
    )
)</f>
        <v/>
      </c>
      <c r="D460" s="206"/>
      <c r="E460" s="206" t="str">
        <f>IF(AA460 = "", "",
    IF(ISNUMBER(SEARCH("Kiện", C460)),
       " GÓI " &amp; COUNTIF($C$13:C460, "*Kiện*") &amp; "/" &amp; COUNTIF($C$13:$C$1000, "*Kiện*") &amp; " " &amp; AA460,
       AA460)
)</f>
        <v/>
      </c>
      <c r="F460" s="206"/>
      <c r="G460" s="206"/>
      <c r="H460" s="206"/>
      <c r="I460" s="206"/>
      <c r="J460" s="206" t="str">
        <f t="shared" si="120"/>
        <v/>
      </c>
      <c r="K460" s="206" t="str">
        <f t="shared" si="108"/>
        <v/>
      </c>
      <c r="L460" s="206" t="str">
        <f t="shared" si="109"/>
        <v/>
      </c>
      <c r="M460" s="206" t="str">
        <f t="shared" si="110"/>
        <v/>
      </c>
      <c r="N460" s="206" t="str">
        <f t="shared" si="121"/>
        <v/>
      </c>
      <c r="O460" s="206" t="str">
        <f t="shared" si="111"/>
        <v/>
      </c>
      <c r="P460" s="165" t="str">
        <f t="shared" si="112"/>
        <v/>
      </c>
      <c r="Q460" s="207"/>
      <c r="R460" s="141" t="str">
        <f>IF(S460="IN",'BOM_Phan II'!$Y$3,"")</f>
        <v/>
      </c>
      <c r="S460" s="153" t="str">
        <f t="shared" si="113"/>
        <v/>
      </c>
      <c r="T460">
        <f t="shared" si="114"/>
        <v>6</v>
      </c>
      <c r="U460" s="208" t="str">
        <f t="shared" si="122"/>
        <v>KIỆN 9</v>
      </c>
      <c r="V460" s="208" t="str">
        <f t="shared" si="115"/>
        <v/>
      </c>
      <c r="W460" s="240"/>
      <c r="X460" s="240"/>
      <c r="Y460" s="240" t="str">
        <f t="shared" si="116"/>
        <v/>
      </c>
      <c r="Z460" s="240"/>
      <c r="AD460" s="232" t="str">
        <f t="shared" si="117"/>
        <v/>
      </c>
      <c r="AE460" s="204"/>
      <c r="AX460" s="3" t="str">
        <f t="shared" ref="AX460:AX523" si="123">+S460</f>
        <v/>
      </c>
    </row>
    <row r="461" spans="1:50" s="155" customFormat="1" ht="30" hidden="1" customHeight="1">
      <c r="A461" s="141" t="str">
        <f t="shared" si="118"/>
        <v/>
      </c>
      <c r="B461" s="141" t="str">
        <f t="shared" si="119"/>
        <v/>
      </c>
      <c r="C461" s="205" t="str" cm="1">
        <f t="array" ref="C461">IF(D461="","",
    IF(AND(ISNUMBER(D461), D461=INT(D461)),
        $V$6 &amp; " " &amp; (IFERROR(MAX($Y$12:$Y460), 0) + 1),
        IF(ISNUMBER(SEARCH(".", D461)), "", INDEX($C$12:$C461, MATCH(2, 1/($C$12:$C461 &lt;&gt; ""))))
    )
)</f>
        <v/>
      </c>
      <c r="D461" s="206"/>
      <c r="E461" s="206" t="str">
        <f>IF(AA461 = "", "",
    IF(ISNUMBER(SEARCH("Kiện", C461)),
       " GÓI " &amp; COUNTIF($C$13:C461, "*Kiện*") &amp; "/" &amp; COUNTIF($C$13:$C$1000, "*Kiện*") &amp; " " &amp; AA461,
       AA461)
)</f>
        <v/>
      </c>
      <c r="F461" s="206"/>
      <c r="G461" s="206"/>
      <c r="H461" s="206"/>
      <c r="I461" s="206"/>
      <c r="J461" s="206" t="str">
        <f t="shared" si="120"/>
        <v/>
      </c>
      <c r="K461" s="206" t="str">
        <f t="shared" si="108"/>
        <v/>
      </c>
      <c r="L461" s="206" t="str">
        <f t="shared" si="109"/>
        <v/>
      </c>
      <c r="M461" s="206" t="str">
        <f t="shared" si="110"/>
        <v/>
      </c>
      <c r="N461" s="206" t="str">
        <f t="shared" si="121"/>
        <v/>
      </c>
      <c r="O461" s="206" t="str">
        <f t="shared" si="111"/>
        <v/>
      </c>
      <c r="P461" s="165" t="str">
        <f t="shared" si="112"/>
        <v/>
      </c>
      <c r="Q461" s="207"/>
      <c r="R461" s="141" t="str">
        <f>IF(S461="IN",'BOM_Phan II'!$Y$3,"")</f>
        <v/>
      </c>
      <c r="S461" s="153" t="str">
        <f t="shared" si="113"/>
        <v/>
      </c>
      <c r="T461">
        <f t="shared" si="114"/>
        <v>6</v>
      </c>
      <c r="U461" s="208" t="str">
        <f t="shared" si="122"/>
        <v>KIỆN 9</v>
      </c>
      <c r="V461" s="208" t="str">
        <f t="shared" si="115"/>
        <v/>
      </c>
      <c r="W461" s="240"/>
      <c r="X461" s="240"/>
      <c r="Y461" s="240" t="str">
        <f t="shared" si="116"/>
        <v/>
      </c>
      <c r="Z461" s="240"/>
      <c r="AD461" s="232" t="str">
        <f t="shared" si="117"/>
        <v/>
      </c>
      <c r="AE461" s="204"/>
      <c r="AX461" s="3" t="str">
        <f t="shared" si="123"/>
        <v/>
      </c>
    </row>
    <row r="462" spans="1:50" s="155" customFormat="1" ht="30" hidden="1" customHeight="1">
      <c r="A462" s="141" t="str">
        <f t="shared" si="118"/>
        <v/>
      </c>
      <c r="B462" s="141" t="str">
        <f t="shared" si="119"/>
        <v/>
      </c>
      <c r="C462" s="205" t="str" cm="1">
        <f t="array" ref="C462">IF(D462="","",
    IF(AND(ISNUMBER(D462), D462=INT(D462)),
        $V$6 &amp; " " &amp; (IFERROR(MAX($Y$12:$Y461), 0) + 1),
        IF(ISNUMBER(SEARCH(".", D462)), "", INDEX($C$12:$C462, MATCH(2, 1/($C$12:$C462 &lt;&gt; ""))))
    )
)</f>
        <v/>
      </c>
      <c r="D462" s="206"/>
      <c r="E462" s="206" t="str">
        <f>IF(AA462 = "", "",
    IF(ISNUMBER(SEARCH("Kiện", C462)),
       " GÓI " &amp; COUNTIF($C$13:C462, "*Kiện*") &amp; "/" &amp; COUNTIF($C$13:$C$1000, "*Kiện*") &amp; " " &amp; AA462,
       AA462)
)</f>
        <v/>
      </c>
      <c r="F462" s="206"/>
      <c r="G462" s="206"/>
      <c r="H462" s="206"/>
      <c r="I462" s="206"/>
      <c r="J462" s="206" t="str">
        <f t="shared" si="120"/>
        <v/>
      </c>
      <c r="K462" s="206" t="str">
        <f t="shared" ref="K462:K525" si="124">IFERROR(IF($C462&lt;&gt;"",IF($T$13=1,F462+20,IF($T$13=2,F462+20,IF($T$13=3,F462+50,IF($T$13=4,F462+40,IF($T$13=5,F462+50,IF($T$13=51,F462+50,IF($T$13=6,F462+50,IF($T$13=7,F462+50,"")))))))),""),"")</f>
        <v/>
      </c>
      <c r="L462" s="206" t="str">
        <f t="shared" ref="L462:L525" si="125">IFERROR(IF($C462&lt;&gt;"",IF($T$13=1,G462+20,IF($T$13=2,G462+20,IF($T$13=3,G462+50,IF($T$13=4,G462+40,IF($T$13=5,G462+50,IF($T$13=51,G462+50,IF($T$13=6,G462+50,IF($T$13=7,G462+50,"")))))))),""),"")</f>
        <v/>
      </c>
      <c r="M462" s="206" t="str">
        <f t="shared" ref="M462:M525" si="126">IFERROR(IF($C462&lt;&gt;"",IF($T$13=1,H462+20,IF($T$13=2,H462+20,IF($T$13=3,H462+70,IF($T$13=4,H462+40,IF($T$13=5,H462+50,IF($T$13=51,H462+150,IF($T$13=6,H462+50,IF($T$13=7,H462+50,"")))))))),""),"")</f>
        <v/>
      </c>
      <c r="N462" s="206" t="str">
        <f t="shared" si="121"/>
        <v/>
      </c>
      <c r="O462" s="206" t="str">
        <f t="shared" ref="O462:O525" si="127">IF(C462&lt;&gt;"",$O$12,"")</f>
        <v/>
      </c>
      <c r="P462" s="165" t="str">
        <f t="shared" ref="P462:P525" si="128">IFERROR(IF(C462&lt;&gt;"",SUMIFS($V$13:$V$969,$U$13:$U$969,C462)*$S$6,V462*$S$6),"")</f>
        <v/>
      </c>
      <c r="Q462" s="207"/>
      <c r="R462" s="141" t="str">
        <f>IF(S462="IN",'BOM_Phan II'!$Y$3,"")</f>
        <v/>
      </c>
      <c r="S462" s="153" t="str">
        <f t="shared" ref="S462:S525" si="129">IF(OR(E462&lt;&gt;"",D462&lt;&gt;""),"IN","")</f>
        <v/>
      </c>
      <c r="T462">
        <f t="shared" ref="T462:T525" si="130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462" s="208" t="str">
        <f t="shared" si="122"/>
        <v>KIỆN 9</v>
      </c>
      <c r="V462" s="208" t="str">
        <f t="shared" ref="V462:V525" si="131">IFERROR(IF(AND(C462="", OR($W462="1", $W462="2")), IF(I462="", "", F462*G462*H462*I462/10^9), ""), "")</f>
        <v/>
      </c>
      <c r="W462" s="240"/>
      <c r="X462" s="240"/>
      <c r="Y462" s="240" t="str">
        <f t="shared" ref="Y462:Y525" si="132">IFERROR(VALUE(RIGHT(C462,LEN(C462)-5)),"")</f>
        <v/>
      </c>
      <c r="Z462" s="240"/>
      <c r="AD462" s="232" t="str">
        <f t="shared" ref="AD462:AD525" si="133">IFERROR(VALUE(RIGHT(C462,LEN(C462)-5)),"")</f>
        <v/>
      </c>
      <c r="AE462" s="204"/>
      <c r="AX462" s="3" t="str">
        <f t="shared" si="123"/>
        <v/>
      </c>
    </row>
    <row r="463" spans="1:50" s="155" customFormat="1" ht="30" hidden="1" customHeight="1">
      <c r="A463" s="141" t="str">
        <f t="shared" si="118"/>
        <v/>
      </c>
      <c r="B463" s="141" t="str">
        <f t="shared" si="119"/>
        <v/>
      </c>
      <c r="C463" s="205" t="str" cm="1">
        <f t="array" ref="C463">IF(D463="","",
    IF(AND(ISNUMBER(D463), D463=INT(D463)),
        $V$6 &amp; " " &amp; (IFERROR(MAX($Y$12:$Y462), 0) + 1),
        IF(ISNUMBER(SEARCH(".", D463)), "", INDEX($C$12:$C463, MATCH(2, 1/($C$12:$C463 &lt;&gt; ""))))
    )
)</f>
        <v/>
      </c>
      <c r="D463" s="206"/>
      <c r="E463" s="206" t="str">
        <f>IF(AA463 = "", "",
    IF(ISNUMBER(SEARCH("Kiện", C463)),
       " GÓI " &amp; COUNTIF($C$13:C463, "*Kiện*") &amp; "/" &amp; COUNTIF($C$13:$C$1000, "*Kiện*") &amp; " " &amp; AA463,
       AA463)
)</f>
        <v/>
      </c>
      <c r="F463" s="206"/>
      <c r="G463" s="206"/>
      <c r="H463" s="206"/>
      <c r="I463" s="206"/>
      <c r="J463" s="206" t="str">
        <f t="shared" si="120"/>
        <v/>
      </c>
      <c r="K463" s="206" t="str">
        <f t="shared" si="124"/>
        <v/>
      </c>
      <c r="L463" s="206" t="str">
        <f t="shared" si="125"/>
        <v/>
      </c>
      <c r="M463" s="206" t="str">
        <f t="shared" si="126"/>
        <v/>
      </c>
      <c r="N463" s="206" t="str">
        <f t="shared" si="121"/>
        <v/>
      </c>
      <c r="O463" s="206" t="str">
        <f t="shared" si="127"/>
        <v/>
      </c>
      <c r="P463" s="165" t="str">
        <f t="shared" si="128"/>
        <v/>
      </c>
      <c r="Q463" s="207"/>
      <c r="R463" s="141" t="str">
        <f>IF(S463="IN",'BOM_Phan II'!$Y$3,"")</f>
        <v/>
      </c>
      <c r="S463" s="153" t="str">
        <f t="shared" si="129"/>
        <v/>
      </c>
      <c r="T463">
        <f t="shared" si="130"/>
        <v>6</v>
      </c>
      <c r="U463" s="208" t="str">
        <f t="shared" si="122"/>
        <v>KIỆN 9</v>
      </c>
      <c r="V463" s="208" t="str">
        <f t="shared" si="131"/>
        <v/>
      </c>
      <c r="W463" s="240"/>
      <c r="X463" s="240"/>
      <c r="Y463" s="240" t="str">
        <f t="shared" si="132"/>
        <v/>
      </c>
      <c r="Z463" s="240"/>
      <c r="AD463" s="232" t="str">
        <f t="shared" si="133"/>
        <v/>
      </c>
      <c r="AE463" s="204"/>
      <c r="AX463" s="3" t="str">
        <f t="shared" si="123"/>
        <v/>
      </c>
    </row>
    <row r="464" spans="1:50" s="155" customFormat="1" ht="30" hidden="1" customHeight="1">
      <c r="A464" s="141" t="str">
        <f t="shared" ref="A464:A527" si="134">IF(S464="IN",$E$6,"")</f>
        <v/>
      </c>
      <c r="B464" s="141" t="str">
        <f t="shared" ref="B464:B527" si="135">IF(S464="IN","Muc "&amp;$E$7,"")</f>
        <v/>
      </c>
      <c r="C464" s="205" t="str" cm="1">
        <f t="array" ref="C464">IF(D464="","",
    IF(AND(ISNUMBER(D464), D464=INT(D464)),
        $V$6 &amp; " " &amp; (IFERROR(MAX($Y$12:$Y463), 0) + 1),
        IF(ISNUMBER(SEARCH(".", D464)), "", INDEX($C$12:$C464, MATCH(2, 1/($C$12:$C464 &lt;&gt; ""))))
    )
)</f>
        <v/>
      </c>
      <c r="D464" s="206"/>
      <c r="E464" s="206" t="str">
        <f>IF(AA464 = "", "",
    IF(ISNUMBER(SEARCH("Kiện", C464)),
       " GÓI " &amp; COUNTIF($C$13:C464, "*Kiện*") &amp; "/" &amp; COUNTIF($C$13:$C$1000, "*Kiện*") &amp; " " &amp; AA464,
       AA464)
)</f>
        <v/>
      </c>
      <c r="F464" s="206"/>
      <c r="G464" s="206"/>
      <c r="H464" s="206"/>
      <c r="I464" s="206"/>
      <c r="J464" s="206" t="str">
        <f t="shared" ref="J464:J527" si="136">IF(C464&lt;&gt;"",C464&amp;"_"&amp;$E$6,"")</f>
        <v/>
      </c>
      <c r="K464" s="206" t="str">
        <f t="shared" si="124"/>
        <v/>
      </c>
      <c r="L464" s="206" t="str">
        <f t="shared" si="125"/>
        <v/>
      </c>
      <c r="M464" s="206" t="str">
        <f t="shared" si="126"/>
        <v/>
      </c>
      <c r="N464" s="206" t="str">
        <f t="shared" ref="N464:N527" si="137">IF(C464&lt;&gt;"",I464,"")</f>
        <v/>
      </c>
      <c r="O464" s="206" t="str">
        <f t="shared" si="127"/>
        <v/>
      </c>
      <c r="P464" s="165" t="str">
        <f t="shared" si="128"/>
        <v/>
      </c>
      <c r="Q464" s="207"/>
      <c r="R464" s="141" t="str">
        <f>IF(S464="IN",'BOM_Phan II'!$Y$3,"")</f>
        <v/>
      </c>
      <c r="S464" s="153" t="str">
        <f t="shared" si="129"/>
        <v/>
      </c>
      <c r="T464">
        <f t="shared" si="130"/>
        <v>6</v>
      </c>
      <c r="U464" s="208" t="str">
        <f t="shared" ref="U464:U527" si="138">IF(C464="",U463,C464)</f>
        <v>KIỆN 9</v>
      </c>
      <c r="V464" s="208" t="str">
        <f t="shared" si="131"/>
        <v/>
      </c>
      <c r="W464" s="240"/>
      <c r="X464" s="240"/>
      <c r="Y464" s="240" t="str">
        <f t="shared" si="132"/>
        <v/>
      </c>
      <c r="Z464" s="240"/>
      <c r="AD464" s="232" t="str">
        <f t="shared" si="133"/>
        <v/>
      </c>
      <c r="AE464" s="204"/>
      <c r="AX464" s="3" t="str">
        <f t="shared" si="123"/>
        <v/>
      </c>
    </row>
    <row r="465" spans="1:50" s="155" customFormat="1" ht="30" hidden="1" customHeight="1">
      <c r="A465" s="141" t="str">
        <f t="shared" si="134"/>
        <v/>
      </c>
      <c r="B465" s="141" t="str">
        <f t="shared" si="135"/>
        <v/>
      </c>
      <c r="C465" s="205" t="str" cm="1">
        <f t="array" ref="C465">IF(D465="","",
    IF(AND(ISNUMBER(D465), D465=INT(D465)),
        $V$6 &amp; " " &amp; (IFERROR(MAX($Y$12:$Y464), 0) + 1),
        IF(ISNUMBER(SEARCH(".", D465)), "", INDEX($C$12:$C465, MATCH(2, 1/($C$12:$C465 &lt;&gt; ""))))
    )
)</f>
        <v/>
      </c>
      <c r="D465" s="206"/>
      <c r="E465" s="206" t="str">
        <f>IF(AA465 = "", "",
    IF(ISNUMBER(SEARCH("Kiện", C465)),
       " GÓI " &amp; COUNTIF($C$13:C465, "*Kiện*") &amp; "/" &amp; COUNTIF($C$13:$C$1000, "*Kiện*") &amp; " " &amp; AA465,
       AA465)
)</f>
        <v/>
      </c>
      <c r="F465" s="206"/>
      <c r="G465" s="206"/>
      <c r="H465" s="206"/>
      <c r="I465" s="206"/>
      <c r="J465" s="206" t="str">
        <f t="shared" si="136"/>
        <v/>
      </c>
      <c r="K465" s="206" t="str">
        <f t="shared" si="124"/>
        <v/>
      </c>
      <c r="L465" s="206" t="str">
        <f t="shared" si="125"/>
        <v/>
      </c>
      <c r="M465" s="206" t="str">
        <f t="shared" si="126"/>
        <v/>
      </c>
      <c r="N465" s="206" t="str">
        <f t="shared" si="137"/>
        <v/>
      </c>
      <c r="O465" s="206" t="str">
        <f t="shared" si="127"/>
        <v/>
      </c>
      <c r="P465" s="165" t="str">
        <f t="shared" si="128"/>
        <v/>
      </c>
      <c r="Q465" s="207"/>
      <c r="R465" s="141" t="str">
        <f>IF(S465="IN",'BOM_Phan II'!$Y$3,"")</f>
        <v/>
      </c>
      <c r="S465" s="153" t="str">
        <f t="shared" si="129"/>
        <v/>
      </c>
      <c r="T465">
        <f t="shared" si="130"/>
        <v>6</v>
      </c>
      <c r="U465" s="208" t="str">
        <f t="shared" si="138"/>
        <v>KIỆN 9</v>
      </c>
      <c r="V465" s="208" t="str">
        <f t="shared" si="131"/>
        <v/>
      </c>
      <c r="W465" s="240"/>
      <c r="X465" s="240"/>
      <c r="Y465" s="240" t="str">
        <f t="shared" si="132"/>
        <v/>
      </c>
      <c r="Z465" s="240"/>
      <c r="AD465" s="232" t="str">
        <f t="shared" si="133"/>
        <v/>
      </c>
      <c r="AE465" s="204"/>
      <c r="AX465" s="3" t="str">
        <f t="shared" si="123"/>
        <v/>
      </c>
    </row>
    <row r="466" spans="1:50" s="155" customFormat="1" ht="30" hidden="1" customHeight="1">
      <c r="A466" s="141" t="str">
        <f t="shared" si="134"/>
        <v/>
      </c>
      <c r="B466" s="141" t="str">
        <f t="shared" si="135"/>
        <v/>
      </c>
      <c r="C466" s="205" t="str" cm="1">
        <f t="array" ref="C466">IF(D466="","",
    IF(AND(ISNUMBER(D466), D466=INT(D466)),
        $V$6 &amp; " " &amp; (IFERROR(MAX($Y$12:$Y465), 0) + 1),
        IF(ISNUMBER(SEARCH(".", D466)), "", INDEX($C$12:$C466, MATCH(2, 1/($C$12:$C466 &lt;&gt; ""))))
    )
)</f>
        <v/>
      </c>
      <c r="D466" s="206"/>
      <c r="E466" s="206" t="str">
        <f>IF(AA466 = "", "",
    IF(ISNUMBER(SEARCH("Kiện", C466)),
       " GÓI " &amp; COUNTIF($C$13:C466, "*Kiện*") &amp; "/" &amp; COUNTIF($C$13:$C$1000, "*Kiện*") &amp; " " &amp; AA466,
       AA466)
)</f>
        <v/>
      </c>
      <c r="F466" s="206"/>
      <c r="G466" s="206"/>
      <c r="H466" s="206"/>
      <c r="I466" s="206"/>
      <c r="J466" s="206" t="str">
        <f t="shared" si="136"/>
        <v/>
      </c>
      <c r="K466" s="206" t="str">
        <f t="shared" si="124"/>
        <v/>
      </c>
      <c r="L466" s="206" t="str">
        <f t="shared" si="125"/>
        <v/>
      </c>
      <c r="M466" s="206" t="str">
        <f t="shared" si="126"/>
        <v/>
      </c>
      <c r="N466" s="206" t="str">
        <f t="shared" si="137"/>
        <v/>
      </c>
      <c r="O466" s="206" t="str">
        <f t="shared" si="127"/>
        <v/>
      </c>
      <c r="P466" s="165" t="str">
        <f t="shared" si="128"/>
        <v/>
      </c>
      <c r="Q466" s="207"/>
      <c r="R466" s="141" t="str">
        <f>IF(S466="IN",'BOM_Phan II'!$Y$3,"")</f>
        <v/>
      </c>
      <c r="S466" s="153" t="str">
        <f t="shared" si="129"/>
        <v/>
      </c>
      <c r="T466">
        <f t="shared" si="130"/>
        <v>6</v>
      </c>
      <c r="U466" s="208" t="str">
        <f t="shared" si="138"/>
        <v>KIỆN 9</v>
      </c>
      <c r="V466" s="208" t="str">
        <f t="shared" si="131"/>
        <v/>
      </c>
      <c r="W466" s="240"/>
      <c r="X466" s="240"/>
      <c r="Y466" s="240" t="str">
        <f t="shared" si="132"/>
        <v/>
      </c>
      <c r="Z466" s="240"/>
      <c r="AD466" s="232" t="str">
        <f t="shared" si="133"/>
        <v/>
      </c>
      <c r="AE466" s="204"/>
      <c r="AX466" s="3" t="str">
        <f t="shared" si="123"/>
        <v/>
      </c>
    </row>
    <row r="467" spans="1:50" s="155" customFormat="1" ht="30" hidden="1" customHeight="1">
      <c r="A467" s="141" t="str">
        <f t="shared" si="134"/>
        <v/>
      </c>
      <c r="B467" s="141" t="str">
        <f t="shared" si="135"/>
        <v/>
      </c>
      <c r="C467" s="205" t="str" cm="1">
        <f t="array" ref="C467">IF(D467="","",
    IF(AND(ISNUMBER(D467), D467=INT(D467)),
        $V$6 &amp; " " &amp; (IFERROR(MAX($Y$12:$Y466), 0) + 1),
        IF(ISNUMBER(SEARCH(".", D467)), "", INDEX($C$12:$C467, MATCH(2, 1/($C$12:$C467 &lt;&gt; ""))))
    )
)</f>
        <v/>
      </c>
      <c r="D467" s="206"/>
      <c r="E467" s="206" t="str">
        <f>IF(AA467 = "", "",
    IF(ISNUMBER(SEARCH("Kiện", C467)),
       " GÓI " &amp; COUNTIF($C$13:C467, "*Kiện*") &amp; "/" &amp; COUNTIF($C$13:$C$1000, "*Kiện*") &amp; " " &amp; AA467,
       AA467)
)</f>
        <v/>
      </c>
      <c r="F467" s="206"/>
      <c r="G467" s="206"/>
      <c r="H467" s="206"/>
      <c r="I467" s="206"/>
      <c r="J467" s="206" t="str">
        <f t="shared" si="136"/>
        <v/>
      </c>
      <c r="K467" s="206" t="str">
        <f t="shared" si="124"/>
        <v/>
      </c>
      <c r="L467" s="206" t="str">
        <f t="shared" si="125"/>
        <v/>
      </c>
      <c r="M467" s="206" t="str">
        <f t="shared" si="126"/>
        <v/>
      </c>
      <c r="N467" s="206" t="str">
        <f t="shared" si="137"/>
        <v/>
      </c>
      <c r="O467" s="206" t="str">
        <f t="shared" si="127"/>
        <v/>
      </c>
      <c r="P467" s="165" t="str">
        <f t="shared" si="128"/>
        <v/>
      </c>
      <c r="Q467" s="207"/>
      <c r="R467" s="141" t="str">
        <f>IF(S467="IN",'BOM_Phan II'!$Y$3,"")</f>
        <v/>
      </c>
      <c r="S467" s="153" t="str">
        <f t="shared" si="129"/>
        <v/>
      </c>
      <c r="T467">
        <f t="shared" si="130"/>
        <v>6</v>
      </c>
      <c r="U467" s="208" t="str">
        <f t="shared" si="138"/>
        <v>KIỆN 9</v>
      </c>
      <c r="V467" s="208" t="str">
        <f t="shared" si="131"/>
        <v/>
      </c>
      <c r="W467" s="240"/>
      <c r="X467" s="240"/>
      <c r="Y467" s="240" t="str">
        <f t="shared" si="132"/>
        <v/>
      </c>
      <c r="Z467" s="240"/>
      <c r="AD467" s="232" t="str">
        <f t="shared" si="133"/>
        <v/>
      </c>
      <c r="AE467" s="204"/>
      <c r="AX467" s="3" t="str">
        <f t="shared" si="123"/>
        <v/>
      </c>
    </row>
    <row r="468" spans="1:50" s="155" customFormat="1" ht="30" hidden="1" customHeight="1">
      <c r="A468" s="141" t="str">
        <f t="shared" si="134"/>
        <v/>
      </c>
      <c r="B468" s="141" t="str">
        <f t="shared" si="135"/>
        <v/>
      </c>
      <c r="C468" s="205" t="str" cm="1">
        <f t="array" ref="C468">IF(D468="","",
    IF(AND(ISNUMBER(D468), D468=INT(D468)),
        $V$6 &amp; " " &amp; (IFERROR(MAX($Y$12:$Y467), 0) + 1),
        IF(ISNUMBER(SEARCH(".", D468)), "", INDEX($C$12:$C468, MATCH(2, 1/($C$12:$C468 &lt;&gt; ""))))
    )
)</f>
        <v/>
      </c>
      <c r="D468" s="206"/>
      <c r="E468" s="206" t="str">
        <f>IF(AA468 = "", "",
    IF(ISNUMBER(SEARCH("Kiện", C468)),
       " GÓI " &amp; COUNTIF($C$13:C468, "*Kiện*") &amp; "/" &amp; COUNTIF($C$13:$C$1000, "*Kiện*") &amp; " " &amp; AA468,
       AA468)
)</f>
        <v/>
      </c>
      <c r="F468" s="206"/>
      <c r="G468" s="206"/>
      <c r="H468" s="206"/>
      <c r="I468" s="206"/>
      <c r="J468" s="206" t="str">
        <f t="shared" si="136"/>
        <v/>
      </c>
      <c r="K468" s="206" t="str">
        <f t="shared" si="124"/>
        <v/>
      </c>
      <c r="L468" s="206" t="str">
        <f t="shared" si="125"/>
        <v/>
      </c>
      <c r="M468" s="206" t="str">
        <f t="shared" si="126"/>
        <v/>
      </c>
      <c r="N468" s="206" t="str">
        <f t="shared" si="137"/>
        <v/>
      </c>
      <c r="O468" s="206" t="str">
        <f t="shared" si="127"/>
        <v/>
      </c>
      <c r="P468" s="165" t="str">
        <f t="shared" si="128"/>
        <v/>
      </c>
      <c r="Q468" s="207"/>
      <c r="R468" s="141" t="str">
        <f>IF(S468="IN",'BOM_Phan II'!$Y$3,"")</f>
        <v/>
      </c>
      <c r="S468" s="153" t="str">
        <f t="shared" si="129"/>
        <v/>
      </c>
      <c r="T468">
        <f t="shared" si="130"/>
        <v>6</v>
      </c>
      <c r="U468" s="208" t="str">
        <f t="shared" si="138"/>
        <v>KIỆN 9</v>
      </c>
      <c r="V468" s="208" t="str">
        <f t="shared" si="131"/>
        <v/>
      </c>
      <c r="W468" s="240"/>
      <c r="X468" s="240"/>
      <c r="Y468" s="240" t="str">
        <f t="shared" si="132"/>
        <v/>
      </c>
      <c r="Z468" s="240"/>
      <c r="AD468" s="232" t="str">
        <f t="shared" si="133"/>
        <v/>
      </c>
      <c r="AE468" s="204"/>
      <c r="AX468" s="3" t="str">
        <f t="shared" si="123"/>
        <v/>
      </c>
    </row>
    <row r="469" spans="1:50" s="155" customFormat="1" ht="30" hidden="1" customHeight="1">
      <c r="A469" s="141" t="str">
        <f t="shared" si="134"/>
        <v/>
      </c>
      <c r="B469" s="141" t="str">
        <f t="shared" si="135"/>
        <v/>
      </c>
      <c r="C469" s="205" t="str" cm="1">
        <f t="array" ref="C469">IF(D469="","",
    IF(AND(ISNUMBER(D469), D469=INT(D469)),
        $V$6 &amp; " " &amp; (IFERROR(MAX($Y$12:$Y468), 0) + 1),
        IF(ISNUMBER(SEARCH(".", D469)), "", INDEX($C$12:$C469, MATCH(2, 1/($C$12:$C469 &lt;&gt; ""))))
    )
)</f>
        <v/>
      </c>
      <c r="D469" s="206"/>
      <c r="E469" s="206" t="str">
        <f>IF(AA469 = "", "",
    IF(ISNUMBER(SEARCH("Kiện", C469)),
       " GÓI " &amp; COUNTIF($C$13:C469, "*Kiện*") &amp; "/" &amp; COUNTIF($C$13:$C$1000, "*Kiện*") &amp; " " &amp; AA469,
       AA469)
)</f>
        <v/>
      </c>
      <c r="F469" s="206"/>
      <c r="G469" s="206"/>
      <c r="H469" s="206"/>
      <c r="I469" s="206"/>
      <c r="J469" s="206" t="str">
        <f t="shared" si="136"/>
        <v/>
      </c>
      <c r="K469" s="206" t="str">
        <f t="shared" si="124"/>
        <v/>
      </c>
      <c r="L469" s="206" t="str">
        <f t="shared" si="125"/>
        <v/>
      </c>
      <c r="M469" s="206" t="str">
        <f t="shared" si="126"/>
        <v/>
      </c>
      <c r="N469" s="206" t="str">
        <f t="shared" si="137"/>
        <v/>
      </c>
      <c r="O469" s="206" t="str">
        <f t="shared" si="127"/>
        <v/>
      </c>
      <c r="P469" s="165" t="str">
        <f t="shared" si="128"/>
        <v/>
      </c>
      <c r="Q469" s="207"/>
      <c r="R469" s="141" t="str">
        <f>IF(S469="IN",'BOM_Phan II'!$Y$3,"")</f>
        <v/>
      </c>
      <c r="S469" s="153" t="str">
        <f t="shared" si="129"/>
        <v/>
      </c>
      <c r="T469">
        <f t="shared" si="130"/>
        <v>6</v>
      </c>
      <c r="U469" s="208" t="str">
        <f t="shared" si="138"/>
        <v>KIỆN 9</v>
      </c>
      <c r="V469" s="208" t="str">
        <f t="shared" si="131"/>
        <v/>
      </c>
      <c r="W469" s="240"/>
      <c r="X469" s="240"/>
      <c r="Y469" s="240" t="str">
        <f t="shared" si="132"/>
        <v/>
      </c>
      <c r="Z469" s="240"/>
      <c r="AD469" s="232" t="str">
        <f t="shared" si="133"/>
        <v/>
      </c>
      <c r="AE469" s="204"/>
      <c r="AX469" s="3" t="str">
        <f t="shared" si="123"/>
        <v/>
      </c>
    </row>
    <row r="470" spans="1:50" s="155" customFormat="1" ht="30" hidden="1" customHeight="1">
      <c r="A470" s="141" t="str">
        <f t="shared" si="134"/>
        <v/>
      </c>
      <c r="B470" s="141" t="str">
        <f t="shared" si="135"/>
        <v/>
      </c>
      <c r="C470" s="205" t="str" cm="1">
        <f t="array" ref="C470">IF(D470="","",
    IF(AND(ISNUMBER(D470), D470=INT(D470)),
        $V$6 &amp; " " &amp; (IFERROR(MAX($Y$12:$Y469), 0) + 1),
        IF(ISNUMBER(SEARCH(".", D470)), "", INDEX($C$12:$C470, MATCH(2, 1/($C$12:$C470 &lt;&gt; ""))))
    )
)</f>
        <v/>
      </c>
      <c r="D470" s="206"/>
      <c r="E470" s="206" t="str">
        <f>IF(AA470 = "", "",
    IF(ISNUMBER(SEARCH("Kiện", C470)),
       " GÓI " &amp; COUNTIF($C$13:C470, "*Kiện*") &amp; "/" &amp; COUNTIF($C$13:$C$1000, "*Kiện*") &amp; " " &amp; AA470,
       AA470)
)</f>
        <v/>
      </c>
      <c r="F470" s="206"/>
      <c r="G470" s="206"/>
      <c r="H470" s="206"/>
      <c r="I470" s="206"/>
      <c r="J470" s="206" t="str">
        <f t="shared" si="136"/>
        <v/>
      </c>
      <c r="K470" s="206" t="str">
        <f t="shared" si="124"/>
        <v/>
      </c>
      <c r="L470" s="206" t="str">
        <f t="shared" si="125"/>
        <v/>
      </c>
      <c r="M470" s="206" t="str">
        <f t="shared" si="126"/>
        <v/>
      </c>
      <c r="N470" s="206" t="str">
        <f t="shared" si="137"/>
        <v/>
      </c>
      <c r="O470" s="206" t="str">
        <f t="shared" si="127"/>
        <v/>
      </c>
      <c r="P470" s="165" t="str">
        <f t="shared" si="128"/>
        <v/>
      </c>
      <c r="Q470" s="207"/>
      <c r="R470" s="141" t="str">
        <f>IF(S470="IN",'BOM_Phan II'!$Y$3,"")</f>
        <v/>
      </c>
      <c r="S470" s="153" t="str">
        <f t="shared" si="129"/>
        <v/>
      </c>
      <c r="T470">
        <f t="shared" si="130"/>
        <v>6</v>
      </c>
      <c r="U470" s="208" t="str">
        <f t="shared" si="138"/>
        <v>KIỆN 9</v>
      </c>
      <c r="V470" s="208" t="str">
        <f t="shared" si="131"/>
        <v/>
      </c>
      <c r="W470" s="240"/>
      <c r="X470" s="240"/>
      <c r="Y470" s="240" t="str">
        <f t="shared" si="132"/>
        <v/>
      </c>
      <c r="Z470" s="240"/>
      <c r="AD470" s="232" t="str">
        <f t="shared" si="133"/>
        <v/>
      </c>
      <c r="AE470" s="204"/>
      <c r="AX470" s="3" t="str">
        <f t="shared" si="123"/>
        <v/>
      </c>
    </row>
    <row r="471" spans="1:50" s="155" customFormat="1" ht="30" hidden="1" customHeight="1">
      <c r="A471" s="141" t="str">
        <f t="shared" si="134"/>
        <v/>
      </c>
      <c r="B471" s="141" t="str">
        <f t="shared" si="135"/>
        <v/>
      </c>
      <c r="C471" s="205" t="str" cm="1">
        <f t="array" ref="C471">IF(D471="","",
    IF(AND(ISNUMBER(D471), D471=INT(D471)),
        $V$6 &amp; " " &amp; (IFERROR(MAX($Y$12:$Y470), 0) + 1),
        IF(ISNUMBER(SEARCH(".", D471)), "", INDEX($C$12:$C471, MATCH(2, 1/($C$12:$C471 &lt;&gt; ""))))
    )
)</f>
        <v/>
      </c>
      <c r="D471" s="206"/>
      <c r="E471" s="206" t="str">
        <f>IF(AA471 = "", "",
    IF(ISNUMBER(SEARCH("Kiện", C471)),
       " GÓI " &amp; COUNTIF($C$13:C471, "*Kiện*") &amp; "/" &amp; COUNTIF($C$13:$C$1000, "*Kiện*") &amp; " " &amp; AA471,
       AA471)
)</f>
        <v/>
      </c>
      <c r="F471" s="206"/>
      <c r="G471" s="206"/>
      <c r="H471" s="206"/>
      <c r="I471" s="206"/>
      <c r="J471" s="206" t="str">
        <f t="shared" si="136"/>
        <v/>
      </c>
      <c r="K471" s="206" t="str">
        <f t="shared" si="124"/>
        <v/>
      </c>
      <c r="L471" s="206" t="str">
        <f t="shared" si="125"/>
        <v/>
      </c>
      <c r="M471" s="206" t="str">
        <f t="shared" si="126"/>
        <v/>
      </c>
      <c r="N471" s="206" t="str">
        <f t="shared" si="137"/>
        <v/>
      </c>
      <c r="O471" s="206" t="str">
        <f t="shared" si="127"/>
        <v/>
      </c>
      <c r="P471" s="165" t="str">
        <f t="shared" si="128"/>
        <v/>
      </c>
      <c r="Q471" s="207"/>
      <c r="R471" s="141" t="str">
        <f>IF(S471="IN",'BOM_Phan II'!$Y$3,"")</f>
        <v/>
      </c>
      <c r="S471" s="153" t="str">
        <f t="shared" si="129"/>
        <v/>
      </c>
      <c r="T471">
        <f t="shared" si="130"/>
        <v>6</v>
      </c>
      <c r="U471" s="208" t="str">
        <f t="shared" si="138"/>
        <v>KIỆN 9</v>
      </c>
      <c r="V471" s="208" t="str">
        <f t="shared" si="131"/>
        <v/>
      </c>
      <c r="W471" s="240"/>
      <c r="X471" s="240"/>
      <c r="Y471" s="240" t="str">
        <f t="shared" si="132"/>
        <v/>
      </c>
      <c r="Z471" s="240"/>
      <c r="AD471" s="232" t="str">
        <f t="shared" si="133"/>
        <v/>
      </c>
      <c r="AE471" s="204"/>
      <c r="AX471" s="3" t="str">
        <f t="shared" si="123"/>
        <v/>
      </c>
    </row>
    <row r="472" spans="1:50" s="155" customFormat="1" ht="30" hidden="1" customHeight="1">
      <c r="A472" s="141" t="str">
        <f t="shared" si="134"/>
        <v/>
      </c>
      <c r="B472" s="141" t="str">
        <f t="shared" si="135"/>
        <v/>
      </c>
      <c r="C472" s="205" t="str" cm="1">
        <f t="array" ref="C472">IF(D472="","",
    IF(AND(ISNUMBER(D472), D472=INT(D472)),
        $V$6 &amp; " " &amp; (IFERROR(MAX($Y$12:$Y471), 0) + 1),
        IF(ISNUMBER(SEARCH(".", D472)), "", INDEX($C$12:$C472, MATCH(2, 1/($C$12:$C472 &lt;&gt; ""))))
    )
)</f>
        <v/>
      </c>
      <c r="D472" s="206"/>
      <c r="E472" s="206" t="str">
        <f>IF(AA472 = "", "",
    IF(ISNUMBER(SEARCH("Kiện", C472)),
       " GÓI " &amp; COUNTIF($C$13:C472, "*Kiện*") &amp; "/" &amp; COUNTIF($C$13:$C$1000, "*Kiện*") &amp; " " &amp; AA472,
       AA472)
)</f>
        <v/>
      </c>
      <c r="F472" s="206"/>
      <c r="G472" s="206"/>
      <c r="H472" s="206"/>
      <c r="I472" s="206"/>
      <c r="J472" s="206" t="str">
        <f t="shared" si="136"/>
        <v/>
      </c>
      <c r="K472" s="206" t="str">
        <f t="shared" si="124"/>
        <v/>
      </c>
      <c r="L472" s="206" t="str">
        <f t="shared" si="125"/>
        <v/>
      </c>
      <c r="M472" s="206" t="str">
        <f t="shared" si="126"/>
        <v/>
      </c>
      <c r="N472" s="206" t="str">
        <f t="shared" si="137"/>
        <v/>
      </c>
      <c r="O472" s="206" t="str">
        <f t="shared" si="127"/>
        <v/>
      </c>
      <c r="P472" s="165" t="str">
        <f t="shared" si="128"/>
        <v/>
      </c>
      <c r="Q472" s="207"/>
      <c r="R472" s="141" t="str">
        <f>IF(S472="IN",'BOM_Phan II'!$Y$3,"")</f>
        <v/>
      </c>
      <c r="S472" s="153" t="str">
        <f t="shared" si="129"/>
        <v/>
      </c>
      <c r="T472">
        <f t="shared" si="130"/>
        <v>6</v>
      </c>
      <c r="U472" s="208" t="str">
        <f t="shared" si="138"/>
        <v>KIỆN 9</v>
      </c>
      <c r="V472" s="208" t="str">
        <f t="shared" si="131"/>
        <v/>
      </c>
      <c r="W472" s="240"/>
      <c r="X472" s="240"/>
      <c r="Y472" s="240" t="str">
        <f t="shared" si="132"/>
        <v/>
      </c>
      <c r="Z472" s="240"/>
      <c r="AD472" s="232" t="str">
        <f t="shared" si="133"/>
        <v/>
      </c>
      <c r="AE472" s="204"/>
      <c r="AX472" s="3" t="str">
        <f t="shared" si="123"/>
        <v/>
      </c>
    </row>
    <row r="473" spans="1:50" s="155" customFormat="1" ht="30" hidden="1" customHeight="1">
      <c r="A473" s="141" t="str">
        <f t="shared" si="134"/>
        <v/>
      </c>
      <c r="B473" s="141" t="str">
        <f t="shared" si="135"/>
        <v/>
      </c>
      <c r="C473" s="205" t="str" cm="1">
        <f t="array" ref="C473">IF(D473="","",
    IF(AND(ISNUMBER(D473), D473=INT(D473)),
        $V$6 &amp; " " &amp; (IFERROR(MAX($Y$12:$Y472), 0) + 1),
        IF(ISNUMBER(SEARCH(".", D473)), "", INDEX($C$12:$C473, MATCH(2, 1/($C$12:$C473 &lt;&gt; ""))))
    )
)</f>
        <v/>
      </c>
      <c r="D473" s="206"/>
      <c r="E473" s="206" t="str">
        <f>IF(AA473 = "", "",
    IF(ISNUMBER(SEARCH("Kiện", C473)),
       " GÓI " &amp; COUNTIF($C$13:C473, "*Kiện*") &amp; "/" &amp; COUNTIF($C$13:$C$1000, "*Kiện*") &amp; " " &amp; AA473,
       AA473)
)</f>
        <v/>
      </c>
      <c r="F473" s="206"/>
      <c r="G473" s="206"/>
      <c r="H473" s="206"/>
      <c r="I473" s="206"/>
      <c r="J473" s="206" t="str">
        <f t="shared" si="136"/>
        <v/>
      </c>
      <c r="K473" s="206" t="str">
        <f t="shared" si="124"/>
        <v/>
      </c>
      <c r="L473" s="206" t="str">
        <f t="shared" si="125"/>
        <v/>
      </c>
      <c r="M473" s="206" t="str">
        <f t="shared" si="126"/>
        <v/>
      </c>
      <c r="N473" s="206" t="str">
        <f t="shared" si="137"/>
        <v/>
      </c>
      <c r="O473" s="206" t="str">
        <f t="shared" si="127"/>
        <v/>
      </c>
      <c r="P473" s="165" t="str">
        <f t="shared" si="128"/>
        <v/>
      </c>
      <c r="Q473" s="207"/>
      <c r="R473" s="141" t="str">
        <f>IF(S473="IN",'BOM_Phan II'!$Y$3,"")</f>
        <v/>
      </c>
      <c r="S473" s="153" t="str">
        <f t="shared" si="129"/>
        <v/>
      </c>
      <c r="T473">
        <f t="shared" si="130"/>
        <v>6</v>
      </c>
      <c r="U473" s="208" t="str">
        <f t="shared" si="138"/>
        <v>KIỆN 9</v>
      </c>
      <c r="V473" s="208" t="str">
        <f t="shared" si="131"/>
        <v/>
      </c>
      <c r="W473" s="240"/>
      <c r="X473" s="240"/>
      <c r="Y473" s="240" t="str">
        <f t="shared" si="132"/>
        <v/>
      </c>
      <c r="Z473" s="240"/>
      <c r="AD473" s="232" t="str">
        <f t="shared" si="133"/>
        <v/>
      </c>
      <c r="AE473" s="204"/>
      <c r="AX473" s="3" t="str">
        <f t="shared" si="123"/>
        <v/>
      </c>
    </row>
    <row r="474" spans="1:50" s="155" customFormat="1" ht="30" hidden="1" customHeight="1">
      <c r="A474" s="141" t="str">
        <f t="shared" si="134"/>
        <v/>
      </c>
      <c r="B474" s="141" t="str">
        <f t="shared" si="135"/>
        <v/>
      </c>
      <c r="C474" s="205" t="str" cm="1">
        <f t="array" ref="C474">IF(D474="","",
    IF(AND(ISNUMBER(D474), D474=INT(D474)),
        $V$6 &amp; " " &amp; (IFERROR(MAX($Y$12:$Y473), 0) + 1),
        IF(ISNUMBER(SEARCH(".", D474)), "", INDEX($C$12:$C474, MATCH(2, 1/($C$12:$C474 &lt;&gt; ""))))
    )
)</f>
        <v/>
      </c>
      <c r="D474" s="206"/>
      <c r="E474" s="206" t="str">
        <f>IF(AA474 = "", "",
    IF(ISNUMBER(SEARCH("Kiện", C474)),
       " GÓI " &amp; COUNTIF($C$13:C474, "*Kiện*") &amp; "/" &amp; COUNTIF($C$13:$C$1000, "*Kiện*") &amp; " " &amp; AA474,
       AA474)
)</f>
        <v/>
      </c>
      <c r="F474" s="206"/>
      <c r="G474" s="206"/>
      <c r="H474" s="206"/>
      <c r="I474" s="206"/>
      <c r="J474" s="206" t="str">
        <f t="shared" si="136"/>
        <v/>
      </c>
      <c r="K474" s="206" t="str">
        <f t="shared" si="124"/>
        <v/>
      </c>
      <c r="L474" s="206" t="str">
        <f t="shared" si="125"/>
        <v/>
      </c>
      <c r="M474" s="206" t="str">
        <f t="shared" si="126"/>
        <v/>
      </c>
      <c r="N474" s="206" t="str">
        <f t="shared" si="137"/>
        <v/>
      </c>
      <c r="O474" s="206" t="str">
        <f t="shared" si="127"/>
        <v/>
      </c>
      <c r="P474" s="165" t="str">
        <f t="shared" si="128"/>
        <v/>
      </c>
      <c r="Q474" s="207"/>
      <c r="R474" s="141" t="str">
        <f>IF(S474="IN",'BOM_Phan II'!$Y$3,"")</f>
        <v/>
      </c>
      <c r="S474" s="153" t="str">
        <f t="shared" si="129"/>
        <v/>
      </c>
      <c r="T474">
        <f t="shared" si="130"/>
        <v>6</v>
      </c>
      <c r="U474" s="208" t="str">
        <f t="shared" si="138"/>
        <v>KIỆN 9</v>
      </c>
      <c r="V474" s="208" t="str">
        <f t="shared" si="131"/>
        <v/>
      </c>
      <c r="W474" s="240"/>
      <c r="X474" s="240"/>
      <c r="Y474" s="240" t="str">
        <f t="shared" si="132"/>
        <v/>
      </c>
      <c r="Z474" s="240"/>
      <c r="AD474" s="232" t="str">
        <f t="shared" si="133"/>
        <v/>
      </c>
      <c r="AE474" s="204"/>
      <c r="AX474" s="3" t="str">
        <f t="shared" si="123"/>
        <v/>
      </c>
    </row>
    <row r="475" spans="1:50" s="155" customFormat="1" ht="30" hidden="1" customHeight="1">
      <c r="A475" s="141" t="str">
        <f t="shared" si="134"/>
        <v/>
      </c>
      <c r="B475" s="141" t="str">
        <f t="shared" si="135"/>
        <v/>
      </c>
      <c r="C475" s="205" t="str" cm="1">
        <f t="array" ref="C475">IF(D475="","",
    IF(AND(ISNUMBER(D475), D475=INT(D475)),
        $V$6 &amp; " " &amp; (IFERROR(MAX($Y$12:$Y474), 0) + 1),
        IF(ISNUMBER(SEARCH(".", D475)), "", INDEX($C$12:$C475, MATCH(2, 1/($C$12:$C475 &lt;&gt; ""))))
    )
)</f>
        <v/>
      </c>
      <c r="D475" s="206"/>
      <c r="E475" s="206" t="str">
        <f>IF(AA475 = "", "",
    IF(ISNUMBER(SEARCH("Kiện", C475)),
       " GÓI " &amp; COUNTIF($C$13:C475, "*Kiện*") &amp; "/" &amp; COUNTIF($C$13:$C$1000, "*Kiện*") &amp; " " &amp; AA475,
       AA475)
)</f>
        <v/>
      </c>
      <c r="F475" s="206"/>
      <c r="G475" s="206"/>
      <c r="H475" s="206"/>
      <c r="I475" s="206"/>
      <c r="J475" s="206" t="str">
        <f t="shared" si="136"/>
        <v/>
      </c>
      <c r="K475" s="206" t="str">
        <f t="shared" si="124"/>
        <v/>
      </c>
      <c r="L475" s="206" t="str">
        <f t="shared" si="125"/>
        <v/>
      </c>
      <c r="M475" s="206" t="str">
        <f t="shared" si="126"/>
        <v/>
      </c>
      <c r="N475" s="206" t="str">
        <f t="shared" si="137"/>
        <v/>
      </c>
      <c r="O475" s="206" t="str">
        <f t="shared" si="127"/>
        <v/>
      </c>
      <c r="P475" s="165" t="str">
        <f t="shared" si="128"/>
        <v/>
      </c>
      <c r="Q475" s="207"/>
      <c r="R475" s="141" t="str">
        <f>IF(S475="IN",'BOM_Phan II'!$Y$3,"")</f>
        <v/>
      </c>
      <c r="S475" s="153" t="str">
        <f t="shared" si="129"/>
        <v/>
      </c>
      <c r="T475">
        <f t="shared" si="130"/>
        <v>6</v>
      </c>
      <c r="U475" s="208" t="str">
        <f t="shared" si="138"/>
        <v>KIỆN 9</v>
      </c>
      <c r="V475" s="208" t="str">
        <f t="shared" si="131"/>
        <v/>
      </c>
      <c r="W475" s="240"/>
      <c r="X475" s="240"/>
      <c r="Y475" s="240" t="str">
        <f t="shared" si="132"/>
        <v/>
      </c>
      <c r="Z475" s="240"/>
      <c r="AD475" s="232" t="str">
        <f t="shared" si="133"/>
        <v/>
      </c>
      <c r="AE475" s="204"/>
      <c r="AX475" s="3" t="str">
        <f t="shared" si="123"/>
        <v/>
      </c>
    </row>
    <row r="476" spans="1:50" s="155" customFormat="1" ht="30" hidden="1" customHeight="1">
      <c r="A476" s="141" t="str">
        <f t="shared" si="134"/>
        <v/>
      </c>
      <c r="B476" s="141" t="str">
        <f t="shared" si="135"/>
        <v/>
      </c>
      <c r="C476" s="205" t="str" cm="1">
        <f t="array" ref="C476">IF(D476="","",
    IF(AND(ISNUMBER(D476), D476=INT(D476)),
        $V$6 &amp; " " &amp; (IFERROR(MAX($Y$12:$Y475), 0) + 1),
        IF(ISNUMBER(SEARCH(".", D476)), "", INDEX($C$12:$C476, MATCH(2, 1/($C$12:$C476 &lt;&gt; ""))))
    )
)</f>
        <v/>
      </c>
      <c r="D476" s="206"/>
      <c r="E476" s="206" t="str">
        <f>IF(AA476 = "", "",
    IF(ISNUMBER(SEARCH("Kiện", C476)),
       " GÓI " &amp; COUNTIF($C$13:C476, "*Kiện*") &amp; "/" &amp; COUNTIF($C$13:$C$1000, "*Kiện*") &amp; " " &amp; AA476,
       AA476)
)</f>
        <v/>
      </c>
      <c r="F476" s="206"/>
      <c r="G476" s="206"/>
      <c r="H476" s="206"/>
      <c r="I476" s="206"/>
      <c r="J476" s="206" t="str">
        <f t="shared" si="136"/>
        <v/>
      </c>
      <c r="K476" s="206" t="str">
        <f t="shared" si="124"/>
        <v/>
      </c>
      <c r="L476" s="206" t="str">
        <f t="shared" si="125"/>
        <v/>
      </c>
      <c r="M476" s="206" t="str">
        <f t="shared" si="126"/>
        <v/>
      </c>
      <c r="N476" s="206" t="str">
        <f t="shared" si="137"/>
        <v/>
      </c>
      <c r="O476" s="206" t="str">
        <f t="shared" si="127"/>
        <v/>
      </c>
      <c r="P476" s="165" t="str">
        <f t="shared" si="128"/>
        <v/>
      </c>
      <c r="Q476" s="207"/>
      <c r="R476" s="141" t="str">
        <f>IF(S476="IN",'BOM_Phan II'!$Y$3,"")</f>
        <v/>
      </c>
      <c r="S476" s="153" t="str">
        <f t="shared" si="129"/>
        <v/>
      </c>
      <c r="T476">
        <f t="shared" si="130"/>
        <v>6</v>
      </c>
      <c r="U476" s="208" t="str">
        <f t="shared" si="138"/>
        <v>KIỆN 9</v>
      </c>
      <c r="V476" s="208" t="str">
        <f t="shared" si="131"/>
        <v/>
      </c>
      <c r="W476" s="240"/>
      <c r="X476" s="240"/>
      <c r="Y476" s="240" t="str">
        <f t="shared" si="132"/>
        <v/>
      </c>
      <c r="Z476" s="240"/>
      <c r="AD476" s="232" t="str">
        <f t="shared" si="133"/>
        <v/>
      </c>
      <c r="AE476" s="204"/>
      <c r="AX476" s="3" t="str">
        <f t="shared" si="123"/>
        <v/>
      </c>
    </row>
    <row r="477" spans="1:50" s="155" customFormat="1" ht="30" hidden="1" customHeight="1">
      <c r="A477" s="141" t="str">
        <f t="shared" si="134"/>
        <v/>
      </c>
      <c r="B477" s="141" t="str">
        <f t="shared" si="135"/>
        <v/>
      </c>
      <c r="C477" s="205" t="str" cm="1">
        <f t="array" ref="C477">IF(D477="","",
    IF(AND(ISNUMBER(D477), D477=INT(D477)),
        $V$6 &amp; " " &amp; (IFERROR(MAX($Y$12:$Y476), 0) + 1),
        IF(ISNUMBER(SEARCH(".", D477)), "", INDEX($C$12:$C477, MATCH(2, 1/($C$12:$C477 &lt;&gt; ""))))
    )
)</f>
        <v/>
      </c>
      <c r="D477" s="206"/>
      <c r="E477" s="206" t="str">
        <f>IF(AA477 = "", "",
    IF(ISNUMBER(SEARCH("Kiện", C477)),
       " GÓI " &amp; COUNTIF($C$13:C477, "*Kiện*") &amp; "/" &amp; COUNTIF($C$13:$C$1000, "*Kiện*") &amp; " " &amp; AA477,
       AA477)
)</f>
        <v/>
      </c>
      <c r="F477" s="206"/>
      <c r="G477" s="206"/>
      <c r="H477" s="206"/>
      <c r="I477" s="206"/>
      <c r="J477" s="206" t="str">
        <f t="shared" si="136"/>
        <v/>
      </c>
      <c r="K477" s="206" t="str">
        <f t="shared" si="124"/>
        <v/>
      </c>
      <c r="L477" s="206" t="str">
        <f t="shared" si="125"/>
        <v/>
      </c>
      <c r="M477" s="206" t="str">
        <f t="shared" si="126"/>
        <v/>
      </c>
      <c r="N477" s="206" t="str">
        <f t="shared" si="137"/>
        <v/>
      </c>
      <c r="O477" s="206" t="str">
        <f t="shared" si="127"/>
        <v/>
      </c>
      <c r="P477" s="165" t="str">
        <f t="shared" si="128"/>
        <v/>
      </c>
      <c r="Q477" s="207"/>
      <c r="R477" s="141" t="str">
        <f>IF(S477="IN",'BOM_Phan II'!$Y$3,"")</f>
        <v/>
      </c>
      <c r="S477" s="153" t="str">
        <f t="shared" si="129"/>
        <v/>
      </c>
      <c r="T477">
        <f t="shared" si="130"/>
        <v>6</v>
      </c>
      <c r="U477" s="208" t="str">
        <f t="shared" si="138"/>
        <v>KIỆN 9</v>
      </c>
      <c r="V477" s="208" t="str">
        <f t="shared" si="131"/>
        <v/>
      </c>
      <c r="W477" s="240"/>
      <c r="X477" s="240"/>
      <c r="Y477" s="240" t="str">
        <f t="shared" si="132"/>
        <v/>
      </c>
      <c r="Z477" s="240"/>
      <c r="AD477" s="232" t="str">
        <f t="shared" si="133"/>
        <v/>
      </c>
      <c r="AE477" s="204"/>
      <c r="AX477" s="3" t="str">
        <f t="shared" si="123"/>
        <v/>
      </c>
    </row>
    <row r="478" spans="1:50" s="155" customFormat="1" ht="30" hidden="1" customHeight="1">
      <c r="A478" s="141" t="str">
        <f t="shared" si="134"/>
        <v/>
      </c>
      <c r="B478" s="141" t="str">
        <f t="shared" si="135"/>
        <v/>
      </c>
      <c r="C478" s="205" t="str" cm="1">
        <f t="array" ref="C478">IF(D478="","",
    IF(AND(ISNUMBER(D478), D478=INT(D478)),
        $V$6 &amp; " " &amp; (IFERROR(MAX($Y$12:$Y477), 0) + 1),
        IF(ISNUMBER(SEARCH(".", D478)), "", INDEX($C$12:$C478, MATCH(2, 1/($C$12:$C478 &lt;&gt; ""))))
    )
)</f>
        <v/>
      </c>
      <c r="D478" s="206"/>
      <c r="E478" s="206" t="str">
        <f>IF(AA478 = "", "",
    IF(ISNUMBER(SEARCH("Kiện", C478)),
       " GÓI " &amp; COUNTIF($C$13:C478, "*Kiện*") &amp; "/" &amp; COUNTIF($C$13:$C$1000, "*Kiện*") &amp; " " &amp; AA478,
       AA478)
)</f>
        <v/>
      </c>
      <c r="F478" s="206"/>
      <c r="G478" s="206"/>
      <c r="H478" s="206"/>
      <c r="I478" s="206"/>
      <c r="J478" s="206" t="str">
        <f t="shared" si="136"/>
        <v/>
      </c>
      <c r="K478" s="206" t="str">
        <f t="shared" si="124"/>
        <v/>
      </c>
      <c r="L478" s="206" t="str">
        <f t="shared" si="125"/>
        <v/>
      </c>
      <c r="M478" s="206" t="str">
        <f t="shared" si="126"/>
        <v/>
      </c>
      <c r="N478" s="206" t="str">
        <f t="shared" si="137"/>
        <v/>
      </c>
      <c r="O478" s="206" t="str">
        <f t="shared" si="127"/>
        <v/>
      </c>
      <c r="P478" s="165" t="str">
        <f t="shared" si="128"/>
        <v/>
      </c>
      <c r="Q478" s="207"/>
      <c r="R478" s="141" t="str">
        <f>IF(S478="IN",'BOM_Phan II'!$Y$3,"")</f>
        <v/>
      </c>
      <c r="S478" s="153" t="str">
        <f t="shared" si="129"/>
        <v/>
      </c>
      <c r="T478">
        <f t="shared" si="130"/>
        <v>6</v>
      </c>
      <c r="U478" s="208" t="str">
        <f t="shared" si="138"/>
        <v>KIỆN 9</v>
      </c>
      <c r="V478" s="208" t="str">
        <f t="shared" si="131"/>
        <v/>
      </c>
      <c r="W478" s="240"/>
      <c r="X478" s="240"/>
      <c r="Y478" s="240" t="str">
        <f t="shared" si="132"/>
        <v/>
      </c>
      <c r="Z478" s="240"/>
      <c r="AD478" s="232" t="str">
        <f t="shared" si="133"/>
        <v/>
      </c>
      <c r="AE478" s="204"/>
      <c r="AX478" s="3" t="str">
        <f t="shared" si="123"/>
        <v/>
      </c>
    </row>
    <row r="479" spans="1:50" s="155" customFormat="1" ht="30" hidden="1" customHeight="1">
      <c r="A479" s="141" t="str">
        <f t="shared" si="134"/>
        <v/>
      </c>
      <c r="B479" s="141" t="str">
        <f t="shared" si="135"/>
        <v/>
      </c>
      <c r="C479" s="205" t="str" cm="1">
        <f t="array" ref="C479">IF(D479="","",
    IF(AND(ISNUMBER(D479), D479=INT(D479)),
        $V$6 &amp; " " &amp; (IFERROR(MAX($Y$12:$Y478), 0) + 1),
        IF(ISNUMBER(SEARCH(".", D479)), "", INDEX($C$12:$C479, MATCH(2, 1/($C$12:$C479 &lt;&gt; ""))))
    )
)</f>
        <v/>
      </c>
      <c r="D479" s="206"/>
      <c r="E479" s="206" t="str">
        <f>IF(AA479 = "", "",
    IF(ISNUMBER(SEARCH("Kiện", C479)),
       " GÓI " &amp; COUNTIF($C$13:C479, "*Kiện*") &amp; "/" &amp; COUNTIF($C$13:$C$1000, "*Kiện*") &amp; " " &amp; AA479,
       AA479)
)</f>
        <v/>
      </c>
      <c r="F479" s="206"/>
      <c r="G479" s="206"/>
      <c r="H479" s="206"/>
      <c r="I479" s="206"/>
      <c r="J479" s="206" t="str">
        <f t="shared" si="136"/>
        <v/>
      </c>
      <c r="K479" s="206" t="str">
        <f t="shared" si="124"/>
        <v/>
      </c>
      <c r="L479" s="206" t="str">
        <f t="shared" si="125"/>
        <v/>
      </c>
      <c r="M479" s="206" t="str">
        <f t="shared" si="126"/>
        <v/>
      </c>
      <c r="N479" s="206" t="str">
        <f t="shared" si="137"/>
        <v/>
      </c>
      <c r="O479" s="206" t="str">
        <f t="shared" si="127"/>
        <v/>
      </c>
      <c r="P479" s="165" t="str">
        <f t="shared" si="128"/>
        <v/>
      </c>
      <c r="Q479" s="207"/>
      <c r="R479" s="141" t="str">
        <f>IF(S479="IN",'BOM_Phan II'!$Y$3,"")</f>
        <v/>
      </c>
      <c r="S479" s="153" t="str">
        <f t="shared" si="129"/>
        <v/>
      </c>
      <c r="T479">
        <f t="shared" si="130"/>
        <v>6</v>
      </c>
      <c r="U479" s="208" t="str">
        <f t="shared" si="138"/>
        <v>KIỆN 9</v>
      </c>
      <c r="V479" s="208" t="str">
        <f t="shared" si="131"/>
        <v/>
      </c>
      <c r="W479" s="240"/>
      <c r="X479" s="240"/>
      <c r="Y479" s="240" t="str">
        <f t="shared" si="132"/>
        <v/>
      </c>
      <c r="Z479" s="240"/>
      <c r="AD479" s="232" t="str">
        <f t="shared" si="133"/>
        <v/>
      </c>
      <c r="AE479" s="204"/>
      <c r="AX479" s="3" t="str">
        <f t="shared" si="123"/>
        <v/>
      </c>
    </row>
    <row r="480" spans="1:50" s="155" customFormat="1" ht="30" hidden="1" customHeight="1">
      <c r="A480" s="141" t="str">
        <f t="shared" si="134"/>
        <v/>
      </c>
      <c r="B480" s="141" t="str">
        <f t="shared" si="135"/>
        <v/>
      </c>
      <c r="C480" s="205" t="str" cm="1">
        <f t="array" ref="C480">IF(D480="","",
    IF(AND(ISNUMBER(D480), D480=INT(D480)),
        $V$6 &amp; " " &amp; (IFERROR(MAX($Y$12:$Y479), 0) + 1),
        IF(ISNUMBER(SEARCH(".", D480)), "", INDEX($C$12:$C480, MATCH(2, 1/($C$12:$C480 &lt;&gt; ""))))
    )
)</f>
        <v/>
      </c>
      <c r="D480" s="206"/>
      <c r="E480" s="206" t="str">
        <f>IF(AA480 = "", "",
    IF(ISNUMBER(SEARCH("Kiện", C480)),
       " GÓI " &amp; COUNTIF($C$13:C480, "*Kiện*") &amp; "/" &amp; COUNTIF($C$13:$C$1000, "*Kiện*") &amp; " " &amp; AA480,
       AA480)
)</f>
        <v/>
      </c>
      <c r="F480" s="206"/>
      <c r="G480" s="206"/>
      <c r="H480" s="206"/>
      <c r="I480" s="206"/>
      <c r="J480" s="206" t="str">
        <f t="shared" si="136"/>
        <v/>
      </c>
      <c r="K480" s="206" t="str">
        <f t="shared" si="124"/>
        <v/>
      </c>
      <c r="L480" s="206" t="str">
        <f t="shared" si="125"/>
        <v/>
      </c>
      <c r="M480" s="206" t="str">
        <f t="shared" si="126"/>
        <v/>
      </c>
      <c r="N480" s="206" t="str">
        <f t="shared" si="137"/>
        <v/>
      </c>
      <c r="O480" s="206" t="str">
        <f t="shared" si="127"/>
        <v/>
      </c>
      <c r="P480" s="165" t="str">
        <f t="shared" si="128"/>
        <v/>
      </c>
      <c r="Q480" s="207"/>
      <c r="R480" s="141" t="str">
        <f>IF(S480="IN",'BOM_Phan II'!$Y$3,"")</f>
        <v/>
      </c>
      <c r="S480" s="153" t="str">
        <f t="shared" si="129"/>
        <v/>
      </c>
      <c r="T480">
        <f t="shared" si="130"/>
        <v>6</v>
      </c>
      <c r="U480" s="208" t="str">
        <f t="shared" si="138"/>
        <v>KIỆN 9</v>
      </c>
      <c r="V480" s="208" t="str">
        <f t="shared" si="131"/>
        <v/>
      </c>
      <c r="W480" s="240"/>
      <c r="X480" s="240"/>
      <c r="Y480" s="240" t="str">
        <f t="shared" si="132"/>
        <v/>
      </c>
      <c r="Z480" s="240"/>
      <c r="AD480" s="232" t="str">
        <f t="shared" si="133"/>
        <v/>
      </c>
      <c r="AE480" s="204"/>
      <c r="AX480" s="3" t="str">
        <f t="shared" si="123"/>
        <v/>
      </c>
    </row>
    <row r="481" spans="1:50" s="155" customFormat="1" ht="30" hidden="1" customHeight="1">
      <c r="A481" s="141" t="str">
        <f t="shared" si="134"/>
        <v/>
      </c>
      <c r="B481" s="141" t="str">
        <f t="shared" si="135"/>
        <v/>
      </c>
      <c r="C481" s="205" t="str" cm="1">
        <f t="array" ref="C481">IF(D481="","",
    IF(AND(ISNUMBER(D481), D481=INT(D481)),
        $V$6 &amp; " " &amp; (IFERROR(MAX($Y$12:$Y480), 0) + 1),
        IF(ISNUMBER(SEARCH(".", D481)), "", INDEX($C$12:$C481, MATCH(2, 1/($C$12:$C481 &lt;&gt; ""))))
    )
)</f>
        <v/>
      </c>
      <c r="D481" s="206"/>
      <c r="E481" s="206" t="str">
        <f>IF(AA481 = "", "",
    IF(ISNUMBER(SEARCH("Kiện", C481)),
       " GÓI " &amp; COUNTIF($C$13:C481, "*Kiện*") &amp; "/" &amp; COUNTIF($C$13:$C$1000, "*Kiện*") &amp; " " &amp; AA481,
       AA481)
)</f>
        <v/>
      </c>
      <c r="F481" s="206"/>
      <c r="G481" s="206"/>
      <c r="H481" s="206"/>
      <c r="I481" s="206"/>
      <c r="J481" s="206" t="str">
        <f t="shared" si="136"/>
        <v/>
      </c>
      <c r="K481" s="206" t="str">
        <f t="shared" si="124"/>
        <v/>
      </c>
      <c r="L481" s="206" t="str">
        <f t="shared" si="125"/>
        <v/>
      </c>
      <c r="M481" s="206" t="str">
        <f t="shared" si="126"/>
        <v/>
      </c>
      <c r="N481" s="206" t="str">
        <f t="shared" si="137"/>
        <v/>
      </c>
      <c r="O481" s="206" t="str">
        <f t="shared" si="127"/>
        <v/>
      </c>
      <c r="P481" s="165" t="str">
        <f t="shared" si="128"/>
        <v/>
      </c>
      <c r="Q481" s="207"/>
      <c r="R481" s="141" t="str">
        <f>IF(S481="IN",'BOM_Phan II'!$Y$3,"")</f>
        <v/>
      </c>
      <c r="S481" s="153" t="str">
        <f t="shared" si="129"/>
        <v/>
      </c>
      <c r="T481">
        <f t="shared" si="130"/>
        <v>6</v>
      </c>
      <c r="U481" s="208" t="str">
        <f t="shared" si="138"/>
        <v>KIỆN 9</v>
      </c>
      <c r="V481" s="208" t="str">
        <f t="shared" si="131"/>
        <v/>
      </c>
      <c r="W481" s="240"/>
      <c r="X481" s="240"/>
      <c r="Y481" s="240" t="str">
        <f t="shared" si="132"/>
        <v/>
      </c>
      <c r="Z481" s="240"/>
      <c r="AD481" s="232" t="str">
        <f t="shared" si="133"/>
        <v/>
      </c>
      <c r="AE481" s="204"/>
      <c r="AX481" s="3" t="str">
        <f t="shared" si="123"/>
        <v/>
      </c>
    </row>
    <row r="482" spans="1:50" s="155" customFormat="1" ht="30" hidden="1" customHeight="1">
      <c r="A482" s="141" t="str">
        <f t="shared" si="134"/>
        <v/>
      </c>
      <c r="B482" s="141" t="str">
        <f t="shared" si="135"/>
        <v/>
      </c>
      <c r="C482" s="205" t="str" cm="1">
        <f t="array" ref="C482">IF(D482="","",
    IF(AND(ISNUMBER(D482), D482=INT(D482)),
        $V$6 &amp; " " &amp; (IFERROR(MAX($Y$12:$Y481), 0) + 1),
        IF(ISNUMBER(SEARCH(".", D482)), "", INDEX($C$12:$C482, MATCH(2, 1/($C$12:$C482 &lt;&gt; ""))))
    )
)</f>
        <v/>
      </c>
      <c r="D482" s="206"/>
      <c r="E482" s="206" t="str">
        <f>IF(AA482 = "", "",
    IF(ISNUMBER(SEARCH("Kiện", C482)),
       " GÓI " &amp; COUNTIF($C$13:C482, "*Kiện*") &amp; "/" &amp; COUNTIF($C$13:$C$1000, "*Kiện*") &amp; " " &amp; AA482,
       AA482)
)</f>
        <v/>
      </c>
      <c r="F482" s="206"/>
      <c r="G482" s="206"/>
      <c r="H482" s="206"/>
      <c r="I482" s="206"/>
      <c r="J482" s="206" t="str">
        <f t="shared" si="136"/>
        <v/>
      </c>
      <c r="K482" s="206" t="str">
        <f t="shared" si="124"/>
        <v/>
      </c>
      <c r="L482" s="206" t="str">
        <f t="shared" si="125"/>
        <v/>
      </c>
      <c r="M482" s="206" t="str">
        <f t="shared" si="126"/>
        <v/>
      </c>
      <c r="N482" s="206" t="str">
        <f t="shared" si="137"/>
        <v/>
      </c>
      <c r="O482" s="206" t="str">
        <f t="shared" si="127"/>
        <v/>
      </c>
      <c r="P482" s="165" t="str">
        <f t="shared" si="128"/>
        <v/>
      </c>
      <c r="Q482" s="207"/>
      <c r="R482" s="141" t="str">
        <f>IF(S482="IN",'BOM_Phan II'!$Y$3,"")</f>
        <v/>
      </c>
      <c r="S482" s="153" t="str">
        <f t="shared" si="129"/>
        <v/>
      </c>
      <c r="T482">
        <f t="shared" si="130"/>
        <v>6</v>
      </c>
      <c r="U482" s="208" t="str">
        <f t="shared" si="138"/>
        <v>KIỆN 9</v>
      </c>
      <c r="V482" s="208" t="str">
        <f t="shared" si="131"/>
        <v/>
      </c>
      <c r="W482" s="240"/>
      <c r="X482" s="240"/>
      <c r="Y482" s="240" t="str">
        <f t="shared" si="132"/>
        <v/>
      </c>
      <c r="Z482" s="240"/>
      <c r="AD482" s="232" t="str">
        <f t="shared" si="133"/>
        <v/>
      </c>
      <c r="AE482" s="204"/>
      <c r="AX482" s="3" t="str">
        <f t="shared" si="123"/>
        <v/>
      </c>
    </row>
    <row r="483" spans="1:50" s="155" customFormat="1" ht="30" hidden="1" customHeight="1">
      <c r="A483" s="141" t="str">
        <f t="shared" si="134"/>
        <v/>
      </c>
      <c r="B483" s="141" t="str">
        <f t="shared" si="135"/>
        <v/>
      </c>
      <c r="C483" s="205" t="str" cm="1">
        <f t="array" ref="C483">IF(D483="","",
    IF(AND(ISNUMBER(D483), D483=INT(D483)),
        $V$6 &amp; " " &amp; (IFERROR(MAX($Y$12:$Y482), 0) + 1),
        IF(ISNUMBER(SEARCH(".", D483)), "", INDEX($C$12:$C483, MATCH(2, 1/($C$12:$C483 &lt;&gt; ""))))
    )
)</f>
        <v/>
      </c>
      <c r="D483" s="206"/>
      <c r="E483" s="206" t="str">
        <f>IF(AA483 = "", "",
    IF(ISNUMBER(SEARCH("Kiện", C483)),
       " GÓI " &amp; COUNTIF($C$13:C483, "*Kiện*") &amp; "/" &amp; COUNTIF($C$13:$C$1000, "*Kiện*") &amp; " " &amp; AA483,
       AA483)
)</f>
        <v/>
      </c>
      <c r="F483" s="206"/>
      <c r="G483" s="206"/>
      <c r="H483" s="206"/>
      <c r="I483" s="206"/>
      <c r="J483" s="206" t="str">
        <f t="shared" si="136"/>
        <v/>
      </c>
      <c r="K483" s="206" t="str">
        <f t="shared" si="124"/>
        <v/>
      </c>
      <c r="L483" s="206" t="str">
        <f t="shared" si="125"/>
        <v/>
      </c>
      <c r="M483" s="206" t="str">
        <f t="shared" si="126"/>
        <v/>
      </c>
      <c r="N483" s="206" t="str">
        <f t="shared" si="137"/>
        <v/>
      </c>
      <c r="O483" s="206" t="str">
        <f t="shared" si="127"/>
        <v/>
      </c>
      <c r="P483" s="165" t="str">
        <f t="shared" si="128"/>
        <v/>
      </c>
      <c r="Q483" s="207"/>
      <c r="R483" s="141" t="str">
        <f>IF(S483="IN",'BOM_Phan II'!$Y$3,"")</f>
        <v/>
      </c>
      <c r="S483" s="153" t="str">
        <f t="shared" si="129"/>
        <v/>
      </c>
      <c r="T483">
        <f t="shared" si="130"/>
        <v>6</v>
      </c>
      <c r="U483" s="208" t="str">
        <f t="shared" si="138"/>
        <v>KIỆN 9</v>
      </c>
      <c r="V483" s="208" t="str">
        <f t="shared" si="131"/>
        <v/>
      </c>
      <c r="W483" s="240"/>
      <c r="X483" s="240"/>
      <c r="Y483" s="240" t="str">
        <f t="shared" si="132"/>
        <v/>
      </c>
      <c r="Z483" s="240"/>
      <c r="AD483" s="232" t="str">
        <f t="shared" si="133"/>
        <v/>
      </c>
      <c r="AE483" s="204"/>
      <c r="AX483" s="3" t="str">
        <f t="shared" si="123"/>
        <v/>
      </c>
    </row>
    <row r="484" spans="1:50" s="155" customFormat="1" ht="30" hidden="1" customHeight="1">
      <c r="A484" s="141" t="str">
        <f t="shared" si="134"/>
        <v/>
      </c>
      <c r="B484" s="141" t="str">
        <f t="shared" si="135"/>
        <v/>
      </c>
      <c r="C484" s="205" t="str" cm="1">
        <f t="array" ref="C484">IF(D484="","",
    IF(AND(ISNUMBER(D484), D484=INT(D484)),
        $V$6 &amp; " " &amp; (IFERROR(MAX($Y$12:$Y483), 0) + 1),
        IF(ISNUMBER(SEARCH(".", D484)), "", INDEX($C$12:$C484, MATCH(2, 1/($C$12:$C484 &lt;&gt; ""))))
    )
)</f>
        <v/>
      </c>
      <c r="D484" s="206"/>
      <c r="E484" s="206" t="str">
        <f>IF(AA484 = "", "",
    IF(ISNUMBER(SEARCH("Kiện", C484)),
       " GÓI " &amp; COUNTIF($C$13:C484, "*Kiện*") &amp; "/" &amp; COUNTIF($C$13:$C$1000, "*Kiện*") &amp; " " &amp; AA484,
       AA484)
)</f>
        <v/>
      </c>
      <c r="F484" s="206"/>
      <c r="G484" s="206"/>
      <c r="H484" s="206"/>
      <c r="I484" s="206"/>
      <c r="J484" s="206" t="str">
        <f t="shared" si="136"/>
        <v/>
      </c>
      <c r="K484" s="206" t="str">
        <f t="shared" si="124"/>
        <v/>
      </c>
      <c r="L484" s="206" t="str">
        <f t="shared" si="125"/>
        <v/>
      </c>
      <c r="M484" s="206" t="str">
        <f t="shared" si="126"/>
        <v/>
      </c>
      <c r="N484" s="206" t="str">
        <f t="shared" si="137"/>
        <v/>
      </c>
      <c r="O484" s="206" t="str">
        <f t="shared" si="127"/>
        <v/>
      </c>
      <c r="P484" s="165" t="str">
        <f t="shared" si="128"/>
        <v/>
      </c>
      <c r="Q484" s="207"/>
      <c r="R484" s="141" t="str">
        <f>IF(S484="IN",'BOM_Phan II'!$Y$3,"")</f>
        <v/>
      </c>
      <c r="S484" s="153" t="str">
        <f t="shared" si="129"/>
        <v/>
      </c>
      <c r="T484">
        <f t="shared" si="130"/>
        <v>6</v>
      </c>
      <c r="U484" s="208" t="str">
        <f t="shared" si="138"/>
        <v>KIỆN 9</v>
      </c>
      <c r="V484" s="208" t="str">
        <f t="shared" si="131"/>
        <v/>
      </c>
      <c r="W484" s="240"/>
      <c r="X484" s="240"/>
      <c r="Y484" s="240" t="str">
        <f t="shared" si="132"/>
        <v/>
      </c>
      <c r="Z484" s="240"/>
      <c r="AD484" s="232" t="str">
        <f t="shared" si="133"/>
        <v/>
      </c>
      <c r="AE484" s="204"/>
      <c r="AX484" s="3" t="str">
        <f t="shared" si="123"/>
        <v/>
      </c>
    </row>
    <row r="485" spans="1:50" s="155" customFormat="1" ht="30" hidden="1" customHeight="1">
      <c r="A485" s="141" t="str">
        <f t="shared" si="134"/>
        <v/>
      </c>
      <c r="B485" s="141" t="str">
        <f t="shared" si="135"/>
        <v/>
      </c>
      <c r="C485" s="205" t="str" cm="1">
        <f t="array" ref="C485">IF(D485="","",
    IF(AND(ISNUMBER(D485), D485=INT(D485)),
        $V$6 &amp; " " &amp; (IFERROR(MAX($Y$12:$Y484), 0) + 1),
        IF(ISNUMBER(SEARCH(".", D485)), "", INDEX($C$12:$C485, MATCH(2, 1/($C$12:$C485 &lt;&gt; ""))))
    )
)</f>
        <v/>
      </c>
      <c r="D485" s="206"/>
      <c r="E485" s="206" t="str">
        <f>IF(AA485 = "", "",
    IF(ISNUMBER(SEARCH("Kiện", C485)),
       " GÓI " &amp; COUNTIF($C$13:C485, "*Kiện*") &amp; "/" &amp; COUNTIF($C$13:$C$1000, "*Kiện*") &amp; " " &amp; AA485,
       AA485)
)</f>
        <v/>
      </c>
      <c r="F485" s="206"/>
      <c r="G485" s="206"/>
      <c r="H485" s="206"/>
      <c r="I485" s="206"/>
      <c r="J485" s="206" t="str">
        <f t="shared" si="136"/>
        <v/>
      </c>
      <c r="K485" s="206" t="str">
        <f t="shared" si="124"/>
        <v/>
      </c>
      <c r="L485" s="206" t="str">
        <f t="shared" si="125"/>
        <v/>
      </c>
      <c r="M485" s="206" t="str">
        <f t="shared" si="126"/>
        <v/>
      </c>
      <c r="N485" s="206" t="str">
        <f t="shared" si="137"/>
        <v/>
      </c>
      <c r="O485" s="206" t="str">
        <f t="shared" si="127"/>
        <v/>
      </c>
      <c r="P485" s="165" t="str">
        <f t="shared" si="128"/>
        <v/>
      </c>
      <c r="Q485" s="207"/>
      <c r="R485" s="141" t="str">
        <f>IF(S485="IN",'BOM_Phan II'!$Y$3,"")</f>
        <v/>
      </c>
      <c r="S485" s="153" t="str">
        <f t="shared" si="129"/>
        <v/>
      </c>
      <c r="T485">
        <f t="shared" si="130"/>
        <v>6</v>
      </c>
      <c r="U485" s="208" t="str">
        <f t="shared" si="138"/>
        <v>KIỆN 9</v>
      </c>
      <c r="V485" s="208" t="str">
        <f t="shared" si="131"/>
        <v/>
      </c>
      <c r="W485" s="240"/>
      <c r="X485" s="240"/>
      <c r="Y485" s="240" t="str">
        <f t="shared" si="132"/>
        <v/>
      </c>
      <c r="Z485" s="240"/>
      <c r="AD485" s="232" t="str">
        <f t="shared" si="133"/>
        <v/>
      </c>
      <c r="AE485" s="204"/>
      <c r="AX485" s="3" t="str">
        <f t="shared" si="123"/>
        <v/>
      </c>
    </row>
    <row r="486" spans="1:50" s="155" customFormat="1" ht="30" hidden="1" customHeight="1">
      <c r="A486" s="141" t="str">
        <f t="shared" si="134"/>
        <v/>
      </c>
      <c r="B486" s="141" t="str">
        <f t="shared" si="135"/>
        <v/>
      </c>
      <c r="C486" s="205" t="str" cm="1">
        <f t="array" ref="C486">IF(D486="","",
    IF(AND(ISNUMBER(D486), D486=INT(D486)),
        $V$6 &amp; " " &amp; (IFERROR(MAX($Y$12:$Y485), 0) + 1),
        IF(ISNUMBER(SEARCH(".", D486)), "", INDEX($C$12:$C486, MATCH(2, 1/($C$12:$C486 &lt;&gt; ""))))
    )
)</f>
        <v/>
      </c>
      <c r="D486" s="206"/>
      <c r="E486" s="206" t="str">
        <f>IF(AA486 = "", "",
    IF(ISNUMBER(SEARCH("Kiện", C486)),
       " GÓI " &amp; COUNTIF($C$13:C486, "*Kiện*") &amp; "/" &amp; COUNTIF($C$13:$C$1000, "*Kiện*") &amp; " " &amp; AA486,
       AA486)
)</f>
        <v/>
      </c>
      <c r="F486" s="206"/>
      <c r="G486" s="206"/>
      <c r="H486" s="206"/>
      <c r="I486" s="206"/>
      <c r="J486" s="206" t="str">
        <f t="shared" si="136"/>
        <v/>
      </c>
      <c r="K486" s="206" t="str">
        <f t="shared" si="124"/>
        <v/>
      </c>
      <c r="L486" s="206" t="str">
        <f t="shared" si="125"/>
        <v/>
      </c>
      <c r="M486" s="206" t="str">
        <f t="shared" si="126"/>
        <v/>
      </c>
      <c r="N486" s="206" t="str">
        <f t="shared" si="137"/>
        <v/>
      </c>
      <c r="O486" s="206" t="str">
        <f t="shared" si="127"/>
        <v/>
      </c>
      <c r="P486" s="165" t="str">
        <f t="shared" si="128"/>
        <v/>
      </c>
      <c r="Q486" s="207"/>
      <c r="R486" s="141" t="str">
        <f>IF(S486="IN",'BOM_Phan II'!$Y$3,"")</f>
        <v/>
      </c>
      <c r="S486" s="153" t="str">
        <f t="shared" si="129"/>
        <v/>
      </c>
      <c r="T486">
        <f t="shared" si="130"/>
        <v>6</v>
      </c>
      <c r="U486" s="208" t="str">
        <f t="shared" si="138"/>
        <v>KIỆN 9</v>
      </c>
      <c r="V486" s="208" t="str">
        <f t="shared" si="131"/>
        <v/>
      </c>
      <c r="W486" s="240"/>
      <c r="X486" s="240"/>
      <c r="Y486" s="240" t="str">
        <f t="shared" si="132"/>
        <v/>
      </c>
      <c r="Z486" s="240"/>
      <c r="AD486" s="232" t="str">
        <f t="shared" si="133"/>
        <v/>
      </c>
      <c r="AE486" s="204"/>
      <c r="AX486" s="3" t="str">
        <f t="shared" si="123"/>
        <v/>
      </c>
    </row>
    <row r="487" spans="1:50" s="155" customFormat="1" ht="30" hidden="1" customHeight="1">
      <c r="A487" s="141" t="str">
        <f t="shared" si="134"/>
        <v/>
      </c>
      <c r="B487" s="141" t="str">
        <f t="shared" si="135"/>
        <v/>
      </c>
      <c r="C487" s="205" t="str" cm="1">
        <f t="array" ref="C487">IF(D487="","",
    IF(AND(ISNUMBER(D487), D487=INT(D487)),
        $V$6 &amp; " " &amp; (IFERROR(MAX($Y$12:$Y486), 0) + 1),
        IF(ISNUMBER(SEARCH(".", D487)), "", INDEX($C$12:$C487, MATCH(2, 1/($C$12:$C487 &lt;&gt; ""))))
    )
)</f>
        <v/>
      </c>
      <c r="D487" s="206"/>
      <c r="E487" s="206" t="str">
        <f>IF(AA487 = "", "",
    IF(ISNUMBER(SEARCH("Kiện", C487)),
       " GÓI " &amp; COUNTIF($C$13:C487, "*Kiện*") &amp; "/" &amp; COUNTIF($C$13:$C$1000, "*Kiện*") &amp; " " &amp; AA487,
       AA487)
)</f>
        <v/>
      </c>
      <c r="F487" s="206"/>
      <c r="G487" s="206"/>
      <c r="H487" s="206"/>
      <c r="I487" s="206"/>
      <c r="J487" s="206" t="str">
        <f t="shared" si="136"/>
        <v/>
      </c>
      <c r="K487" s="206" t="str">
        <f t="shared" si="124"/>
        <v/>
      </c>
      <c r="L487" s="206" t="str">
        <f t="shared" si="125"/>
        <v/>
      </c>
      <c r="M487" s="206" t="str">
        <f t="shared" si="126"/>
        <v/>
      </c>
      <c r="N487" s="206" t="str">
        <f t="shared" si="137"/>
        <v/>
      </c>
      <c r="O487" s="206" t="str">
        <f t="shared" si="127"/>
        <v/>
      </c>
      <c r="P487" s="165" t="str">
        <f t="shared" si="128"/>
        <v/>
      </c>
      <c r="Q487" s="207"/>
      <c r="R487" s="141" t="str">
        <f>IF(S487="IN",'BOM_Phan II'!$Y$3,"")</f>
        <v/>
      </c>
      <c r="S487" s="153" t="str">
        <f t="shared" si="129"/>
        <v/>
      </c>
      <c r="T487">
        <f t="shared" si="130"/>
        <v>6</v>
      </c>
      <c r="U487" s="208" t="str">
        <f t="shared" si="138"/>
        <v>KIỆN 9</v>
      </c>
      <c r="V487" s="208" t="str">
        <f t="shared" si="131"/>
        <v/>
      </c>
      <c r="W487" s="240"/>
      <c r="X487" s="240"/>
      <c r="Y487" s="240" t="str">
        <f t="shared" si="132"/>
        <v/>
      </c>
      <c r="Z487" s="240"/>
      <c r="AD487" s="232" t="str">
        <f t="shared" si="133"/>
        <v/>
      </c>
      <c r="AE487" s="204"/>
      <c r="AX487" s="3" t="str">
        <f t="shared" si="123"/>
        <v/>
      </c>
    </row>
    <row r="488" spans="1:50" s="155" customFormat="1" ht="30" hidden="1" customHeight="1">
      <c r="A488" s="141" t="str">
        <f t="shared" si="134"/>
        <v/>
      </c>
      <c r="B488" s="141" t="str">
        <f t="shared" si="135"/>
        <v/>
      </c>
      <c r="C488" s="205" t="str" cm="1">
        <f t="array" ref="C488">IF(D488="","",
    IF(AND(ISNUMBER(D488), D488=INT(D488)),
        $V$6 &amp; " " &amp; (IFERROR(MAX($Y$12:$Y487), 0) + 1),
        IF(ISNUMBER(SEARCH(".", D488)), "", INDEX($C$12:$C488, MATCH(2, 1/($C$12:$C488 &lt;&gt; ""))))
    )
)</f>
        <v/>
      </c>
      <c r="D488" s="206"/>
      <c r="E488" s="206" t="str">
        <f>IF(AA488 = "", "",
    IF(ISNUMBER(SEARCH("Kiện", C488)),
       " GÓI " &amp; COUNTIF($C$13:C488, "*Kiện*") &amp; "/" &amp; COUNTIF($C$13:$C$1000, "*Kiện*") &amp; " " &amp; AA488,
       AA488)
)</f>
        <v/>
      </c>
      <c r="F488" s="206"/>
      <c r="G488" s="206"/>
      <c r="H488" s="206"/>
      <c r="I488" s="206"/>
      <c r="J488" s="206" t="str">
        <f t="shared" si="136"/>
        <v/>
      </c>
      <c r="K488" s="206" t="str">
        <f t="shared" si="124"/>
        <v/>
      </c>
      <c r="L488" s="206" t="str">
        <f t="shared" si="125"/>
        <v/>
      </c>
      <c r="M488" s="206" t="str">
        <f t="shared" si="126"/>
        <v/>
      </c>
      <c r="N488" s="206" t="str">
        <f t="shared" si="137"/>
        <v/>
      </c>
      <c r="O488" s="206" t="str">
        <f t="shared" si="127"/>
        <v/>
      </c>
      <c r="P488" s="165" t="str">
        <f t="shared" si="128"/>
        <v/>
      </c>
      <c r="Q488" s="207"/>
      <c r="R488" s="141" t="str">
        <f>IF(S488="IN",'BOM_Phan II'!$Y$3,"")</f>
        <v/>
      </c>
      <c r="S488" s="153" t="str">
        <f t="shared" si="129"/>
        <v/>
      </c>
      <c r="T488">
        <f t="shared" si="130"/>
        <v>6</v>
      </c>
      <c r="U488" s="208" t="str">
        <f t="shared" si="138"/>
        <v>KIỆN 9</v>
      </c>
      <c r="V488" s="208" t="str">
        <f t="shared" si="131"/>
        <v/>
      </c>
      <c r="W488" s="240"/>
      <c r="X488" s="240"/>
      <c r="Y488" s="240" t="str">
        <f t="shared" si="132"/>
        <v/>
      </c>
      <c r="Z488" s="240"/>
      <c r="AD488" s="232" t="str">
        <f t="shared" si="133"/>
        <v/>
      </c>
      <c r="AE488" s="204"/>
      <c r="AX488" s="3" t="str">
        <f t="shared" si="123"/>
        <v/>
      </c>
    </row>
    <row r="489" spans="1:50" s="155" customFormat="1" ht="30" hidden="1" customHeight="1">
      <c r="A489" s="141" t="str">
        <f t="shared" si="134"/>
        <v/>
      </c>
      <c r="B489" s="141" t="str">
        <f t="shared" si="135"/>
        <v/>
      </c>
      <c r="C489" s="205" t="str" cm="1">
        <f t="array" ref="C489">IF(D489="","",
    IF(AND(ISNUMBER(D489), D489=INT(D489)),
        $V$6 &amp; " " &amp; (IFERROR(MAX($Y$12:$Y488), 0) + 1),
        IF(ISNUMBER(SEARCH(".", D489)), "", INDEX($C$12:$C489, MATCH(2, 1/($C$12:$C489 &lt;&gt; ""))))
    )
)</f>
        <v/>
      </c>
      <c r="D489" s="206"/>
      <c r="E489" s="206" t="str">
        <f>IF(AA489 = "", "",
    IF(ISNUMBER(SEARCH("Kiện", C489)),
       " GÓI " &amp; COUNTIF($C$13:C489, "*Kiện*") &amp; "/" &amp; COUNTIF($C$13:$C$1000, "*Kiện*") &amp; " " &amp; AA489,
       AA489)
)</f>
        <v/>
      </c>
      <c r="F489" s="206"/>
      <c r="G489" s="206"/>
      <c r="H489" s="206"/>
      <c r="I489" s="206"/>
      <c r="J489" s="206" t="str">
        <f t="shared" si="136"/>
        <v/>
      </c>
      <c r="K489" s="206" t="str">
        <f t="shared" si="124"/>
        <v/>
      </c>
      <c r="L489" s="206" t="str">
        <f t="shared" si="125"/>
        <v/>
      </c>
      <c r="M489" s="206" t="str">
        <f t="shared" si="126"/>
        <v/>
      </c>
      <c r="N489" s="206" t="str">
        <f t="shared" si="137"/>
        <v/>
      </c>
      <c r="O489" s="206" t="str">
        <f t="shared" si="127"/>
        <v/>
      </c>
      <c r="P489" s="165" t="str">
        <f t="shared" si="128"/>
        <v/>
      </c>
      <c r="Q489" s="207"/>
      <c r="R489" s="141" t="str">
        <f>IF(S489="IN",'BOM_Phan II'!$Y$3,"")</f>
        <v/>
      </c>
      <c r="S489" s="153" t="str">
        <f t="shared" si="129"/>
        <v/>
      </c>
      <c r="T489">
        <f t="shared" si="130"/>
        <v>6</v>
      </c>
      <c r="U489" s="208" t="str">
        <f t="shared" si="138"/>
        <v>KIỆN 9</v>
      </c>
      <c r="V489" s="208" t="str">
        <f t="shared" si="131"/>
        <v/>
      </c>
      <c r="W489" s="240"/>
      <c r="X489" s="240"/>
      <c r="Y489" s="240" t="str">
        <f t="shared" si="132"/>
        <v/>
      </c>
      <c r="Z489" s="240"/>
      <c r="AD489" s="232" t="str">
        <f t="shared" si="133"/>
        <v/>
      </c>
      <c r="AE489" s="204"/>
      <c r="AX489" s="3" t="str">
        <f t="shared" si="123"/>
        <v/>
      </c>
    </row>
    <row r="490" spans="1:50" s="155" customFormat="1" ht="30" hidden="1" customHeight="1">
      <c r="A490" s="141" t="str">
        <f t="shared" si="134"/>
        <v/>
      </c>
      <c r="B490" s="141" t="str">
        <f t="shared" si="135"/>
        <v/>
      </c>
      <c r="C490" s="205" t="str" cm="1">
        <f t="array" ref="C490">IF(D490="","",
    IF(AND(ISNUMBER(D490), D490=INT(D490)),
        $V$6 &amp; " " &amp; (IFERROR(MAX($Y$12:$Y489), 0) + 1),
        IF(ISNUMBER(SEARCH(".", D490)), "", INDEX($C$12:$C490, MATCH(2, 1/($C$12:$C490 &lt;&gt; ""))))
    )
)</f>
        <v/>
      </c>
      <c r="D490" s="206"/>
      <c r="E490" s="206" t="str">
        <f>IF(AA490 = "", "",
    IF(ISNUMBER(SEARCH("Kiện", C490)),
       " GÓI " &amp; COUNTIF($C$13:C490, "*Kiện*") &amp; "/" &amp; COUNTIF($C$13:$C$1000, "*Kiện*") &amp; " " &amp; AA490,
       AA490)
)</f>
        <v/>
      </c>
      <c r="F490" s="206"/>
      <c r="G490" s="206"/>
      <c r="H490" s="206"/>
      <c r="I490" s="206"/>
      <c r="J490" s="206" t="str">
        <f t="shared" si="136"/>
        <v/>
      </c>
      <c r="K490" s="206" t="str">
        <f t="shared" si="124"/>
        <v/>
      </c>
      <c r="L490" s="206" t="str">
        <f t="shared" si="125"/>
        <v/>
      </c>
      <c r="M490" s="206" t="str">
        <f t="shared" si="126"/>
        <v/>
      </c>
      <c r="N490" s="206" t="str">
        <f t="shared" si="137"/>
        <v/>
      </c>
      <c r="O490" s="206" t="str">
        <f t="shared" si="127"/>
        <v/>
      </c>
      <c r="P490" s="165" t="str">
        <f t="shared" si="128"/>
        <v/>
      </c>
      <c r="Q490" s="207"/>
      <c r="R490" s="141" t="str">
        <f>IF(S490="IN",'BOM_Phan II'!$Y$3,"")</f>
        <v/>
      </c>
      <c r="S490" s="153" t="str">
        <f t="shared" si="129"/>
        <v/>
      </c>
      <c r="T490">
        <f t="shared" si="130"/>
        <v>6</v>
      </c>
      <c r="U490" s="208" t="str">
        <f t="shared" si="138"/>
        <v>KIỆN 9</v>
      </c>
      <c r="V490" s="208" t="str">
        <f t="shared" si="131"/>
        <v/>
      </c>
      <c r="W490" s="240"/>
      <c r="X490" s="240"/>
      <c r="Y490" s="240" t="str">
        <f t="shared" si="132"/>
        <v/>
      </c>
      <c r="Z490" s="240"/>
      <c r="AD490" s="232" t="str">
        <f t="shared" si="133"/>
        <v/>
      </c>
      <c r="AE490" s="204"/>
      <c r="AX490" s="3" t="str">
        <f t="shared" si="123"/>
        <v/>
      </c>
    </row>
    <row r="491" spans="1:50" s="155" customFormat="1" ht="30" hidden="1" customHeight="1">
      <c r="A491" s="141" t="str">
        <f t="shared" si="134"/>
        <v/>
      </c>
      <c r="B491" s="141" t="str">
        <f t="shared" si="135"/>
        <v/>
      </c>
      <c r="C491" s="205" t="str" cm="1">
        <f t="array" ref="C491">IF(D491="","",
    IF(AND(ISNUMBER(D491), D491=INT(D491)),
        $V$6 &amp; " " &amp; (IFERROR(MAX($Y$12:$Y490), 0) + 1),
        IF(ISNUMBER(SEARCH(".", D491)), "", INDEX($C$12:$C491, MATCH(2, 1/($C$12:$C491 &lt;&gt; ""))))
    )
)</f>
        <v/>
      </c>
      <c r="D491" s="206"/>
      <c r="E491" s="206" t="str">
        <f>IF(AA491 = "", "",
    IF(ISNUMBER(SEARCH("Kiện", C491)),
       " GÓI " &amp; COUNTIF($C$13:C491, "*Kiện*") &amp; "/" &amp; COUNTIF($C$13:$C$1000, "*Kiện*") &amp; " " &amp; AA491,
       AA491)
)</f>
        <v/>
      </c>
      <c r="F491" s="206"/>
      <c r="G491" s="206"/>
      <c r="H491" s="206"/>
      <c r="I491" s="206"/>
      <c r="J491" s="206" t="str">
        <f t="shared" si="136"/>
        <v/>
      </c>
      <c r="K491" s="206" t="str">
        <f t="shared" si="124"/>
        <v/>
      </c>
      <c r="L491" s="206" t="str">
        <f t="shared" si="125"/>
        <v/>
      </c>
      <c r="M491" s="206" t="str">
        <f t="shared" si="126"/>
        <v/>
      </c>
      <c r="N491" s="206" t="str">
        <f t="shared" si="137"/>
        <v/>
      </c>
      <c r="O491" s="206" t="str">
        <f t="shared" si="127"/>
        <v/>
      </c>
      <c r="P491" s="165" t="str">
        <f t="shared" si="128"/>
        <v/>
      </c>
      <c r="Q491" s="207"/>
      <c r="R491" s="141" t="str">
        <f>IF(S491="IN",'BOM_Phan II'!$Y$3,"")</f>
        <v/>
      </c>
      <c r="S491" s="153" t="str">
        <f t="shared" si="129"/>
        <v/>
      </c>
      <c r="T491">
        <f t="shared" si="130"/>
        <v>6</v>
      </c>
      <c r="U491" s="208" t="str">
        <f t="shared" si="138"/>
        <v>KIỆN 9</v>
      </c>
      <c r="V491" s="208" t="str">
        <f t="shared" si="131"/>
        <v/>
      </c>
      <c r="W491" s="240"/>
      <c r="X491" s="240"/>
      <c r="Y491" s="240" t="str">
        <f t="shared" si="132"/>
        <v/>
      </c>
      <c r="Z491" s="240"/>
      <c r="AD491" s="232" t="str">
        <f t="shared" si="133"/>
        <v/>
      </c>
      <c r="AE491" s="204"/>
      <c r="AX491" s="3" t="str">
        <f t="shared" si="123"/>
        <v/>
      </c>
    </row>
    <row r="492" spans="1:50" s="155" customFormat="1" ht="30" hidden="1" customHeight="1">
      <c r="A492" s="141" t="str">
        <f t="shared" si="134"/>
        <v/>
      </c>
      <c r="B492" s="141" t="str">
        <f t="shared" si="135"/>
        <v/>
      </c>
      <c r="C492" s="205" t="str" cm="1">
        <f t="array" ref="C492">IF(D492="","",
    IF(AND(ISNUMBER(D492), D492=INT(D492)),
        $V$6 &amp; " " &amp; (IFERROR(MAX($Y$12:$Y491), 0) + 1),
        IF(ISNUMBER(SEARCH(".", D492)), "", INDEX($C$12:$C492, MATCH(2, 1/($C$12:$C492 &lt;&gt; ""))))
    )
)</f>
        <v/>
      </c>
      <c r="D492" s="206"/>
      <c r="E492" s="206" t="str">
        <f>IF(AA492 = "", "",
    IF(ISNUMBER(SEARCH("Kiện", C492)),
       " GÓI " &amp; COUNTIF($C$13:C492, "*Kiện*") &amp; "/" &amp; COUNTIF($C$13:$C$1000, "*Kiện*") &amp; " " &amp; AA492,
       AA492)
)</f>
        <v/>
      </c>
      <c r="F492" s="206"/>
      <c r="G492" s="206"/>
      <c r="H492" s="206"/>
      <c r="I492" s="206"/>
      <c r="J492" s="206" t="str">
        <f t="shared" si="136"/>
        <v/>
      </c>
      <c r="K492" s="206" t="str">
        <f t="shared" si="124"/>
        <v/>
      </c>
      <c r="L492" s="206" t="str">
        <f t="shared" si="125"/>
        <v/>
      </c>
      <c r="M492" s="206" t="str">
        <f t="shared" si="126"/>
        <v/>
      </c>
      <c r="N492" s="206" t="str">
        <f t="shared" si="137"/>
        <v/>
      </c>
      <c r="O492" s="206" t="str">
        <f t="shared" si="127"/>
        <v/>
      </c>
      <c r="P492" s="165" t="str">
        <f t="shared" si="128"/>
        <v/>
      </c>
      <c r="Q492" s="207"/>
      <c r="R492" s="141" t="str">
        <f>IF(S492="IN",'BOM_Phan II'!$Y$3,"")</f>
        <v/>
      </c>
      <c r="S492" s="153" t="str">
        <f t="shared" si="129"/>
        <v/>
      </c>
      <c r="T492">
        <f t="shared" si="130"/>
        <v>6</v>
      </c>
      <c r="U492" s="208" t="str">
        <f t="shared" si="138"/>
        <v>KIỆN 9</v>
      </c>
      <c r="V492" s="208" t="str">
        <f t="shared" si="131"/>
        <v/>
      </c>
      <c r="W492" s="240"/>
      <c r="X492" s="240"/>
      <c r="Y492" s="240" t="str">
        <f t="shared" si="132"/>
        <v/>
      </c>
      <c r="Z492" s="240"/>
      <c r="AD492" s="232" t="str">
        <f t="shared" si="133"/>
        <v/>
      </c>
      <c r="AE492" s="204"/>
      <c r="AX492" s="3" t="str">
        <f t="shared" si="123"/>
        <v/>
      </c>
    </row>
    <row r="493" spans="1:50" s="155" customFormat="1" ht="30" hidden="1" customHeight="1">
      <c r="A493" s="141" t="str">
        <f t="shared" si="134"/>
        <v/>
      </c>
      <c r="B493" s="141" t="str">
        <f t="shared" si="135"/>
        <v/>
      </c>
      <c r="C493" s="205" t="str" cm="1">
        <f t="array" ref="C493">IF(D493="","",
    IF(AND(ISNUMBER(D493), D493=INT(D493)),
        $V$6 &amp; " " &amp; (IFERROR(MAX($Y$12:$Y492), 0) + 1),
        IF(ISNUMBER(SEARCH(".", D493)), "", INDEX($C$12:$C493, MATCH(2, 1/($C$12:$C493 &lt;&gt; ""))))
    )
)</f>
        <v/>
      </c>
      <c r="D493" s="206"/>
      <c r="E493" s="206" t="str">
        <f>IF(AA493 = "", "",
    IF(ISNUMBER(SEARCH("Kiện", C493)),
       " GÓI " &amp; COUNTIF($C$13:C493, "*Kiện*") &amp; "/" &amp; COUNTIF($C$13:$C$1000, "*Kiện*") &amp; " " &amp; AA493,
       AA493)
)</f>
        <v/>
      </c>
      <c r="F493" s="206"/>
      <c r="G493" s="206"/>
      <c r="H493" s="206"/>
      <c r="I493" s="206"/>
      <c r="J493" s="206" t="str">
        <f t="shared" si="136"/>
        <v/>
      </c>
      <c r="K493" s="206" t="str">
        <f t="shared" si="124"/>
        <v/>
      </c>
      <c r="L493" s="206" t="str">
        <f t="shared" si="125"/>
        <v/>
      </c>
      <c r="M493" s="206" t="str">
        <f t="shared" si="126"/>
        <v/>
      </c>
      <c r="N493" s="206" t="str">
        <f t="shared" si="137"/>
        <v/>
      </c>
      <c r="O493" s="206" t="str">
        <f t="shared" si="127"/>
        <v/>
      </c>
      <c r="P493" s="165" t="str">
        <f t="shared" si="128"/>
        <v/>
      </c>
      <c r="Q493" s="207"/>
      <c r="R493" s="141" t="str">
        <f>IF(S493="IN",'BOM_Phan II'!$Y$3,"")</f>
        <v/>
      </c>
      <c r="S493" s="153" t="str">
        <f t="shared" si="129"/>
        <v/>
      </c>
      <c r="T493">
        <f t="shared" si="130"/>
        <v>6</v>
      </c>
      <c r="U493" s="208" t="str">
        <f t="shared" si="138"/>
        <v>KIỆN 9</v>
      </c>
      <c r="V493" s="208" t="str">
        <f t="shared" si="131"/>
        <v/>
      </c>
      <c r="W493" s="240"/>
      <c r="X493" s="240"/>
      <c r="Y493" s="240" t="str">
        <f t="shared" si="132"/>
        <v/>
      </c>
      <c r="Z493" s="240"/>
      <c r="AD493" s="232" t="str">
        <f t="shared" si="133"/>
        <v/>
      </c>
      <c r="AE493" s="204"/>
      <c r="AX493" s="3" t="str">
        <f t="shared" si="123"/>
        <v/>
      </c>
    </row>
    <row r="494" spans="1:50" s="155" customFormat="1" ht="30" hidden="1" customHeight="1">
      <c r="A494" s="141" t="str">
        <f t="shared" si="134"/>
        <v/>
      </c>
      <c r="B494" s="141" t="str">
        <f t="shared" si="135"/>
        <v/>
      </c>
      <c r="C494" s="205" t="str" cm="1">
        <f t="array" ref="C494">IF(D494="","",
    IF(AND(ISNUMBER(D494), D494=INT(D494)),
        $V$6 &amp; " " &amp; (IFERROR(MAX($Y$12:$Y493), 0) + 1),
        IF(ISNUMBER(SEARCH(".", D494)), "", INDEX($C$12:$C494, MATCH(2, 1/($C$12:$C494 &lt;&gt; ""))))
    )
)</f>
        <v/>
      </c>
      <c r="D494" s="206"/>
      <c r="E494" s="206" t="str">
        <f>IF(AA494 = "", "",
    IF(ISNUMBER(SEARCH("Kiện", C494)),
       " GÓI " &amp; COUNTIF($C$13:C494, "*Kiện*") &amp; "/" &amp; COUNTIF($C$13:$C$1000, "*Kiện*") &amp; " " &amp; AA494,
       AA494)
)</f>
        <v/>
      </c>
      <c r="F494" s="206"/>
      <c r="G494" s="206"/>
      <c r="H494" s="206"/>
      <c r="I494" s="206"/>
      <c r="J494" s="206" t="str">
        <f t="shared" si="136"/>
        <v/>
      </c>
      <c r="K494" s="206" t="str">
        <f t="shared" si="124"/>
        <v/>
      </c>
      <c r="L494" s="206" t="str">
        <f t="shared" si="125"/>
        <v/>
      </c>
      <c r="M494" s="206" t="str">
        <f t="shared" si="126"/>
        <v/>
      </c>
      <c r="N494" s="206" t="str">
        <f t="shared" si="137"/>
        <v/>
      </c>
      <c r="O494" s="206" t="str">
        <f t="shared" si="127"/>
        <v/>
      </c>
      <c r="P494" s="165" t="str">
        <f t="shared" si="128"/>
        <v/>
      </c>
      <c r="Q494" s="207"/>
      <c r="R494" s="141" t="str">
        <f>IF(S494="IN",'BOM_Phan II'!$Y$3,"")</f>
        <v/>
      </c>
      <c r="S494" s="153" t="str">
        <f t="shared" si="129"/>
        <v/>
      </c>
      <c r="T494">
        <f t="shared" si="130"/>
        <v>6</v>
      </c>
      <c r="U494" s="208" t="str">
        <f t="shared" si="138"/>
        <v>KIỆN 9</v>
      </c>
      <c r="V494" s="208" t="str">
        <f t="shared" si="131"/>
        <v/>
      </c>
      <c r="W494" s="240"/>
      <c r="X494" s="240"/>
      <c r="Y494" s="240" t="str">
        <f t="shared" si="132"/>
        <v/>
      </c>
      <c r="Z494" s="240"/>
      <c r="AD494" s="232" t="str">
        <f t="shared" si="133"/>
        <v/>
      </c>
      <c r="AE494" s="204"/>
      <c r="AX494" s="3" t="str">
        <f t="shared" si="123"/>
        <v/>
      </c>
    </row>
    <row r="495" spans="1:50" s="155" customFormat="1" ht="30" hidden="1" customHeight="1">
      <c r="A495" s="141" t="str">
        <f t="shared" si="134"/>
        <v/>
      </c>
      <c r="B495" s="141" t="str">
        <f t="shared" si="135"/>
        <v/>
      </c>
      <c r="C495" s="205" t="str" cm="1">
        <f t="array" ref="C495">IF(D495="","",
    IF(AND(ISNUMBER(D495), D495=INT(D495)),
        $V$6 &amp; " " &amp; (IFERROR(MAX($Y$12:$Y494), 0) + 1),
        IF(ISNUMBER(SEARCH(".", D495)), "", INDEX($C$12:$C495, MATCH(2, 1/($C$12:$C495 &lt;&gt; ""))))
    )
)</f>
        <v/>
      </c>
      <c r="D495" s="206"/>
      <c r="E495" s="206" t="str">
        <f>IF(AA495 = "", "",
    IF(ISNUMBER(SEARCH("Kiện", C495)),
       " GÓI " &amp; COUNTIF($C$13:C495, "*Kiện*") &amp; "/" &amp; COUNTIF($C$13:$C$1000, "*Kiện*") &amp; " " &amp; AA495,
       AA495)
)</f>
        <v/>
      </c>
      <c r="F495" s="206"/>
      <c r="G495" s="206"/>
      <c r="H495" s="206"/>
      <c r="I495" s="206"/>
      <c r="J495" s="206" t="str">
        <f t="shared" si="136"/>
        <v/>
      </c>
      <c r="K495" s="206" t="str">
        <f t="shared" si="124"/>
        <v/>
      </c>
      <c r="L495" s="206" t="str">
        <f t="shared" si="125"/>
        <v/>
      </c>
      <c r="M495" s="206" t="str">
        <f t="shared" si="126"/>
        <v/>
      </c>
      <c r="N495" s="206" t="str">
        <f t="shared" si="137"/>
        <v/>
      </c>
      <c r="O495" s="206" t="str">
        <f t="shared" si="127"/>
        <v/>
      </c>
      <c r="P495" s="165" t="str">
        <f t="shared" si="128"/>
        <v/>
      </c>
      <c r="Q495" s="207"/>
      <c r="R495" s="141" t="str">
        <f>IF(S495="IN",'BOM_Phan II'!$Y$3,"")</f>
        <v/>
      </c>
      <c r="S495" s="153" t="str">
        <f t="shared" si="129"/>
        <v/>
      </c>
      <c r="T495">
        <f t="shared" si="130"/>
        <v>6</v>
      </c>
      <c r="U495" s="208" t="str">
        <f t="shared" si="138"/>
        <v>KIỆN 9</v>
      </c>
      <c r="V495" s="208" t="str">
        <f t="shared" si="131"/>
        <v/>
      </c>
      <c r="W495" s="240"/>
      <c r="X495" s="240"/>
      <c r="Y495" s="240" t="str">
        <f t="shared" si="132"/>
        <v/>
      </c>
      <c r="Z495" s="240"/>
      <c r="AD495" s="232" t="str">
        <f t="shared" si="133"/>
        <v/>
      </c>
      <c r="AE495" s="204"/>
      <c r="AX495" s="3" t="str">
        <f t="shared" si="123"/>
        <v/>
      </c>
    </row>
    <row r="496" spans="1:50" s="155" customFormat="1" ht="30" hidden="1" customHeight="1">
      <c r="A496" s="141" t="str">
        <f t="shared" si="134"/>
        <v/>
      </c>
      <c r="B496" s="141" t="str">
        <f t="shared" si="135"/>
        <v/>
      </c>
      <c r="C496" s="205" t="str" cm="1">
        <f t="array" ref="C496">IF(D496="","",
    IF(AND(ISNUMBER(D496), D496=INT(D496)),
        $V$6 &amp; " " &amp; (IFERROR(MAX($Y$12:$Y495), 0) + 1),
        IF(ISNUMBER(SEARCH(".", D496)), "", INDEX($C$12:$C496, MATCH(2, 1/($C$12:$C496 &lt;&gt; ""))))
    )
)</f>
        <v/>
      </c>
      <c r="D496" s="206"/>
      <c r="E496" s="206" t="str">
        <f>IF(AA496 = "", "",
    IF(ISNUMBER(SEARCH("Kiện", C496)),
       " GÓI " &amp; COUNTIF($C$13:C496, "*Kiện*") &amp; "/" &amp; COUNTIF($C$13:$C$1000, "*Kiện*") &amp; " " &amp; AA496,
       AA496)
)</f>
        <v/>
      </c>
      <c r="F496" s="206"/>
      <c r="G496" s="206"/>
      <c r="H496" s="206"/>
      <c r="I496" s="206"/>
      <c r="J496" s="206" t="str">
        <f t="shared" si="136"/>
        <v/>
      </c>
      <c r="K496" s="206" t="str">
        <f t="shared" si="124"/>
        <v/>
      </c>
      <c r="L496" s="206" t="str">
        <f t="shared" si="125"/>
        <v/>
      </c>
      <c r="M496" s="206" t="str">
        <f t="shared" si="126"/>
        <v/>
      </c>
      <c r="N496" s="206" t="str">
        <f t="shared" si="137"/>
        <v/>
      </c>
      <c r="O496" s="206" t="str">
        <f t="shared" si="127"/>
        <v/>
      </c>
      <c r="P496" s="165" t="str">
        <f t="shared" si="128"/>
        <v/>
      </c>
      <c r="Q496" s="207"/>
      <c r="R496" s="141" t="str">
        <f>IF(S496="IN",'BOM_Phan II'!$Y$3,"")</f>
        <v/>
      </c>
      <c r="S496" s="153" t="str">
        <f t="shared" si="129"/>
        <v/>
      </c>
      <c r="T496">
        <f t="shared" si="130"/>
        <v>6</v>
      </c>
      <c r="U496" s="208" t="str">
        <f t="shared" si="138"/>
        <v>KIỆN 9</v>
      </c>
      <c r="V496" s="208" t="str">
        <f t="shared" si="131"/>
        <v/>
      </c>
      <c r="W496" s="240"/>
      <c r="X496" s="240"/>
      <c r="Y496" s="240" t="str">
        <f t="shared" si="132"/>
        <v/>
      </c>
      <c r="Z496" s="240"/>
      <c r="AD496" s="232" t="str">
        <f t="shared" si="133"/>
        <v/>
      </c>
      <c r="AE496" s="204"/>
      <c r="AX496" s="3" t="str">
        <f t="shared" si="123"/>
        <v/>
      </c>
    </row>
    <row r="497" spans="1:50" s="155" customFormat="1" ht="30" hidden="1" customHeight="1">
      <c r="A497" s="141" t="str">
        <f t="shared" si="134"/>
        <v/>
      </c>
      <c r="B497" s="141" t="str">
        <f t="shared" si="135"/>
        <v/>
      </c>
      <c r="C497" s="205" t="str" cm="1">
        <f t="array" ref="C497">IF(D497="","",
    IF(AND(ISNUMBER(D497), D497=INT(D497)),
        $V$6 &amp; " " &amp; (IFERROR(MAX($Y$12:$Y496), 0) + 1),
        IF(ISNUMBER(SEARCH(".", D497)), "", INDEX($C$12:$C497, MATCH(2, 1/($C$12:$C497 &lt;&gt; ""))))
    )
)</f>
        <v/>
      </c>
      <c r="D497" s="206"/>
      <c r="E497" s="206" t="str">
        <f>IF(AA497 = "", "",
    IF(ISNUMBER(SEARCH("Kiện", C497)),
       " GÓI " &amp; COUNTIF($C$13:C497, "*Kiện*") &amp; "/" &amp; COUNTIF($C$13:$C$1000, "*Kiện*") &amp; " " &amp; AA497,
       AA497)
)</f>
        <v/>
      </c>
      <c r="F497" s="206"/>
      <c r="G497" s="206"/>
      <c r="H497" s="206"/>
      <c r="I497" s="206"/>
      <c r="J497" s="206" t="str">
        <f t="shared" si="136"/>
        <v/>
      </c>
      <c r="K497" s="206" t="str">
        <f t="shared" si="124"/>
        <v/>
      </c>
      <c r="L497" s="206" t="str">
        <f t="shared" si="125"/>
        <v/>
      </c>
      <c r="M497" s="206" t="str">
        <f t="shared" si="126"/>
        <v/>
      </c>
      <c r="N497" s="206" t="str">
        <f t="shared" si="137"/>
        <v/>
      </c>
      <c r="O497" s="206" t="str">
        <f t="shared" si="127"/>
        <v/>
      </c>
      <c r="P497" s="165" t="str">
        <f t="shared" si="128"/>
        <v/>
      </c>
      <c r="Q497" s="207"/>
      <c r="R497" s="141" t="str">
        <f>IF(S497="IN",'BOM_Phan II'!$Y$3,"")</f>
        <v/>
      </c>
      <c r="S497" s="153" t="str">
        <f t="shared" si="129"/>
        <v/>
      </c>
      <c r="T497">
        <f t="shared" si="130"/>
        <v>6</v>
      </c>
      <c r="U497" s="208" t="str">
        <f t="shared" si="138"/>
        <v>KIỆN 9</v>
      </c>
      <c r="V497" s="208" t="str">
        <f t="shared" si="131"/>
        <v/>
      </c>
      <c r="W497" s="240"/>
      <c r="X497" s="240"/>
      <c r="Y497" s="240" t="str">
        <f t="shared" si="132"/>
        <v/>
      </c>
      <c r="Z497" s="240"/>
      <c r="AD497" s="232" t="str">
        <f t="shared" si="133"/>
        <v/>
      </c>
      <c r="AE497" s="204"/>
      <c r="AX497" s="3" t="str">
        <f t="shared" si="123"/>
        <v/>
      </c>
    </row>
    <row r="498" spans="1:50" s="155" customFormat="1" ht="30" hidden="1" customHeight="1">
      <c r="A498" s="141" t="str">
        <f t="shared" si="134"/>
        <v/>
      </c>
      <c r="B498" s="141" t="str">
        <f t="shared" si="135"/>
        <v/>
      </c>
      <c r="C498" s="205" t="str" cm="1">
        <f t="array" ref="C498">IF(D498="","",
    IF(AND(ISNUMBER(D498), D498=INT(D498)),
        $V$6 &amp; " " &amp; (IFERROR(MAX($Y$12:$Y497), 0) + 1),
        IF(ISNUMBER(SEARCH(".", D498)), "", INDEX($C$12:$C498, MATCH(2, 1/($C$12:$C498 &lt;&gt; ""))))
    )
)</f>
        <v/>
      </c>
      <c r="D498" s="206"/>
      <c r="E498" s="206" t="str">
        <f>IF(AA498 = "", "",
    IF(ISNUMBER(SEARCH("Kiện", C498)),
       " GÓI " &amp; COUNTIF($C$13:C498, "*Kiện*") &amp; "/" &amp; COUNTIF($C$13:$C$1000, "*Kiện*") &amp; " " &amp; AA498,
       AA498)
)</f>
        <v/>
      </c>
      <c r="F498" s="206"/>
      <c r="G498" s="206"/>
      <c r="H498" s="206"/>
      <c r="I498" s="206"/>
      <c r="J498" s="206" t="str">
        <f t="shared" si="136"/>
        <v/>
      </c>
      <c r="K498" s="206" t="str">
        <f t="shared" si="124"/>
        <v/>
      </c>
      <c r="L498" s="206" t="str">
        <f t="shared" si="125"/>
        <v/>
      </c>
      <c r="M498" s="206" t="str">
        <f t="shared" si="126"/>
        <v/>
      </c>
      <c r="N498" s="206" t="str">
        <f t="shared" si="137"/>
        <v/>
      </c>
      <c r="O498" s="206" t="str">
        <f t="shared" si="127"/>
        <v/>
      </c>
      <c r="P498" s="165" t="str">
        <f t="shared" si="128"/>
        <v/>
      </c>
      <c r="Q498" s="207"/>
      <c r="R498" s="141" t="str">
        <f>IF(S498="IN",'BOM_Phan II'!$Y$3,"")</f>
        <v/>
      </c>
      <c r="S498" s="153" t="str">
        <f t="shared" si="129"/>
        <v/>
      </c>
      <c r="T498">
        <f t="shared" si="130"/>
        <v>6</v>
      </c>
      <c r="U498" s="208" t="str">
        <f t="shared" si="138"/>
        <v>KIỆN 9</v>
      </c>
      <c r="V498" s="208" t="str">
        <f t="shared" si="131"/>
        <v/>
      </c>
      <c r="W498" s="240"/>
      <c r="X498" s="240"/>
      <c r="Y498" s="240" t="str">
        <f t="shared" si="132"/>
        <v/>
      </c>
      <c r="Z498" s="240"/>
      <c r="AD498" s="232" t="str">
        <f t="shared" si="133"/>
        <v/>
      </c>
      <c r="AE498" s="204"/>
      <c r="AX498" s="3" t="str">
        <f t="shared" si="123"/>
        <v/>
      </c>
    </row>
    <row r="499" spans="1:50" s="155" customFormat="1" ht="30" hidden="1" customHeight="1">
      <c r="A499" s="141" t="str">
        <f t="shared" si="134"/>
        <v/>
      </c>
      <c r="B499" s="141" t="str">
        <f t="shared" si="135"/>
        <v/>
      </c>
      <c r="C499" s="205" t="str" cm="1">
        <f t="array" ref="C499">IF(D499="","",
    IF(AND(ISNUMBER(D499), D499=INT(D499)),
        $V$6 &amp; " " &amp; (IFERROR(MAX($Y$12:$Y498), 0) + 1),
        IF(ISNUMBER(SEARCH(".", D499)), "", INDEX($C$12:$C499, MATCH(2, 1/($C$12:$C499 &lt;&gt; ""))))
    )
)</f>
        <v/>
      </c>
      <c r="D499" s="206"/>
      <c r="E499" s="206" t="str">
        <f>IF(AA499 = "", "",
    IF(ISNUMBER(SEARCH("Kiện", C499)),
       " GÓI " &amp; COUNTIF($C$13:C499, "*Kiện*") &amp; "/" &amp; COUNTIF($C$13:$C$1000, "*Kiện*") &amp; " " &amp; AA499,
       AA499)
)</f>
        <v/>
      </c>
      <c r="F499" s="206"/>
      <c r="G499" s="206"/>
      <c r="H499" s="206"/>
      <c r="I499" s="206"/>
      <c r="J499" s="206" t="str">
        <f t="shared" si="136"/>
        <v/>
      </c>
      <c r="K499" s="206" t="str">
        <f t="shared" si="124"/>
        <v/>
      </c>
      <c r="L499" s="206" t="str">
        <f t="shared" si="125"/>
        <v/>
      </c>
      <c r="M499" s="206" t="str">
        <f t="shared" si="126"/>
        <v/>
      </c>
      <c r="N499" s="206" t="str">
        <f t="shared" si="137"/>
        <v/>
      </c>
      <c r="O499" s="206" t="str">
        <f t="shared" si="127"/>
        <v/>
      </c>
      <c r="P499" s="165" t="str">
        <f t="shared" si="128"/>
        <v/>
      </c>
      <c r="Q499" s="207"/>
      <c r="R499" s="141" t="str">
        <f>IF(S499="IN",'BOM_Phan II'!$Y$3,"")</f>
        <v/>
      </c>
      <c r="S499" s="153" t="str">
        <f t="shared" si="129"/>
        <v/>
      </c>
      <c r="T499">
        <f t="shared" si="130"/>
        <v>6</v>
      </c>
      <c r="U499" s="208" t="str">
        <f t="shared" si="138"/>
        <v>KIỆN 9</v>
      </c>
      <c r="V499" s="208" t="str">
        <f t="shared" si="131"/>
        <v/>
      </c>
      <c r="W499" s="240"/>
      <c r="X499" s="240"/>
      <c r="Y499" s="240" t="str">
        <f t="shared" si="132"/>
        <v/>
      </c>
      <c r="Z499" s="240"/>
      <c r="AD499" s="232" t="str">
        <f t="shared" si="133"/>
        <v/>
      </c>
      <c r="AE499" s="204"/>
      <c r="AX499" s="3" t="str">
        <f t="shared" si="123"/>
        <v/>
      </c>
    </row>
    <row r="500" spans="1:50" s="155" customFormat="1" ht="30" hidden="1" customHeight="1">
      <c r="A500" s="141" t="str">
        <f t="shared" si="134"/>
        <v/>
      </c>
      <c r="B500" s="141" t="str">
        <f t="shared" si="135"/>
        <v/>
      </c>
      <c r="C500" s="205" t="str" cm="1">
        <f t="array" ref="C500">IF(D500="","",
    IF(AND(ISNUMBER(D500), D500=INT(D500)),
        $V$6 &amp; " " &amp; (IFERROR(MAX($Y$12:$Y499), 0) + 1),
        IF(ISNUMBER(SEARCH(".", D500)), "", INDEX($C$12:$C500, MATCH(2, 1/($C$12:$C500 &lt;&gt; ""))))
    )
)</f>
        <v/>
      </c>
      <c r="D500" s="206"/>
      <c r="E500" s="206" t="str">
        <f>IF(AA500 = "", "",
    IF(ISNUMBER(SEARCH("Kiện", C500)),
       " GÓI " &amp; COUNTIF($C$13:C500, "*Kiện*") &amp; "/" &amp; COUNTIF($C$13:$C$1000, "*Kiện*") &amp; " " &amp; AA500,
       AA500)
)</f>
        <v/>
      </c>
      <c r="F500" s="206"/>
      <c r="G500" s="206"/>
      <c r="H500" s="206"/>
      <c r="I500" s="206"/>
      <c r="J500" s="206" t="str">
        <f t="shared" si="136"/>
        <v/>
      </c>
      <c r="K500" s="206" t="str">
        <f t="shared" si="124"/>
        <v/>
      </c>
      <c r="L500" s="206" t="str">
        <f t="shared" si="125"/>
        <v/>
      </c>
      <c r="M500" s="206" t="str">
        <f t="shared" si="126"/>
        <v/>
      </c>
      <c r="N500" s="206" t="str">
        <f t="shared" si="137"/>
        <v/>
      </c>
      <c r="O500" s="206" t="str">
        <f t="shared" si="127"/>
        <v/>
      </c>
      <c r="P500" s="165" t="str">
        <f t="shared" si="128"/>
        <v/>
      </c>
      <c r="Q500" s="207"/>
      <c r="R500" s="141" t="str">
        <f>IF(S500="IN",'BOM_Phan II'!$Y$3,"")</f>
        <v/>
      </c>
      <c r="S500" s="153" t="str">
        <f t="shared" si="129"/>
        <v/>
      </c>
      <c r="T500">
        <f t="shared" si="130"/>
        <v>6</v>
      </c>
      <c r="U500" s="208" t="str">
        <f t="shared" si="138"/>
        <v>KIỆN 9</v>
      </c>
      <c r="V500" s="208" t="str">
        <f t="shared" si="131"/>
        <v/>
      </c>
      <c r="W500" s="240"/>
      <c r="X500" s="240"/>
      <c r="Y500" s="240" t="str">
        <f t="shared" si="132"/>
        <v/>
      </c>
      <c r="Z500" s="240"/>
      <c r="AD500" s="232" t="str">
        <f t="shared" si="133"/>
        <v/>
      </c>
      <c r="AE500" s="204"/>
      <c r="AX500" s="3" t="str">
        <f t="shared" si="123"/>
        <v/>
      </c>
    </row>
    <row r="501" spans="1:50" s="155" customFormat="1" ht="30" hidden="1" customHeight="1">
      <c r="A501" s="141" t="str">
        <f t="shared" si="134"/>
        <v/>
      </c>
      <c r="B501" s="141" t="str">
        <f t="shared" si="135"/>
        <v/>
      </c>
      <c r="C501" s="205" t="str" cm="1">
        <f t="array" ref="C501">IF(D501="","",
    IF(AND(ISNUMBER(D501), D501=INT(D501)),
        $V$6 &amp; " " &amp; (IFERROR(MAX($Y$12:$Y500), 0) + 1),
        IF(ISNUMBER(SEARCH(".", D501)), "", INDEX($C$12:$C501, MATCH(2, 1/($C$12:$C501 &lt;&gt; ""))))
    )
)</f>
        <v/>
      </c>
      <c r="D501" s="206"/>
      <c r="E501" s="206" t="str">
        <f>IF(AA501 = "", "",
    IF(ISNUMBER(SEARCH("Kiện", C501)),
       " GÓI " &amp; COUNTIF($C$13:C501, "*Kiện*") &amp; "/" &amp; COUNTIF($C$13:$C$1000, "*Kiện*") &amp; " " &amp; AA501,
       AA501)
)</f>
        <v/>
      </c>
      <c r="F501" s="206"/>
      <c r="G501" s="206"/>
      <c r="H501" s="206"/>
      <c r="I501" s="206"/>
      <c r="J501" s="206" t="str">
        <f t="shared" si="136"/>
        <v/>
      </c>
      <c r="K501" s="206" t="str">
        <f t="shared" si="124"/>
        <v/>
      </c>
      <c r="L501" s="206" t="str">
        <f t="shared" si="125"/>
        <v/>
      </c>
      <c r="M501" s="206" t="str">
        <f t="shared" si="126"/>
        <v/>
      </c>
      <c r="N501" s="206" t="str">
        <f t="shared" si="137"/>
        <v/>
      </c>
      <c r="O501" s="206" t="str">
        <f t="shared" si="127"/>
        <v/>
      </c>
      <c r="P501" s="165" t="str">
        <f t="shared" si="128"/>
        <v/>
      </c>
      <c r="Q501" s="207"/>
      <c r="R501" s="141" t="str">
        <f>IF(S501="IN",'BOM_Phan II'!$Y$3,"")</f>
        <v/>
      </c>
      <c r="S501" s="153" t="str">
        <f t="shared" si="129"/>
        <v/>
      </c>
      <c r="T501">
        <f t="shared" si="130"/>
        <v>6</v>
      </c>
      <c r="U501" s="208" t="str">
        <f t="shared" si="138"/>
        <v>KIỆN 9</v>
      </c>
      <c r="V501" s="208" t="str">
        <f t="shared" si="131"/>
        <v/>
      </c>
      <c r="W501" s="240"/>
      <c r="X501" s="240"/>
      <c r="Y501" s="240" t="str">
        <f t="shared" si="132"/>
        <v/>
      </c>
      <c r="Z501" s="240"/>
      <c r="AD501" s="232" t="str">
        <f t="shared" si="133"/>
        <v/>
      </c>
      <c r="AE501" s="204"/>
      <c r="AX501" s="3" t="str">
        <f t="shared" si="123"/>
        <v/>
      </c>
    </row>
    <row r="502" spans="1:50" s="155" customFormat="1" ht="30" hidden="1" customHeight="1">
      <c r="A502" s="141" t="str">
        <f t="shared" si="134"/>
        <v/>
      </c>
      <c r="B502" s="141" t="str">
        <f t="shared" si="135"/>
        <v/>
      </c>
      <c r="C502" s="205" t="str" cm="1">
        <f t="array" ref="C502">IF(D502="","",
    IF(AND(ISNUMBER(D502), D502=INT(D502)),
        $V$6 &amp; " " &amp; (IFERROR(MAX($Y$12:$Y501), 0) + 1),
        IF(ISNUMBER(SEARCH(".", D502)), "", INDEX($C$12:$C502, MATCH(2, 1/($C$12:$C502 &lt;&gt; ""))))
    )
)</f>
        <v/>
      </c>
      <c r="D502" s="206"/>
      <c r="E502" s="206" t="str">
        <f>IF(AA502 = "", "",
    IF(ISNUMBER(SEARCH("Kiện", C502)),
       " GÓI " &amp; COUNTIF($C$13:C502, "*Kiện*") &amp; "/" &amp; COUNTIF($C$13:$C$1000, "*Kiện*") &amp; " " &amp; AA502,
       AA502)
)</f>
        <v/>
      </c>
      <c r="F502" s="206"/>
      <c r="G502" s="206"/>
      <c r="H502" s="206"/>
      <c r="I502" s="206"/>
      <c r="J502" s="206" t="str">
        <f t="shared" si="136"/>
        <v/>
      </c>
      <c r="K502" s="206" t="str">
        <f t="shared" si="124"/>
        <v/>
      </c>
      <c r="L502" s="206" t="str">
        <f t="shared" si="125"/>
        <v/>
      </c>
      <c r="M502" s="206" t="str">
        <f t="shared" si="126"/>
        <v/>
      </c>
      <c r="N502" s="206" t="str">
        <f t="shared" si="137"/>
        <v/>
      </c>
      <c r="O502" s="206" t="str">
        <f t="shared" si="127"/>
        <v/>
      </c>
      <c r="P502" s="165" t="str">
        <f t="shared" si="128"/>
        <v/>
      </c>
      <c r="Q502" s="207"/>
      <c r="R502" s="141" t="str">
        <f>IF(S502="IN",'BOM_Phan II'!$Y$3,"")</f>
        <v/>
      </c>
      <c r="S502" s="153" t="str">
        <f t="shared" si="129"/>
        <v/>
      </c>
      <c r="T502">
        <f t="shared" si="130"/>
        <v>6</v>
      </c>
      <c r="U502" s="208" t="str">
        <f t="shared" si="138"/>
        <v>KIỆN 9</v>
      </c>
      <c r="V502" s="208" t="str">
        <f t="shared" si="131"/>
        <v/>
      </c>
      <c r="W502" s="240"/>
      <c r="X502" s="240"/>
      <c r="Y502" s="240" t="str">
        <f t="shared" si="132"/>
        <v/>
      </c>
      <c r="Z502" s="240"/>
      <c r="AD502" s="232" t="str">
        <f t="shared" si="133"/>
        <v/>
      </c>
      <c r="AE502" s="204"/>
      <c r="AX502" s="3" t="str">
        <f t="shared" si="123"/>
        <v/>
      </c>
    </row>
    <row r="503" spans="1:50" s="155" customFormat="1" ht="30" hidden="1" customHeight="1">
      <c r="A503" s="141" t="str">
        <f t="shared" si="134"/>
        <v/>
      </c>
      <c r="B503" s="141" t="str">
        <f t="shared" si="135"/>
        <v/>
      </c>
      <c r="C503" s="205" t="str" cm="1">
        <f t="array" ref="C503">IF(D503="","",
    IF(AND(ISNUMBER(D503), D503=INT(D503)),
        $V$6 &amp; " " &amp; (IFERROR(MAX($Y$12:$Y502), 0) + 1),
        IF(ISNUMBER(SEARCH(".", D503)), "", INDEX($C$12:$C503, MATCH(2, 1/($C$12:$C503 &lt;&gt; ""))))
    )
)</f>
        <v/>
      </c>
      <c r="D503" s="206"/>
      <c r="E503" s="206" t="str">
        <f>IF(AA503 = "", "",
    IF(ISNUMBER(SEARCH("Kiện", C503)),
       " GÓI " &amp; COUNTIF($C$13:C503, "*Kiện*") &amp; "/" &amp; COUNTIF($C$13:$C$1000, "*Kiện*") &amp; " " &amp; AA503,
       AA503)
)</f>
        <v/>
      </c>
      <c r="F503" s="206"/>
      <c r="G503" s="206"/>
      <c r="H503" s="206"/>
      <c r="I503" s="206"/>
      <c r="J503" s="206" t="str">
        <f t="shared" si="136"/>
        <v/>
      </c>
      <c r="K503" s="206" t="str">
        <f t="shared" si="124"/>
        <v/>
      </c>
      <c r="L503" s="206" t="str">
        <f t="shared" si="125"/>
        <v/>
      </c>
      <c r="M503" s="206" t="str">
        <f t="shared" si="126"/>
        <v/>
      </c>
      <c r="N503" s="206" t="str">
        <f t="shared" si="137"/>
        <v/>
      </c>
      <c r="O503" s="206" t="str">
        <f t="shared" si="127"/>
        <v/>
      </c>
      <c r="P503" s="165" t="str">
        <f t="shared" si="128"/>
        <v/>
      </c>
      <c r="Q503" s="207"/>
      <c r="R503" s="141" t="str">
        <f>IF(S503="IN",'BOM_Phan II'!$Y$3,"")</f>
        <v/>
      </c>
      <c r="S503" s="153" t="str">
        <f t="shared" si="129"/>
        <v/>
      </c>
      <c r="T503">
        <f t="shared" si="130"/>
        <v>6</v>
      </c>
      <c r="U503" s="208" t="str">
        <f t="shared" si="138"/>
        <v>KIỆN 9</v>
      </c>
      <c r="V503" s="208" t="str">
        <f t="shared" si="131"/>
        <v/>
      </c>
      <c r="W503" s="240"/>
      <c r="X503" s="240"/>
      <c r="Y503" s="240" t="str">
        <f t="shared" si="132"/>
        <v/>
      </c>
      <c r="Z503" s="240"/>
      <c r="AD503" s="232" t="str">
        <f t="shared" si="133"/>
        <v/>
      </c>
      <c r="AE503" s="204"/>
      <c r="AX503" s="3" t="str">
        <f t="shared" si="123"/>
        <v/>
      </c>
    </row>
    <row r="504" spans="1:50" s="155" customFormat="1" ht="30" hidden="1" customHeight="1">
      <c r="A504" s="141" t="str">
        <f t="shared" si="134"/>
        <v/>
      </c>
      <c r="B504" s="141" t="str">
        <f t="shared" si="135"/>
        <v/>
      </c>
      <c r="C504" s="205" t="str" cm="1">
        <f t="array" ref="C504">IF(D504="","",
    IF(AND(ISNUMBER(D504), D504=INT(D504)),
        $V$6 &amp; " " &amp; (IFERROR(MAX($Y$12:$Y503), 0) + 1),
        IF(ISNUMBER(SEARCH(".", D504)), "", INDEX($C$12:$C504, MATCH(2, 1/($C$12:$C504 &lt;&gt; ""))))
    )
)</f>
        <v/>
      </c>
      <c r="D504" s="206"/>
      <c r="E504" s="206" t="str">
        <f>IF(AA504 = "", "",
    IF(ISNUMBER(SEARCH("Kiện", C504)),
       " GÓI " &amp; COUNTIF($C$13:C504, "*Kiện*") &amp; "/" &amp; COUNTIF($C$13:$C$1000, "*Kiện*") &amp; " " &amp; AA504,
       AA504)
)</f>
        <v/>
      </c>
      <c r="F504" s="206"/>
      <c r="G504" s="206"/>
      <c r="H504" s="206"/>
      <c r="I504" s="206"/>
      <c r="J504" s="206" t="str">
        <f t="shared" si="136"/>
        <v/>
      </c>
      <c r="K504" s="206" t="str">
        <f t="shared" si="124"/>
        <v/>
      </c>
      <c r="L504" s="206" t="str">
        <f t="shared" si="125"/>
        <v/>
      </c>
      <c r="M504" s="206" t="str">
        <f t="shared" si="126"/>
        <v/>
      </c>
      <c r="N504" s="206" t="str">
        <f t="shared" si="137"/>
        <v/>
      </c>
      <c r="O504" s="206" t="str">
        <f t="shared" si="127"/>
        <v/>
      </c>
      <c r="P504" s="165" t="str">
        <f t="shared" si="128"/>
        <v/>
      </c>
      <c r="Q504" s="207"/>
      <c r="R504" s="141" t="str">
        <f>IF(S504="IN",'BOM_Phan II'!$Y$3,"")</f>
        <v/>
      </c>
      <c r="S504" s="153" t="str">
        <f t="shared" si="129"/>
        <v/>
      </c>
      <c r="T504">
        <f t="shared" si="130"/>
        <v>6</v>
      </c>
      <c r="U504" s="208" t="str">
        <f t="shared" si="138"/>
        <v>KIỆN 9</v>
      </c>
      <c r="V504" s="208" t="str">
        <f t="shared" si="131"/>
        <v/>
      </c>
      <c r="W504" s="240"/>
      <c r="X504" s="240"/>
      <c r="Y504" s="240" t="str">
        <f t="shared" si="132"/>
        <v/>
      </c>
      <c r="Z504" s="240"/>
      <c r="AD504" s="232" t="str">
        <f t="shared" si="133"/>
        <v/>
      </c>
      <c r="AE504" s="204"/>
      <c r="AX504" s="3" t="str">
        <f t="shared" si="123"/>
        <v/>
      </c>
    </row>
    <row r="505" spans="1:50" s="155" customFormat="1" ht="30" hidden="1" customHeight="1">
      <c r="A505" s="141" t="str">
        <f t="shared" si="134"/>
        <v/>
      </c>
      <c r="B505" s="141" t="str">
        <f t="shared" si="135"/>
        <v/>
      </c>
      <c r="C505" s="205" t="str" cm="1">
        <f t="array" ref="C505">IF(D505="","",
    IF(AND(ISNUMBER(D505), D505=INT(D505)),
        $V$6 &amp; " " &amp; (IFERROR(MAX($Y$12:$Y504), 0) + 1),
        IF(ISNUMBER(SEARCH(".", D505)), "", INDEX($C$12:$C505, MATCH(2, 1/($C$12:$C505 &lt;&gt; ""))))
    )
)</f>
        <v/>
      </c>
      <c r="D505" s="206"/>
      <c r="E505" s="206" t="str">
        <f>IF(AA505 = "", "",
    IF(ISNUMBER(SEARCH("Kiện", C505)),
       " GÓI " &amp; COUNTIF($C$13:C505, "*Kiện*") &amp; "/" &amp; COUNTIF($C$13:$C$1000, "*Kiện*") &amp; " " &amp; AA505,
       AA505)
)</f>
        <v/>
      </c>
      <c r="F505" s="206"/>
      <c r="G505" s="206"/>
      <c r="H505" s="206"/>
      <c r="I505" s="206"/>
      <c r="J505" s="206" t="str">
        <f t="shared" si="136"/>
        <v/>
      </c>
      <c r="K505" s="206" t="str">
        <f t="shared" si="124"/>
        <v/>
      </c>
      <c r="L505" s="206" t="str">
        <f t="shared" si="125"/>
        <v/>
      </c>
      <c r="M505" s="206" t="str">
        <f t="shared" si="126"/>
        <v/>
      </c>
      <c r="N505" s="206" t="str">
        <f t="shared" si="137"/>
        <v/>
      </c>
      <c r="O505" s="206" t="str">
        <f t="shared" si="127"/>
        <v/>
      </c>
      <c r="P505" s="165" t="str">
        <f t="shared" si="128"/>
        <v/>
      </c>
      <c r="Q505" s="207"/>
      <c r="R505" s="141" t="str">
        <f>IF(S505="IN",'BOM_Phan II'!$Y$3,"")</f>
        <v/>
      </c>
      <c r="S505" s="153" t="str">
        <f t="shared" si="129"/>
        <v/>
      </c>
      <c r="T505">
        <f t="shared" si="130"/>
        <v>6</v>
      </c>
      <c r="U505" s="208" t="str">
        <f t="shared" si="138"/>
        <v>KIỆN 9</v>
      </c>
      <c r="V505" s="208" t="str">
        <f t="shared" si="131"/>
        <v/>
      </c>
      <c r="W505" s="240"/>
      <c r="X505" s="240"/>
      <c r="Y505" s="240" t="str">
        <f t="shared" si="132"/>
        <v/>
      </c>
      <c r="Z505" s="240"/>
      <c r="AD505" s="232" t="str">
        <f t="shared" si="133"/>
        <v/>
      </c>
      <c r="AE505" s="204"/>
      <c r="AX505" s="3" t="str">
        <f t="shared" si="123"/>
        <v/>
      </c>
    </row>
    <row r="506" spans="1:50" s="155" customFormat="1" ht="30" hidden="1" customHeight="1">
      <c r="A506" s="141" t="str">
        <f t="shared" si="134"/>
        <v/>
      </c>
      <c r="B506" s="141" t="str">
        <f t="shared" si="135"/>
        <v/>
      </c>
      <c r="C506" s="205" t="str" cm="1">
        <f t="array" ref="C506">IF(D506="","",
    IF(AND(ISNUMBER(D506), D506=INT(D506)),
        $V$6 &amp; " " &amp; (IFERROR(MAX($Y$12:$Y505), 0) + 1),
        IF(ISNUMBER(SEARCH(".", D506)), "", INDEX($C$12:$C506, MATCH(2, 1/($C$12:$C506 &lt;&gt; ""))))
    )
)</f>
        <v/>
      </c>
      <c r="D506" s="206"/>
      <c r="E506" s="206" t="str">
        <f>IF(AA506 = "", "",
    IF(ISNUMBER(SEARCH("Kiện", C506)),
       " GÓI " &amp; COUNTIF($C$13:C506, "*Kiện*") &amp; "/" &amp; COUNTIF($C$13:$C$1000, "*Kiện*") &amp; " " &amp; AA506,
       AA506)
)</f>
        <v/>
      </c>
      <c r="F506" s="206"/>
      <c r="G506" s="206"/>
      <c r="H506" s="206"/>
      <c r="I506" s="206"/>
      <c r="J506" s="206" t="str">
        <f t="shared" si="136"/>
        <v/>
      </c>
      <c r="K506" s="206" t="str">
        <f t="shared" si="124"/>
        <v/>
      </c>
      <c r="L506" s="206" t="str">
        <f t="shared" si="125"/>
        <v/>
      </c>
      <c r="M506" s="206" t="str">
        <f t="shared" si="126"/>
        <v/>
      </c>
      <c r="N506" s="206" t="str">
        <f t="shared" si="137"/>
        <v/>
      </c>
      <c r="O506" s="206" t="str">
        <f t="shared" si="127"/>
        <v/>
      </c>
      <c r="P506" s="165" t="str">
        <f t="shared" si="128"/>
        <v/>
      </c>
      <c r="Q506" s="207"/>
      <c r="R506" s="141" t="str">
        <f>IF(S506="IN",'BOM_Phan II'!$Y$3,"")</f>
        <v/>
      </c>
      <c r="S506" s="153" t="str">
        <f t="shared" si="129"/>
        <v/>
      </c>
      <c r="T506">
        <f t="shared" si="130"/>
        <v>6</v>
      </c>
      <c r="U506" s="208" t="str">
        <f t="shared" si="138"/>
        <v>KIỆN 9</v>
      </c>
      <c r="V506" s="208" t="str">
        <f t="shared" si="131"/>
        <v/>
      </c>
      <c r="W506" s="240"/>
      <c r="X506" s="240"/>
      <c r="Y506" s="240" t="str">
        <f t="shared" si="132"/>
        <v/>
      </c>
      <c r="Z506" s="240"/>
      <c r="AD506" s="232" t="str">
        <f t="shared" si="133"/>
        <v/>
      </c>
      <c r="AE506" s="204"/>
      <c r="AX506" s="3" t="str">
        <f t="shared" si="123"/>
        <v/>
      </c>
    </row>
    <row r="507" spans="1:50" s="155" customFormat="1" ht="30" hidden="1" customHeight="1">
      <c r="A507" s="141" t="str">
        <f t="shared" si="134"/>
        <v/>
      </c>
      <c r="B507" s="141" t="str">
        <f t="shared" si="135"/>
        <v/>
      </c>
      <c r="C507" s="205" t="str" cm="1">
        <f t="array" ref="C507">IF(D507="","",
    IF(AND(ISNUMBER(D507), D507=INT(D507)),
        $V$6 &amp; " " &amp; (IFERROR(MAX($Y$12:$Y506), 0) + 1),
        IF(ISNUMBER(SEARCH(".", D507)), "", INDEX($C$12:$C507, MATCH(2, 1/($C$12:$C507 &lt;&gt; ""))))
    )
)</f>
        <v/>
      </c>
      <c r="D507" s="206"/>
      <c r="E507" s="206" t="str">
        <f>IF(AA507 = "", "",
    IF(ISNUMBER(SEARCH("Kiện", C507)),
       " GÓI " &amp; COUNTIF($C$13:C507, "*Kiện*") &amp; "/" &amp; COUNTIF($C$13:$C$1000, "*Kiện*") &amp; " " &amp; AA507,
       AA507)
)</f>
        <v/>
      </c>
      <c r="F507" s="206"/>
      <c r="G507" s="206"/>
      <c r="H507" s="206"/>
      <c r="I507" s="206"/>
      <c r="J507" s="206" t="str">
        <f t="shared" si="136"/>
        <v/>
      </c>
      <c r="K507" s="206" t="str">
        <f t="shared" si="124"/>
        <v/>
      </c>
      <c r="L507" s="206" t="str">
        <f t="shared" si="125"/>
        <v/>
      </c>
      <c r="M507" s="206" t="str">
        <f t="shared" si="126"/>
        <v/>
      </c>
      <c r="N507" s="206" t="str">
        <f t="shared" si="137"/>
        <v/>
      </c>
      <c r="O507" s="206" t="str">
        <f t="shared" si="127"/>
        <v/>
      </c>
      <c r="P507" s="165" t="str">
        <f t="shared" si="128"/>
        <v/>
      </c>
      <c r="Q507" s="207"/>
      <c r="R507" s="141" t="str">
        <f>IF(S507="IN",'BOM_Phan II'!$Y$3,"")</f>
        <v/>
      </c>
      <c r="S507" s="153" t="str">
        <f t="shared" si="129"/>
        <v/>
      </c>
      <c r="T507">
        <f t="shared" si="130"/>
        <v>6</v>
      </c>
      <c r="U507" s="208" t="str">
        <f t="shared" si="138"/>
        <v>KIỆN 9</v>
      </c>
      <c r="V507" s="208" t="str">
        <f t="shared" si="131"/>
        <v/>
      </c>
      <c r="W507" s="240"/>
      <c r="X507" s="240"/>
      <c r="Y507" s="240" t="str">
        <f t="shared" si="132"/>
        <v/>
      </c>
      <c r="Z507" s="240"/>
      <c r="AD507" s="232" t="str">
        <f t="shared" si="133"/>
        <v/>
      </c>
      <c r="AE507" s="204"/>
      <c r="AX507" s="3" t="str">
        <f t="shared" si="123"/>
        <v/>
      </c>
    </row>
    <row r="508" spans="1:50" s="155" customFormat="1" ht="30" hidden="1" customHeight="1">
      <c r="A508" s="141" t="str">
        <f t="shared" si="134"/>
        <v/>
      </c>
      <c r="B508" s="141" t="str">
        <f t="shared" si="135"/>
        <v/>
      </c>
      <c r="C508" s="205" t="str" cm="1">
        <f t="array" ref="C508">IF(D508="","",
    IF(AND(ISNUMBER(D508), D508=INT(D508)),
        $V$6 &amp; " " &amp; (IFERROR(MAX($Y$12:$Y507), 0) + 1),
        IF(ISNUMBER(SEARCH(".", D508)), "", INDEX($C$12:$C508, MATCH(2, 1/($C$12:$C508 &lt;&gt; ""))))
    )
)</f>
        <v/>
      </c>
      <c r="D508" s="206"/>
      <c r="E508" s="206" t="str">
        <f>IF(AA508 = "", "",
    IF(ISNUMBER(SEARCH("Kiện", C508)),
       " GÓI " &amp; COUNTIF($C$13:C508, "*Kiện*") &amp; "/" &amp; COUNTIF($C$13:$C$1000, "*Kiện*") &amp; " " &amp; AA508,
       AA508)
)</f>
        <v/>
      </c>
      <c r="F508" s="206"/>
      <c r="G508" s="206"/>
      <c r="H508" s="206"/>
      <c r="I508" s="206"/>
      <c r="J508" s="206" t="str">
        <f t="shared" si="136"/>
        <v/>
      </c>
      <c r="K508" s="206" t="str">
        <f t="shared" si="124"/>
        <v/>
      </c>
      <c r="L508" s="206" t="str">
        <f t="shared" si="125"/>
        <v/>
      </c>
      <c r="M508" s="206" t="str">
        <f t="shared" si="126"/>
        <v/>
      </c>
      <c r="N508" s="206" t="str">
        <f t="shared" si="137"/>
        <v/>
      </c>
      <c r="O508" s="206" t="str">
        <f t="shared" si="127"/>
        <v/>
      </c>
      <c r="P508" s="165" t="str">
        <f t="shared" si="128"/>
        <v/>
      </c>
      <c r="Q508" s="207"/>
      <c r="R508" s="141" t="str">
        <f>IF(S508="IN",'BOM_Phan II'!$Y$3,"")</f>
        <v/>
      </c>
      <c r="S508" s="153" t="str">
        <f t="shared" si="129"/>
        <v/>
      </c>
      <c r="T508">
        <f t="shared" si="130"/>
        <v>6</v>
      </c>
      <c r="U508" s="208" t="str">
        <f t="shared" si="138"/>
        <v>KIỆN 9</v>
      </c>
      <c r="V508" s="208" t="str">
        <f t="shared" si="131"/>
        <v/>
      </c>
      <c r="W508" s="240"/>
      <c r="X508" s="240"/>
      <c r="Y508" s="240" t="str">
        <f t="shared" si="132"/>
        <v/>
      </c>
      <c r="Z508" s="240"/>
      <c r="AD508" s="232" t="str">
        <f t="shared" si="133"/>
        <v/>
      </c>
      <c r="AE508" s="204"/>
      <c r="AX508" s="3" t="str">
        <f t="shared" si="123"/>
        <v/>
      </c>
    </row>
    <row r="509" spans="1:50" s="155" customFormat="1" ht="30" hidden="1" customHeight="1">
      <c r="A509" s="141" t="str">
        <f t="shared" si="134"/>
        <v/>
      </c>
      <c r="B509" s="141" t="str">
        <f t="shared" si="135"/>
        <v/>
      </c>
      <c r="C509" s="205" t="str" cm="1">
        <f t="array" ref="C509">IF(D509="","",
    IF(AND(ISNUMBER(D509), D509=INT(D509)),
        $V$6 &amp; " " &amp; (IFERROR(MAX($Y$12:$Y508), 0) + 1),
        IF(ISNUMBER(SEARCH(".", D509)), "", INDEX($C$12:$C509, MATCH(2, 1/($C$12:$C509 &lt;&gt; ""))))
    )
)</f>
        <v/>
      </c>
      <c r="D509" s="206"/>
      <c r="E509" s="206" t="str">
        <f>IF(AA509 = "", "",
    IF(ISNUMBER(SEARCH("Kiện", C509)),
       " GÓI " &amp; COUNTIF($C$13:C509, "*Kiện*") &amp; "/" &amp; COUNTIF($C$13:$C$1000, "*Kiện*") &amp; " " &amp; AA509,
       AA509)
)</f>
        <v/>
      </c>
      <c r="F509" s="206"/>
      <c r="G509" s="206"/>
      <c r="H509" s="206"/>
      <c r="I509" s="206"/>
      <c r="J509" s="206" t="str">
        <f t="shared" si="136"/>
        <v/>
      </c>
      <c r="K509" s="206" t="str">
        <f t="shared" si="124"/>
        <v/>
      </c>
      <c r="L509" s="206" t="str">
        <f t="shared" si="125"/>
        <v/>
      </c>
      <c r="M509" s="206" t="str">
        <f t="shared" si="126"/>
        <v/>
      </c>
      <c r="N509" s="206" t="str">
        <f t="shared" si="137"/>
        <v/>
      </c>
      <c r="O509" s="206" t="str">
        <f t="shared" si="127"/>
        <v/>
      </c>
      <c r="P509" s="165" t="str">
        <f t="shared" si="128"/>
        <v/>
      </c>
      <c r="Q509" s="207"/>
      <c r="R509" s="141" t="str">
        <f>IF(S509="IN",'BOM_Phan II'!$Y$3,"")</f>
        <v/>
      </c>
      <c r="S509" s="153" t="str">
        <f t="shared" si="129"/>
        <v/>
      </c>
      <c r="T509">
        <f t="shared" si="130"/>
        <v>6</v>
      </c>
      <c r="U509" s="208" t="str">
        <f t="shared" si="138"/>
        <v>KIỆN 9</v>
      </c>
      <c r="V509" s="208" t="str">
        <f t="shared" si="131"/>
        <v/>
      </c>
      <c r="W509" s="240"/>
      <c r="X509" s="240"/>
      <c r="Y509" s="240" t="str">
        <f t="shared" si="132"/>
        <v/>
      </c>
      <c r="Z509" s="240"/>
      <c r="AD509" s="232" t="str">
        <f t="shared" si="133"/>
        <v/>
      </c>
      <c r="AE509" s="204"/>
      <c r="AX509" s="3" t="str">
        <f t="shared" si="123"/>
        <v/>
      </c>
    </row>
    <row r="510" spans="1:50" s="155" customFormat="1" ht="30" hidden="1" customHeight="1">
      <c r="A510" s="141" t="str">
        <f t="shared" si="134"/>
        <v/>
      </c>
      <c r="B510" s="141" t="str">
        <f t="shared" si="135"/>
        <v/>
      </c>
      <c r="C510" s="205" t="str" cm="1">
        <f t="array" ref="C510">IF(D510="","",
    IF(AND(ISNUMBER(D510), D510=INT(D510)),
        $V$6 &amp; " " &amp; (IFERROR(MAX($Y$12:$Y509), 0) + 1),
        IF(ISNUMBER(SEARCH(".", D510)), "", INDEX($C$12:$C510, MATCH(2, 1/($C$12:$C510 &lt;&gt; ""))))
    )
)</f>
        <v/>
      </c>
      <c r="D510" s="206"/>
      <c r="E510" s="206" t="str">
        <f>IF(AA510 = "", "",
    IF(ISNUMBER(SEARCH("Kiện", C510)),
       " GÓI " &amp; COUNTIF($C$13:C510, "*Kiện*") &amp; "/" &amp; COUNTIF($C$13:$C$1000, "*Kiện*") &amp; " " &amp; AA510,
       AA510)
)</f>
        <v/>
      </c>
      <c r="F510" s="206"/>
      <c r="G510" s="206"/>
      <c r="H510" s="206"/>
      <c r="I510" s="206"/>
      <c r="J510" s="206" t="str">
        <f t="shared" si="136"/>
        <v/>
      </c>
      <c r="K510" s="206" t="str">
        <f t="shared" si="124"/>
        <v/>
      </c>
      <c r="L510" s="206" t="str">
        <f t="shared" si="125"/>
        <v/>
      </c>
      <c r="M510" s="206" t="str">
        <f t="shared" si="126"/>
        <v/>
      </c>
      <c r="N510" s="206" t="str">
        <f t="shared" si="137"/>
        <v/>
      </c>
      <c r="O510" s="206" t="str">
        <f t="shared" si="127"/>
        <v/>
      </c>
      <c r="P510" s="165" t="str">
        <f t="shared" si="128"/>
        <v/>
      </c>
      <c r="Q510" s="207"/>
      <c r="R510" s="141" t="str">
        <f>IF(S510="IN",'BOM_Phan II'!$Y$3,"")</f>
        <v/>
      </c>
      <c r="S510" s="153" t="str">
        <f t="shared" si="129"/>
        <v/>
      </c>
      <c r="T510">
        <f t="shared" si="130"/>
        <v>6</v>
      </c>
      <c r="U510" s="208" t="str">
        <f t="shared" si="138"/>
        <v>KIỆN 9</v>
      </c>
      <c r="V510" s="208" t="str">
        <f t="shared" si="131"/>
        <v/>
      </c>
      <c r="W510" s="240"/>
      <c r="X510" s="240"/>
      <c r="Y510" s="240" t="str">
        <f t="shared" si="132"/>
        <v/>
      </c>
      <c r="Z510" s="240"/>
      <c r="AD510" s="232" t="str">
        <f t="shared" si="133"/>
        <v/>
      </c>
      <c r="AE510" s="204"/>
      <c r="AX510" s="3" t="str">
        <f t="shared" si="123"/>
        <v/>
      </c>
    </row>
    <row r="511" spans="1:50" s="155" customFormat="1" ht="30" hidden="1" customHeight="1">
      <c r="A511" s="141" t="str">
        <f t="shared" si="134"/>
        <v/>
      </c>
      <c r="B511" s="141" t="str">
        <f t="shared" si="135"/>
        <v/>
      </c>
      <c r="C511" s="205" t="str" cm="1">
        <f t="array" ref="C511">IF(D511="","",
    IF(AND(ISNUMBER(D511), D511=INT(D511)),
        $V$6 &amp; " " &amp; (IFERROR(MAX($Y$12:$Y510), 0) + 1),
        IF(ISNUMBER(SEARCH(".", D511)), "", INDEX($C$12:$C511, MATCH(2, 1/($C$12:$C511 &lt;&gt; ""))))
    )
)</f>
        <v/>
      </c>
      <c r="D511" s="206"/>
      <c r="E511" s="206" t="str">
        <f>IF(AA511 = "", "",
    IF(ISNUMBER(SEARCH("Kiện", C511)),
       " GÓI " &amp; COUNTIF($C$13:C511, "*Kiện*") &amp; "/" &amp; COUNTIF($C$13:$C$1000, "*Kiện*") &amp; " " &amp; AA511,
       AA511)
)</f>
        <v/>
      </c>
      <c r="F511" s="206"/>
      <c r="G511" s="206"/>
      <c r="H511" s="206"/>
      <c r="I511" s="206"/>
      <c r="J511" s="206" t="str">
        <f t="shared" si="136"/>
        <v/>
      </c>
      <c r="K511" s="206" t="str">
        <f t="shared" si="124"/>
        <v/>
      </c>
      <c r="L511" s="206" t="str">
        <f t="shared" si="125"/>
        <v/>
      </c>
      <c r="M511" s="206" t="str">
        <f t="shared" si="126"/>
        <v/>
      </c>
      <c r="N511" s="206" t="str">
        <f t="shared" si="137"/>
        <v/>
      </c>
      <c r="O511" s="206" t="str">
        <f t="shared" si="127"/>
        <v/>
      </c>
      <c r="P511" s="165" t="str">
        <f t="shared" si="128"/>
        <v/>
      </c>
      <c r="Q511" s="207"/>
      <c r="R511" s="141" t="str">
        <f>IF(S511="IN",'BOM_Phan II'!$Y$3,"")</f>
        <v/>
      </c>
      <c r="S511" s="153" t="str">
        <f t="shared" si="129"/>
        <v/>
      </c>
      <c r="T511">
        <f t="shared" si="130"/>
        <v>6</v>
      </c>
      <c r="U511" s="208" t="str">
        <f t="shared" si="138"/>
        <v>KIỆN 9</v>
      </c>
      <c r="V511" s="208" t="str">
        <f t="shared" si="131"/>
        <v/>
      </c>
      <c r="W511" s="240"/>
      <c r="X511" s="240"/>
      <c r="Y511" s="240" t="str">
        <f t="shared" si="132"/>
        <v/>
      </c>
      <c r="Z511" s="240"/>
      <c r="AD511" s="232" t="str">
        <f t="shared" si="133"/>
        <v/>
      </c>
      <c r="AE511" s="204"/>
      <c r="AX511" s="3" t="str">
        <f t="shared" si="123"/>
        <v/>
      </c>
    </row>
    <row r="512" spans="1:50" s="155" customFormat="1" ht="30" hidden="1" customHeight="1">
      <c r="A512" s="141" t="str">
        <f t="shared" si="134"/>
        <v/>
      </c>
      <c r="B512" s="141" t="str">
        <f t="shared" si="135"/>
        <v/>
      </c>
      <c r="C512" s="205" t="str" cm="1">
        <f t="array" ref="C512">IF(D512="","",
    IF(AND(ISNUMBER(D512), D512=INT(D512)),
        $V$6 &amp; " " &amp; (IFERROR(MAX($Y$12:$Y511), 0) + 1),
        IF(ISNUMBER(SEARCH(".", D512)), "", INDEX($C$12:$C512, MATCH(2, 1/($C$12:$C512 &lt;&gt; ""))))
    )
)</f>
        <v/>
      </c>
      <c r="D512" s="206"/>
      <c r="E512" s="206" t="str">
        <f>IF(AA512 = "", "",
    IF(ISNUMBER(SEARCH("Kiện", C512)),
       " GÓI " &amp; COUNTIF($C$13:C512, "*Kiện*") &amp; "/" &amp; COUNTIF($C$13:$C$1000, "*Kiện*") &amp; " " &amp; AA512,
       AA512)
)</f>
        <v/>
      </c>
      <c r="F512" s="206"/>
      <c r="G512" s="206"/>
      <c r="H512" s="206"/>
      <c r="I512" s="206"/>
      <c r="J512" s="206" t="str">
        <f t="shared" si="136"/>
        <v/>
      </c>
      <c r="K512" s="206" t="str">
        <f t="shared" si="124"/>
        <v/>
      </c>
      <c r="L512" s="206" t="str">
        <f t="shared" si="125"/>
        <v/>
      </c>
      <c r="M512" s="206" t="str">
        <f t="shared" si="126"/>
        <v/>
      </c>
      <c r="N512" s="206" t="str">
        <f t="shared" si="137"/>
        <v/>
      </c>
      <c r="O512" s="206" t="str">
        <f t="shared" si="127"/>
        <v/>
      </c>
      <c r="P512" s="165" t="str">
        <f t="shared" si="128"/>
        <v/>
      </c>
      <c r="Q512" s="207"/>
      <c r="R512" s="141" t="str">
        <f>IF(S512="IN",'BOM_Phan II'!$Y$3,"")</f>
        <v/>
      </c>
      <c r="S512" s="153" t="str">
        <f t="shared" si="129"/>
        <v/>
      </c>
      <c r="T512">
        <f t="shared" si="130"/>
        <v>6</v>
      </c>
      <c r="U512" s="208" t="str">
        <f t="shared" si="138"/>
        <v>KIỆN 9</v>
      </c>
      <c r="V512" s="208" t="str">
        <f t="shared" si="131"/>
        <v/>
      </c>
      <c r="W512" s="240"/>
      <c r="X512" s="240"/>
      <c r="Y512" s="240" t="str">
        <f t="shared" si="132"/>
        <v/>
      </c>
      <c r="Z512" s="240"/>
      <c r="AD512" s="232" t="str">
        <f t="shared" si="133"/>
        <v/>
      </c>
      <c r="AE512" s="204"/>
      <c r="AX512" s="3" t="str">
        <f t="shared" si="123"/>
        <v/>
      </c>
    </row>
    <row r="513" spans="1:50" s="155" customFormat="1" ht="30" hidden="1" customHeight="1">
      <c r="A513" s="141" t="str">
        <f t="shared" si="134"/>
        <v/>
      </c>
      <c r="B513" s="141" t="str">
        <f t="shared" si="135"/>
        <v/>
      </c>
      <c r="C513" s="205" t="str" cm="1">
        <f t="array" ref="C513">IF(D513="","",
    IF(AND(ISNUMBER(D513), D513=INT(D513)),
        $V$6 &amp; " " &amp; (IFERROR(MAX($Y$12:$Y512), 0) + 1),
        IF(ISNUMBER(SEARCH(".", D513)), "", INDEX($C$12:$C513, MATCH(2, 1/($C$12:$C513 &lt;&gt; ""))))
    )
)</f>
        <v/>
      </c>
      <c r="D513" s="206"/>
      <c r="E513" s="206" t="str">
        <f>IF(AA513 = "", "",
    IF(ISNUMBER(SEARCH("Kiện", C513)),
       " GÓI " &amp; COUNTIF($C$13:C513, "*Kiện*") &amp; "/" &amp; COUNTIF($C$13:$C$1000, "*Kiện*") &amp; " " &amp; AA513,
       AA513)
)</f>
        <v/>
      </c>
      <c r="F513" s="206"/>
      <c r="G513" s="206"/>
      <c r="H513" s="206"/>
      <c r="I513" s="206"/>
      <c r="J513" s="206" t="str">
        <f t="shared" si="136"/>
        <v/>
      </c>
      <c r="K513" s="206" t="str">
        <f t="shared" si="124"/>
        <v/>
      </c>
      <c r="L513" s="206" t="str">
        <f t="shared" si="125"/>
        <v/>
      </c>
      <c r="M513" s="206" t="str">
        <f t="shared" si="126"/>
        <v/>
      </c>
      <c r="N513" s="206" t="str">
        <f t="shared" si="137"/>
        <v/>
      </c>
      <c r="O513" s="206" t="str">
        <f t="shared" si="127"/>
        <v/>
      </c>
      <c r="P513" s="165" t="str">
        <f t="shared" si="128"/>
        <v/>
      </c>
      <c r="Q513" s="207"/>
      <c r="R513" s="141" t="str">
        <f>IF(S513="IN",'BOM_Phan II'!$Y$3,"")</f>
        <v/>
      </c>
      <c r="S513" s="153" t="str">
        <f t="shared" si="129"/>
        <v/>
      </c>
      <c r="T513">
        <f t="shared" si="130"/>
        <v>6</v>
      </c>
      <c r="U513" s="208" t="str">
        <f t="shared" si="138"/>
        <v>KIỆN 9</v>
      </c>
      <c r="V513" s="208" t="str">
        <f t="shared" si="131"/>
        <v/>
      </c>
      <c r="W513" s="240"/>
      <c r="X513" s="240"/>
      <c r="Y513" s="240" t="str">
        <f t="shared" si="132"/>
        <v/>
      </c>
      <c r="Z513" s="240"/>
      <c r="AD513" s="232" t="str">
        <f t="shared" si="133"/>
        <v/>
      </c>
      <c r="AE513" s="204"/>
      <c r="AX513" s="3" t="str">
        <f t="shared" si="123"/>
        <v/>
      </c>
    </row>
    <row r="514" spans="1:50" s="155" customFormat="1" ht="30" hidden="1" customHeight="1">
      <c r="A514" s="141" t="str">
        <f t="shared" si="134"/>
        <v/>
      </c>
      <c r="B514" s="141" t="str">
        <f t="shared" si="135"/>
        <v/>
      </c>
      <c r="C514" s="205" t="str" cm="1">
        <f t="array" ref="C514">IF(D514="","",
    IF(AND(ISNUMBER(D514), D514=INT(D514)),
        $V$6 &amp; " " &amp; (IFERROR(MAX($Y$12:$Y513), 0) + 1),
        IF(ISNUMBER(SEARCH(".", D514)), "", INDEX($C$12:$C514, MATCH(2, 1/($C$12:$C514 &lt;&gt; ""))))
    )
)</f>
        <v/>
      </c>
      <c r="D514" s="206"/>
      <c r="E514" s="206" t="str">
        <f>IF(AA514 = "", "",
    IF(ISNUMBER(SEARCH("Kiện", C514)),
       " GÓI " &amp; COUNTIF($C$13:C514, "*Kiện*") &amp; "/" &amp; COUNTIF($C$13:$C$1000, "*Kiện*") &amp; " " &amp; AA514,
       AA514)
)</f>
        <v/>
      </c>
      <c r="F514" s="206"/>
      <c r="G514" s="206"/>
      <c r="H514" s="206"/>
      <c r="I514" s="206"/>
      <c r="J514" s="206" t="str">
        <f t="shared" si="136"/>
        <v/>
      </c>
      <c r="K514" s="206" t="str">
        <f t="shared" si="124"/>
        <v/>
      </c>
      <c r="L514" s="206" t="str">
        <f t="shared" si="125"/>
        <v/>
      </c>
      <c r="M514" s="206" t="str">
        <f t="shared" si="126"/>
        <v/>
      </c>
      <c r="N514" s="206" t="str">
        <f t="shared" si="137"/>
        <v/>
      </c>
      <c r="O514" s="206" t="str">
        <f t="shared" si="127"/>
        <v/>
      </c>
      <c r="P514" s="165" t="str">
        <f t="shared" si="128"/>
        <v/>
      </c>
      <c r="Q514" s="207"/>
      <c r="R514" s="141" t="str">
        <f>IF(S514="IN",'BOM_Phan II'!$Y$3,"")</f>
        <v/>
      </c>
      <c r="S514" s="153" t="str">
        <f t="shared" si="129"/>
        <v/>
      </c>
      <c r="T514">
        <f t="shared" si="130"/>
        <v>6</v>
      </c>
      <c r="U514" s="208" t="str">
        <f t="shared" si="138"/>
        <v>KIỆN 9</v>
      </c>
      <c r="V514" s="208" t="str">
        <f t="shared" si="131"/>
        <v/>
      </c>
      <c r="W514" s="240"/>
      <c r="X514" s="240"/>
      <c r="Y514" s="240" t="str">
        <f t="shared" si="132"/>
        <v/>
      </c>
      <c r="Z514" s="240"/>
      <c r="AD514" s="232" t="str">
        <f t="shared" si="133"/>
        <v/>
      </c>
      <c r="AE514" s="204"/>
      <c r="AX514" s="3" t="str">
        <f t="shared" si="123"/>
        <v/>
      </c>
    </row>
    <row r="515" spans="1:50" s="155" customFormat="1" ht="30" hidden="1" customHeight="1">
      <c r="A515" s="141" t="str">
        <f t="shared" si="134"/>
        <v/>
      </c>
      <c r="B515" s="141" t="str">
        <f t="shared" si="135"/>
        <v/>
      </c>
      <c r="C515" s="205" t="str" cm="1">
        <f t="array" ref="C515">IF(D515="","",
    IF(AND(ISNUMBER(D515), D515=INT(D515)),
        $V$6 &amp; " " &amp; (IFERROR(MAX($Y$12:$Y514), 0) + 1),
        IF(ISNUMBER(SEARCH(".", D515)), "", INDEX($C$12:$C515, MATCH(2, 1/($C$12:$C515 &lt;&gt; ""))))
    )
)</f>
        <v/>
      </c>
      <c r="D515" s="206"/>
      <c r="E515" s="206" t="str">
        <f>IF(AA515 = "", "",
    IF(ISNUMBER(SEARCH("Kiện", C515)),
       " GÓI " &amp; COUNTIF($C$13:C515, "*Kiện*") &amp; "/" &amp; COUNTIF($C$13:$C$1000, "*Kiện*") &amp; " " &amp; AA515,
       AA515)
)</f>
        <v/>
      </c>
      <c r="F515" s="206"/>
      <c r="G515" s="206"/>
      <c r="H515" s="206"/>
      <c r="I515" s="206"/>
      <c r="J515" s="206" t="str">
        <f t="shared" si="136"/>
        <v/>
      </c>
      <c r="K515" s="206" t="str">
        <f t="shared" si="124"/>
        <v/>
      </c>
      <c r="L515" s="206" t="str">
        <f t="shared" si="125"/>
        <v/>
      </c>
      <c r="M515" s="206" t="str">
        <f t="shared" si="126"/>
        <v/>
      </c>
      <c r="N515" s="206" t="str">
        <f t="shared" si="137"/>
        <v/>
      </c>
      <c r="O515" s="206" t="str">
        <f t="shared" si="127"/>
        <v/>
      </c>
      <c r="P515" s="165" t="str">
        <f t="shared" si="128"/>
        <v/>
      </c>
      <c r="Q515" s="207"/>
      <c r="R515" s="141" t="str">
        <f>IF(S515="IN",'BOM_Phan II'!$Y$3,"")</f>
        <v/>
      </c>
      <c r="S515" s="153" t="str">
        <f t="shared" si="129"/>
        <v/>
      </c>
      <c r="T515">
        <f t="shared" si="130"/>
        <v>6</v>
      </c>
      <c r="U515" s="208" t="str">
        <f t="shared" si="138"/>
        <v>KIỆN 9</v>
      </c>
      <c r="V515" s="208" t="str">
        <f t="shared" si="131"/>
        <v/>
      </c>
      <c r="W515" s="240"/>
      <c r="X515" s="240"/>
      <c r="Y515" s="240" t="str">
        <f t="shared" si="132"/>
        <v/>
      </c>
      <c r="Z515" s="240"/>
      <c r="AD515" s="232" t="str">
        <f t="shared" si="133"/>
        <v/>
      </c>
      <c r="AE515" s="204"/>
      <c r="AX515" s="3" t="str">
        <f t="shared" si="123"/>
        <v/>
      </c>
    </row>
    <row r="516" spans="1:50" s="155" customFormat="1" ht="30" hidden="1" customHeight="1">
      <c r="A516" s="141" t="str">
        <f t="shared" si="134"/>
        <v/>
      </c>
      <c r="B516" s="141" t="str">
        <f t="shared" si="135"/>
        <v/>
      </c>
      <c r="C516" s="205" t="str" cm="1">
        <f t="array" ref="C516">IF(D516="","",
    IF(AND(ISNUMBER(D516), D516=INT(D516)),
        $V$6 &amp; " " &amp; (IFERROR(MAX($Y$12:$Y515), 0) + 1),
        IF(ISNUMBER(SEARCH(".", D516)), "", INDEX($C$12:$C516, MATCH(2, 1/($C$12:$C516 &lt;&gt; ""))))
    )
)</f>
        <v/>
      </c>
      <c r="D516" s="206"/>
      <c r="E516" s="206" t="str">
        <f>IF(AA516 = "", "",
    IF(ISNUMBER(SEARCH("Kiện", C516)),
       " GÓI " &amp; COUNTIF($C$13:C516, "*Kiện*") &amp; "/" &amp; COUNTIF($C$13:$C$1000, "*Kiện*") &amp; " " &amp; AA516,
       AA516)
)</f>
        <v/>
      </c>
      <c r="F516" s="206"/>
      <c r="G516" s="206"/>
      <c r="H516" s="206"/>
      <c r="I516" s="206"/>
      <c r="J516" s="206" t="str">
        <f t="shared" si="136"/>
        <v/>
      </c>
      <c r="K516" s="206" t="str">
        <f t="shared" si="124"/>
        <v/>
      </c>
      <c r="L516" s="206" t="str">
        <f t="shared" si="125"/>
        <v/>
      </c>
      <c r="M516" s="206" t="str">
        <f t="shared" si="126"/>
        <v/>
      </c>
      <c r="N516" s="206" t="str">
        <f t="shared" si="137"/>
        <v/>
      </c>
      <c r="O516" s="206" t="str">
        <f t="shared" si="127"/>
        <v/>
      </c>
      <c r="P516" s="165" t="str">
        <f t="shared" si="128"/>
        <v/>
      </c>
      <c r="Q516" s="207"/>
      <c r="R516" s="141" t="str">
        <f>IF(S516="IN",'BOM_Phan II'!$Y$3,"")</f>
        <v/>
      </c>
      <c r="S516" s="153" t="str">
        <f t="shared" si="129"/>
        <v/>
      </c>
      <c r="T516">
        <f t="shared" si="130"/>
        <v>6</v>
      </c>
      <c r="U516" s="208" t="str">
        <f t="shared" si="138"/>
        <v>KIỆN 9</v>
      </c>
      <c r="V516" s="208" t="str">
        <f t="shared" si="131"/>
        <v/>
      </c>
      <c r="W516" s="240"/>
      <c r="X516" s="240"/>
      <c r="Y516" s="240" t="str">
        <f t="shared" si="132"/>
        <v/>
      </c>
      <c r="Z516" s="240"/>
      <c r="AD516" s="232" t="str">
        <f t="shared" si="133"/>
        <v/>
      </c>
      <c r="AE516" s="204"/>
      <c r="AX516" s="3" t="str">
        <f t="shared" si="123"/>
        <v/>
      </c>
    </row>
    <row r="517" spans="1:50" s="155" customFormat="1" ht="30" hidden="1" customHeight="1">
      <c r="A517" s="141" t="str">
        <f t="shared" si="134"/>
        <v/>
      </c>
      <c r="B517" s="141" t="str">
        <f t="shared" si="135"/>
        <v/>
      </c>
      <c r="C517" s="205" t="str" cm="1">
        <f t="array" ref="C517">IF(D517="","",
    IF(AND(ISNUMBER(D517), D517=INT(D517)),
        $V$6 &amp; " " &amp; (IFERROR(MAX($Y$12:$Y516), 0) + 1),
        IF(ISNUMBER(SEARCH(".", D517)), "", INDEX($C$12:$C517, MATCH(2, 1/($C$12:$C517 &lt;&gt; ""))))
    )
)</f>
        <v/>
      </c>
      <c r="D517" s="206"/>
      <c r="E517" s="206" t="str">
        <f>IF(AA517 = "", "",
    IF(ISNUMBER(SEARCH("Kiện", C517)),
       " GÓI " &amp; COUNTIF($C$13:C517, "*Kiện*") &amp; "/" &amp; COUNTIF($C$13:$C$1000, "*Kiện*") &amp; " " &amp; AA517,
       AA517)
)</f>
        <v/>
      </c>
      <c r="F517" s="206"/>
      <c r="G517" s="206"/>
      <c r="H517" s="206"/>
      <c r="I517" s="206"/>
      <c r="J517" s="206" t="str">
        <f t="shared" si="136"/>
        <v/>
      </c>
      <c r="K517" s="206" t="str">
        <f t="shared" si="124"/>
        <v/>
      </c>
      <c r="L517" s="206" t="str">
        <f t="shared" si="125"/>
        <v/>
      </c>
      <c r="M517" s="206" t="str">
        <f t="shared" si="126"/>
        <v/>
      </c>
      <c r="N517" s="206" t="str">
        <f t="shared" si="137"/>
        <v/>
      </c>
      <c r="O517" s="206" t="str">
        <f t="shared" si="127"/>
        <v/>
      </c>
      <c r="P517" s="165" t="str">
        <f t="shared" si="128"/>
        <v/>
      </c>
      <c r="Q517" s="207"/>
      <c r="R517" s="141" t="str">
        <f>IF(S517="IN",'BOM_Phan II'!$Y$3,"")</f>
        <v/>
      </c>
      <c r="S517" s="153" t="str">
        <f t="shared" si="129"/>
        <v/>
      </c>
      <c r="T517">
        <f t="shared" si="130"/>
        <v>6</v>
      </c>
      <c r="U517" s="208" t="str">
        <f t="shared" si="138"/>
        <v>KIỆN 9</v>
      </c>
      <c r="V517" s="208" t="str">
        <f t="shared" si="131"/>
        <v/>
      </c>
      <c r="W517" s="240"/>
      <c r="X517" s="240"/>
      <c r="Y517" s="240" t="str">
        <f t="shared" si="132"/>
        <v/>
      </c>
      <c r="Z517" s="240"/>
      <c r="AD517" s="232" t="str">
        <f t="shared" si="133"/>
        <v/>
      </c>
      <c r="AE517" s="204"/>
      <c r="AX517" s="3" t="str">
        <f t="shared" si="123"/>
        <v/>
      </c>
    </row>
    <row r="518" spans="1:50" s="155" customFormat="1" ht="30" hidden="1" customHeight="1">
      <c r="A518" s="141" t="str">
        <f t="shared" si="134"/>
        <v/>
      </c>
      <c r="B518" s="141" t="str">
        <f t="shared" si="135"/>
        <v/>
      </c>
      <c r="C518" s="205" t="str" cm="1">
        <f t="array" ref="C518">IF(D518="","",
    IF(AND(ISNUMBER(D518), D518=INT(D518)),
        $V$6 &amp; " " &amp; (IFERROR(MAX($Y$12:$Y517), 0) + 1),
        IF(ISNUMBER(SEARCH(".", D518)), "", INDEX($C$12:$C518, MATCH(2, 1/($C$12:$C518 &lt;&gt; ""))))
    )
)</f>
        <v/>
      </c>
      <c r="D518" s="206"/>
      <c r="E518" s="206" t="str">
        <f>IF(AA518 = "", "",
    IF(ISNUMBER(SEARCH("Kiện", C518)),
       " GÓI " &amp; COUNTIF($C$13:C518, "*Kiện*") &amp; "/" &amp; COUNTIF($C$13:$C$1000, "*Kiện*") &amp; " " &amp; AA518,
       AA518)
)</f>
        <v/>
      </c>
      <c r="F518" s="206"/>
      <c r="G518" s="206"/>
      <c r="H518" s="206"/>
      <c r="I518" s="206"/>
      <c r="J518" s="206" t="str">
        <f t="shared" si="136"/>
        <v/>
      </c>
      <c r="K518" s="206" t="str">
        <f t="shared" si="124"/>
        <v/>
      </c>
      <c r="L518" s="206" t="str">
        <f t="shared" si="125"/>
        <v/>
      </c>
      <c r="M518" s="206" t="str">
        <f t="shared" si="126"/>
        <v/>
      </c>
      <c r="N518" s="206" t="str">
        <f t="shared" si="137"/>
        <v/>
      </c>
      <c r="O518" s="206" t="str">
        <f t="shared" si="127"/>
        <v/>
      </c>
      <c r="P518" s="165" t="str">
        <f t="shared" si="128"/>
        <v/>
      </c>
      <c r="Q518" s="207"/>
      <c r="R518" s="141" t="str">
        <f>IF(S518="IN",'BOM_Phan II'!$Y$3,"")</f>
        <v/>
      </c>
      <c r="S518" s="153" t="str">
        <f t="shared" si="129"/>
        <v/>
      </c>
      <c r="T518">
        <f t="shared" si="130"/>
        <v>6</v>
      </c>
      <c r="U518" s="208" t="str">
        <f t="shared" si="138"/>
        <v>KIỆN 9</v>
      </c>
      <c r="V518" s="208" t="str">
        <f t="shared" si="131"/>
        <v/>
      </c>
      <c r="W518" s="240"/>
      <c r="X518" s="240"/>
      <c r="Y518" s="240" t="str">
        <f t="shared" si="132"/>
        <v/>
      </c>
      <c r="Z518" s="240"/>
      <c r="AD518" s="232" t="str">
        <f t="shared" si="133"/>
        <v/>
      </c>
      <c r="AE518" s="204"/>
      <c r="AX518" s="3" t="str">
        <f t="shared" si="123"/>
        <v/>
      </c>
    </row>
    <row r="519" spans="1:50" s="155" customFormat="1" ht="30" hidden="1" customHeight="1">
      <c r="A519" s="141" t="str">
        <f t="shared" si="134"/>
        <v/>
      </c>
      <c r="B519" s="141" t="str">
        <f t="shared" si="135"/>
        <v/>
      </c>
      <c r="C519" s="205" t="str" cm="1">
        <f t="array" ref="C519">IF(D519="","",
    IF(AND(ISNUMBER(D519), D519=INT(D519)),
        $V$6 &amp; " " &amp; (IFERROR(MAX($Y$12:$Y518), 0) + 1),
        IF(ISNUMBER(SEARCH(".", D519)), "", INDEX($C$12:$C519, MATCH(2, 1/($C$12:$C519 &lt;&gt; ""))))
    )
)</f>
        <v/>
      </c>
      <c r="D519" s="206"/>
      <c r="E519" s="206" t="str">
        <f>IF(AA519 = "", "",
    IF(ISNUMBER(SEARCH("Kiện", C519)),
       " GÓI " &amp; COUNTIF($C$13:C519, "*Kiện*") &amp; "/" &amp; COUNTIF($C$13:$C$1000, "*Kiện*") &amp; " " &amp; AA519,
       AA519)
)</f>
        <v/>
      </c>
      <c r="F519" s="206"/>
      <c r="G519" s="206"/>
      <c r="H519" s="206"/>
      <c r="I519" s="206"/>
      <c r="J519" s="206" t="str">
        <f t="shared" si="136"/>
        <v/>
      </c>
      <c r="K519" s="206" t="str">
        <f t="shared" si="124"/>
        <v/>
      </c>
      <c r="L519" s="206" t="str">
        <f t="shared" si="125"/>
        <v/>
      </c>
      <c r="M519" s="206" t="str">
        <f t="shared" si="126"/>
        <v/>
      </c>
      <c r="N519" s="206" t="str">
        <f t="shared" si="137"/>
        <v/>
      </c>
      <c r="O519" s="206" t="str">
        <f t="shared" si="127"/>
        <v/>
      </c>
      <c r="P519" s="165" t="str">
        <f t="shared" si="128"/>
        <v/>
      </c>
      <c r="Q519" s="207"/>
      <c r="R519" s="141" t="str">
        <f>IF(S519="IN",'BOM_Phan II'!$Y$3,"")</f>
        <v/>
      </c>
      <c r="S519" s="153" t="str">
        <f t="shared" si="129"/>
        <v/>
      </c>
      <c r="T519">
        <f t="shared" si="130"/>
        <v>6</v>
      </c>
      <c r="U519" s="208" t="str">
        <f t="shared" si="138"/>
        <v>KIỆN 9</v>
      </c>
      <c r="V519" s="208" t="str">
        <f t="shared" si="131"/>
        <v/>
      </c>
      <c r="W519" s="240"/>
      <c r="X519" s="240"/>
      <c r="Y519" s="240" t="str">
        <f t="shared" si="132"/>
        <v/>
      </c>
      <c r="Z519" s="240"/>
      <c r="AD519" s="232" t="str">
        <f t="shared" si="133"/>
        <v/>
      </c>
      <c r="AE519" s="204"/>
      <c r="AX519" s="3" t="str">
        <f t="shared" si="123"/>
        <v/>
      </c>
    </row>
    <row r="520" spans="1:50" s="155" customFormat="1" ht="30" hidden="1" customHeight="1">
      <c r="A520" s="141" t="str">
        <f t="shared" si="134"/>
        <v/>
      </c>
      <c r="B520" s="141" t="str">
        <f t="shared" si="135"/>
        <v/>
      </c>
      <c r="C520" s="205" t="str" cm="1">
        <f t="array" ref="C520">IF(D520="","",
    IF(AND(ISNUMBER(D520), D520=INT(D520)),
        $V$6 &amp; " " &amp; (IFERROR(MAX($Y$12:$Y519), 0) + 1),
        IF(ISNUMBER(SEARCH(".", D520)), "", INDEX($C$12:$C520, MATCH(2, 1/($C$12:$C520 &lt;&gt; ""))))
    )
)</f>
        <v/>
      </c>
      <c r="D520" s="206"/>
      <c r="E520" s="206" t="str">
        <f>IF(AA520 = "", "",
    IF(ISNUMBER(SEARCH("Kiện", C520)),
       " GÓI " &amp; COUNTIF($C$13:C520, "*Kiện*") &amp; "/" &amp; COUNTIF($C$13:$C$1000, "*Kiện*") &amp; " " &amp; AA520,
       AA520)
)</f>
        <v/>
      </c>
      <c r="F520" s="206"/>
      <c r="G520" s="206"/>
      <c r="H520" s="206"/>
      <c r="I520" s="206"/>
      <c r="J520" s="206" t="str">
        <f t="shared" si="136"/>
        <v/>
      </c>
      <c r="K520" s="206" t="str">
        <f t="shared" si="124"/>
        <v/>
      </c>
      <c r="L520" s="206" t="str">
        <f t="shared" si="125"/>
        <v/>
      </c>
      <c r="M520" s="206" t="str">
        <f t="shared" si="126"/>
        <v/>
      </c>
      <c r="N520" s="206" t="str">
        <f t="shared" si="137"/>
        <v/>
      </c>
      <c r="O520" s="206" t="str">
        <f t="shared" si="127"/>
        <v/>
      </c>
      <c r="P520" s="165" t="str">
        <f t="shared" si="128"/>
        <v/>
      </c>
      <c r="Q520" s="207"/>
      <c r="R520" s="141" t="str">
        <f>IF(S520="IN",'BOM_Phan II'!$Y$3,"")</f>
        <v/>
      </c>
      <c r="S520" s="153" t="str">
        <f t="shared" si="129"/>
        <v/>
      </c>
      <c r="T520">
        <f t="shared" si="130"/>
        <v>6</v>
      </c>
      <c r="U520" s="208" t="str">
        <f t="shared" si="138"/>
        <v>KIỆN 9</v>
      </c>
      <c r="V520" s="208" t="str">
        <f t="shared" si="131"/>
        <v/>
      </c>
      <c r="W520" s="240"/>
      <c r="X520" s="240"/>
      <c r="Y520" s="240" t="str">
        <f t="shared" si="132"/>
        <v/>
      </c>
      <c r="Z520" s="240"/>
      <c r="AD520" s="232" t="str">
        <f t="shared" si="133"/>
        <v/>
      </c>
      <c r="AE520" s="204"/>
      <c r="AX520" s="3" t="str">
        <f t="shared" si="123"/>
        <v/>
      </c>
    </row>
    <row r="521" spans="1:50" s="155" customFormat="1" ht="30" hidden="1" customHeight="1">
      <c r="A521" s="141" t="str">
        <f t="shared" si="134"/>
        <v/>
      </c>
      <c r="B521" s="141" t="str">
        <f t="shared" si="135"/>
        <v/>
      </c>
      <c r="C521" s="205" t="str" cm="1">
        <f t="array" ref="C521">IF(D521="","",
    IF(AND(ISNUMBER(D521), D521=INT(D521)),
        $V$6 &amp; " " &amp; (IFERROR(MAX($Y$12:$Y520), 0) + 1),
        IF(ISNUMBER(SEARCH(".", D521)), "", INDEX($C$12:$C521, MATCH(2, 1/($C$12:$C521 &lt;&gt; ""))))
    )
)</f>
        <v/>
      </c>
      <c r="D521" s="206"/>
      <c r="E521" s="206" t="str">
        <f>IF(AA521 = "", "",
    IF(ISNUMBER(SEARCH("Kiện", C521)),
       " GÓI " &amp; COUNTIF($C$13:C521, "*Kiện*") &amp; "/" &amp; COUNTIF($C$13:$C$1000, "*Kiện*") &amp; " " &amp; AA521,
       AA521)
)</f>
        <v/>
      </c>
      <c r="F521" s="206"/>
      <c r="G521" s="206"/>
      <c r="H521" s="206"/>
      <c r="I521" s="206"/>
      <c r="J521" s="206" t="str">
        <f t="shared" si="136"/>
        <v/>
      </c>
      <c r="K521" s="206" t="str">
        <f t="shared" si="124"/>
        <v/>
      </c>
      <c r="L521" s="206" t="str">
        <f t="shared" si="125"/>
        <v/>
      </c>
      <c r="M521" s="206" t="str">
        <f t="shared" si="126"/>
        <v/>
      </c>
      <c r="N521" s="206" t="str">
        <f t="shared" si="137"/>
        <v/>
      </c>
      <c r="O521" s="206" t="str">
        <f t="shared" si="127"/>
        <v/>
      </c>
      <c r="P521" s="165" t="str">
        <f t="shared" si="128"/>
        <v/>
      </c>
      <c r="Q521" s="207"/>
      <c r="R521" s="141" t="str">
        <f>IF(S521="IN",'BOM_Phan II'!$Y$3,"")</f>
        <v/>
      </c>
      <c r="S521" s="153" t="str">
        <f t="shared" si="129"/>
        <v/>
      </c>
      <c r="T521">
        <f t="shared" si="130"/>
        <v>6</v>
      </c>
      <c r="U521" s="208" t="str">
        <f t="shared" si="138"/>
        <v>KIỆN 9</v>
      </c>
      <c r="V521" s="208" t="str">
        <f t="shared" si="131"/>
        <v/>
      </c>
      <c r="W521" s="240"/>
      <c r="X521" s="240"/>
      <c r="Y521" s="240" t="str">
        <f t="shared" si="132"/>
        <v/>
      </c>
      <c r="Z521" s="240"/>
      <c r="AD521" s="232" t="str">
        <f t="shared" si="133"/>
        <v/>
      </c>
      <c r="AE521" s="204"/>
      <c r="AX521" s="3" t="str">
        <f t="shared" si="123"/>
        <v/>
      </c>
    </row>
    <row r="522" spans="1:50" s="155" customFormat="1" ht="30" hidden="1" customHeight="1">
      <c r="A522" s="141" t="str">
        <f t="shared" si="134"/>
        <v/>
      </c>
      <c r="B522" s="141" t="str">
        <f t="shared" si="135"/>
        <v/>
      </c>
      <c r="C522" s="205" t="str" cm="1">
        <f t="array" ref="C522">IF(D522="","",
    IF(AND(ISNUMBER(D522), D522=INT(D522)),
        $V$6 &amp; " " &amp; (IFERROR(MAX($Y$12:$Y521), 0) + 1),
        IF(ISNUMBER(SEARCH(".", D522)), "", INDEX($C$12:$C522, MATCH(2, 1/($C$12:$C522 &lt;&gt; ""))))
    )
)</f>
        <v/>
      </c>
      <c r="D522" s="206"/>
      <c r="E522" s="206" t="str">
        <f>IF(AA522 = "", "",
    IF(ISNUMBER(SEARCH("Kiện", C522)),
       " GÓI " &amp; COUNTIF($C$13:C522, "*Kiện*") &amp; "/" &amp; COUNTIF($C$13:$C$1000, "*Kiện*") &amp; " " &amp; AA522,
       AA522)
)</f>
        <v/>
      </c>
      <c r="F522" s="206"/>
      <c r="G522" s="206"/>
      <c r="H522" s="206"/>
      <c r="I522" s="206"/>
      <c r="J522" s="206" t="str">
        <f t="shared" si="136"/>
        <v/>
      </c>
      <c r="K522" s="206" t="str">
        <f t="shared" si="124"/>
        <v/>
      </c>
      <c r="L522" s="206" t="str">
        <f t="shared" si="125"/>
        <v/>
      </c>
      <c r="M522" s="206" t="str">
        <f t="shared" si="126"/>
        <v/>
      </c>
      <c r="N522" s="206" t="str">
        <f t="shared" si="137"/>
        <v/>
      </c>
      <c r="O522" s="206" t="str">
        <f t="shared" si="127"/>
        <v/>
      </c>
      <c r="P522" s="165" t="str">
        <f t="shared" si="128"/>
        <v/>
      </c>
      <c r="Q522" s="207"/>
      <c r="R522" s="141" t="str">
        <f>IF(S522="IN",'BOM_Phan II'!$Y$3,"")</f>
        <v/>
      </c>
      <c r="S522" s="153" t="str">
        <f t="shared" si="129"/>
        <v/>
      </c>
      <c r="T522">
        <f t="shared" si="130"/>
        <v>6</v>
      </c>
      <c r="U522" s="208" t="str">
        <f t="shared" si="138"/>
        <v>KIỆN 9</v>
      </c>
      <c r="V522" s="208" t="str">
        <f t="shared" si="131"/>
        <v/>
      </c>
      <c r="W522" s="240"/>
      <c r="X522" s="240"/>
      <c r="Y522" s="240" t="str">
        <f t="shared" si="132"/>
        <v/>
      </c>
      <c r="Z522" s="240"/>
      <c r="AD522" s="232" t="str">
        <f t="shared" si="133"/>
        <v/>
      </c>
      <c r="AE522" s="204"/>
      <c r="AX522" s="3" t="str">
        <f t="shared" si="123"/>
        <v/>
      </c>
    </row>
    <row r="523" spans="1:50" s="155" customFormat="1" ht="30" hidden="1" customHeight="1">
      <c r="A523" s="141" t="str">
        <f t="shared" si="134"/>
        <v/>
      </c>
      <c r="B523" s="141" t="str">
        <f t="shared" si="135"/>
        <v/>
      </c>
      <c r="C523" s="205" t="str" cm="1">
        <f t="array" ref="C523">IF(D523="","",
    IF(AND(ISNUMBER(D523), D523=INT(D523)),
        $V$6 &amp; " " &amp; (IFERROR(MAX($Y$12:$Y522), 0) + 1),
        IF(ISNUMBER(SEARCH(".", D523)), "", INDEX($C$12:$C523, MATCH(2, 1/($C$12:$C523 &lt;&gt; ""))))
    )
)</f>
        <v/>
      </c>
      <c r="D523" s="206"/>
      <c r="E523" s="206" t="str">
        <f>IF(AA523 = "", "",
    IF(ISNUMBER(SEARCH("Kiện", C523)),
       " GÓI " &amp; COUNTIF($C$13:C523, "*Kiện*") &amp; "/" &amp; COUNTIF($C$13:$C$1000, "*Kiện*") &amp; " " &amp; AA523,
       AA523)
)</f>
        <v/>
      </c>
      <c r="F523" s="206"/>
      <c r="G523" s="206"/>
      <c r="H523" s="206"/>
      <c r="I523" s="206"/>
      <c r="J523" s="206" t="str">
        <f t="shared" si="136"/>
        <v/>
      </c>
      <c r="K523" s="206" t="str">
        <f t="shared" si="124"/>
        <v/>
      </c>
      <c r="L523" s="206" t="str">
        <f t="shared" si="125"/>
        <v/>
      </c>
      <c r="M523" s="206" t="str">
        <f t="shared" si="126"/>
        <v/>
      </c>
      <c r="N523" s="206" t="str">
        <f t="shared" si="137"/>
        <v/>
      </c>
      <c r="O523" s="206" t="str">
        <f t="shared" si="127"/>
        <v/>
      </c>
      <c r="P523" s="165" t="str">
        <f t="shared" si="128"/>
        <v/>
      </c>
      <c r="Q523" s="207"/>
      <c r="R523" s="141" t="str">
        <f>IF(S523="IN",'BOM_Phan II'!$Y$3,"")</f>
        <v/>
      </c>
      <c r="S523" s="153" t="str">
        <f t="shared" si="129"/>
        <v/>
      </c>
      <c r="T523">
        <f t="shared" si="130"/>
        <v>6</v>
      </c>
      <c r="U523" s="208" t="str">
        <f t="shared" si="138"/>
        <v>KIỆN 9</v>
      </c>
      <c r="V523" s="208" t="str">
        <f t="shared" si="131"/>
        <v/>
      </c>
      <c r="W523" s="240"/>
      <c r="X523" s="240"/>
      <c r="Y523" s="240" t="str">
        <f t="shared" si="132"/>
        <v/>
      </c>
      <c r="Z523" s="240"/>
      <c r="AD523" s="232" t="str">
        <f t="shared" si="133"/>
        <v/>
      </c>
      <c r="AE523" s="204"/>
      <c r="AX523" s="3" t="str">
        <f t="shared" si="123"/>
        <v/>
      </c>
    </row>
    <row r="524" spans="1:50" s="155" customFormat="1" ht="30" hidden="1" customHeight="1">
      <c r="A524" s="141" t="str">
        <f t="shared" si="134"/>
        <v/>
      </c>
      <c r="B524" s="141" t="str">
        <f t="shared" si="135"/>
        <v/>
      </c>
      <c r="C524" s="205" t="str" cm="1">
        <f t="array" ref="C524">IF(D524="","",
    IF(AND(ISNUMBER(D524), D524=INT(D524)),
        $V$6 &amp; " " &amp; (IFERROR(MAX($Y$12:$Y523), 0) + 1),
        IF(ISNUMBER(SEARCH(".", D524)), "", INDEX($C$12:$C524, MATCH(2, 1/($C$12:$C524 &lt;&gt; ""))))
    )
)</f>
        <v/>
      </c>
      <c r="D524" s="206"/>
      <c r="E524" s="206" t="str">
        <f>IF(AA524 = "", "",
    IF(ISNUMBER(SEARCH("Kiện", C524)),
       " GÓI " &amp; COUNTIF($C$13:C524, "*Kiện*") &amp; "/" &amp; COUNTIF($C$13:$C$1000, "*Kiện*") &amp; " " &amp; AA524,
       AA524)
)</f>
        <v/>
      </c>
      <c r="F524" s="206"/>
      <c r="G524" s="206"/>
      <c r="H524" s="206"/>
      <c r="I524" s="206"/>
      <c r="J524" s="206" t="str">
        <f t="shared" si="136"/>
        <v/>
      </c>
      <c r="K524" s="206" t="str">
        <f t="shared" si="124"/>
        <v/>
      </c>
      <c r="L524" s="206" t="str">
        <f t="shared" si="125"/>
        <v/>
      </c>
      <c r="M524" s="206" t="str">
        <f t="shared" si="126"/>
        <v/>
      </c>
      <c r="N524" s="206" t="str">
        <f t="shared" si="137"/>
        <v/>
      </c>
      <c r="O524" s="206" t="str">
        <f t="shared" si="127"/>
        <v/>
      </c>
      <c r="P524" s="165" t="str">
        <f t="shared" si="128"/>
        <v/>
      </c>
      <c r="Q524" s="207"/>
      <c r="R524" s="141" t="str">
        <f>IF(S524="IN",'BOM_Phan II'!$Y$3,"")</f>
        <v/>
      </c>
      <c r="S524" s="153" t="str">
        <f t="shared" si="129"/>
        <v/>
      </c>
      <c r="T524">
        <f t="shared" si="130"/>
        <v>6</v>
      </c>
      <c r="U524" s="208" t="str">
        <f t="shared" si="138"/>
        <v>KIỆN 9</v>
      </c>
      <c r="V524" s="208" t="str">
        <f t="shared" si="131"/>
        <v/>
      </c>
      <c r="W524" s="240"/>
      <c r="X524" s="240"/>
      <c r="Y524" s="240" t="str">
        <f t="shared" si="132"/>
        <v/>
      </c>
      <c r="Z524" s="240"/>
      <c r="AD524" s="232" t="str">
        <f t="shared" si="133"/>
        <v/>
      </c>
      <c r="AE524" s="204"/>
      <c r="AX524" s="3" t="str">
        <f t="shared" ref="AX524:AX587" si="139">+S524</f>
        <v/>
      </c>
    </row>
    <row r="525" spans="1:50" s="155" customFormat="1" ht="30" hidden="1" customHeight="1">
      <c r="A525" s="141" t="str">
        <f t="shared" si="134"/>
        <v/>
      </c>
      <c r="B525" s="141" t="str">
        <f t="shared" si="135"/>
        <v/>
      </c>
      <c r="C525" s="205" t="str" cm="1">
        <f t="array" ref="C525">IF(D525="","",
    IF(AND(ISNUMBER(D525), D525=INT(D525)),
        $V$6 &amp; " " &amp; (IFERROR(MAX($Y$12:$Y524), 0) + 1),
        IF(ISNUMBER(SEARCH(".", D525)), "", INDEX($C$12:$C525, MATCH(2, 1/($C$12:$C525 &lt;&gt; ""))))
    )
)</f>
        <v/>
      </c>
      <c r="D525" s="206"/>
      <c r="E525" s="206" t="str">
        <f>IF(AA525 = "", "",
    IF(ISNUMBER(SEARCH("Kiện", C525)),
       " GÓI " &amp; COUNTIF($C$13:C525, "*Kiện*") &amp; "/" &amp; COUNTIF($C$13:$C$1000, "*Kiện*") &amp; " " &amp; AA525,
       AA525)
)</f>
        <v/>
      </c>
      <c r="F525" s="206"/>
      <c r="G525" s="206"/>
      <c r="H525" s="206"/>
      <c r="I525" s="206"/>
      <c r="J525" s="206" t="str">
        <f t="shared" si="136"/>
        <v/>
      </c>
      <c r="K525" s="206" t="str">
        <f t="shared" si="124"/>
        <v/>
      </c>
      <c r="L525" s="206" t="str">
        <f t="shared" si="125"/>
        <v/>
      </c>
      <c r="M525" s="206" t="str">
        <f t="shared" si="126"/>
        <v/>
      </c>
      <c r="N525" s="206" t="str">
        <f t="shared" si="137"/>
        <v/>
      </c>
      <c r="O525" s="206" t="str">
        <f t="shared" si="127"/>
        <v/>
      </c>
      <c r="P525" s="165" t="str">
        <f t="shared" si="128"/>
        <v/>
      </c>
      <c r="Q525" s="207"/>
      <c r="R525" s="141" t="str">
        <f>IF(S525="IN",'BOM_Phan II'!$Y$3,"")</f>
        <v/>
      </c>
      <c r="S525" s="153" t="str">
        <f t="shared" si="129"/>
        <v/>
      </c>
      <c r="T525">
        <f t="shared" si="130"/>
        <v>6</v>
      </c>
      <c r="U525" s="208" t="str">
        <f t="shared" si="138"/>
        <v>KIỆN 9</v>
      </c>
      <c r="V525" s="208" t="str">
        <f t="shared" si="131"/>
        <v/>
      </c>
      <c r="W525" s="240"/>
      <c r="X525" s="240"/>
      <c r="Y525" s="240" t="str">
        <f t="shared" si="132"/>
        <v/>
      </c>
      <c r="Z525" s="240"/>
      <c r="AD525" s="232" t="str">
        <f t="shared" si="133"/>
        <v/>
      </c>
      <c r="AE525" s="204"/>
      <c r="AX525" s="3" t="str">
        <f t="shared" si="139"/>
        <v/>
      </c>
    </row>
    <row r="526" spans="1:50" s="155" customFormat="1" ht="30" hidden="1" customHeight="1">
      <c r="A526" s="141" t="str">
        <f t="shared" si="134"/>
        <v/>
      </c>
      <c r="B526" s="141" t="str">
        <f t="shared" si="135"/>
        <v/>
      </c>
      <c r="C526" s="205" t="str" cm="1">
        <f t="array" ref="C526">IF(D526="","",
    IF(AND(ISNUMBER(D526), D526=INT(D526)),
        $V$6 &amp; " " &amp; (IFERROR(MAX($Y$12:$Y525), 0) + 1),
        IF(ISNUMBER(SEARCH(".", D526)), "", INDEX($C$12:$C526, MATCH(2, 1/($C$12:$C526 &lt;&gt; ""))))
    )
)</f>
        <v/>
      </c>
      <c r="D526" s="206"/>
      <c r="E526" s="206" t="str">
        <f>IF(AA526 = "", "",
    IF(ISNUMBER(SEARCH("Kiện", C526)),
       " GÓI " &amp; COUNTIF($C$13:C526, "*Kiện*") &amp; "/" &amp; COUNTIF($C$13:$C$1000, "*Kiện*") &amp; " " &amp; AA526,
       AA526)
)</f>
        <v/>
      </c>
      <c r="F526" s="206"/>
      <c r="G526" s="206"/>
      <c r="H526" s="206"/>
      <c r="I526" s="206"/>
      <c r="J526" s="206" t="str">
        <f t="shared" si="136"/>
        <v/>
      </c>
      <c r="K526" s="206" t="str">
        <f t="shared" ref="K526:K589" si="140">IFERROR(IF($C526&lt;&gt;"",IF($T$13=1,F526+20,IF($T$13=2,F526+20,IF($T$13=3,F526+50,IF($T$13=4,F526+40,IF($T$13=5,F526+50,IF($T$13=51,F526+50,IF($T$13=6,F526+50,IF($T$13=7,F526+50,"")))))))),""),"")</f>
        <v/>
      </c>
      <c r="L526" s="206" t="str">
        <f t="shared" ref="L526:L589" si="141">IFERROR(IF($C526&lt;&gt;"",IF($T$13=1,G526+20,IF($T$13=2,G526+20,IF($T$13=3,G526+50,IF($T$13=4,G526+40,IF($T$13=5,G526+50,IF($T$13=51,G526+50,IF($T$13=6,G526+50,IF($T$13=7,G526+50,"")))))))),""),"")</f>
        <v/>
      </c>
      <c r="M526" s="206" t="str">
        <f t="shared" ref="M526:M589" si="142">IFERROR(IF($C526&lt;&gt;"",IF($T$13=1,H526+20,IF($T$13=2,H526+20,IF($T$13=3,H526+70,IF($T$13=4,H526+40,IF($T$13=5,H526+50,IF($T$13=51,H526+150,IF($T$13=6,H526+50,IF($T$13=7,H526+50,"")))))))),""),"")</f>
        <v/>
      </c>
      <c r="N526" s="206" t="str">
        <f t="shared" si="137"/>
        <v/>
      </c>
      <c r="O526" s="206" t="str">
        <f t="shared" ref="O526:O589" si="143">IF(C526&lt;&gt;"",$O$12,"")</f>
        <v/>
      </c>
      <c r="P526" s="165" t="str">
        <f t="shared" ref="P526:P589" si="144">IFERROR(IF(C526&lt;&gt;"",SUMIFS($V$13:$V$969,$U$13:$U$969,C526)*$S$6,V526*$S$6),"")</f>
        <v/>
      </c>
      <c r="Q526" s="207"/>
      <c r="R526" s="141" t="str">
        <f>IF(S526="IN",'BOM_Phan II'!$Y$3,"")</f>
        <v/>
      </c>
      <c r="S526" s="153" t="str">
        <f t="shared" ref="S526:S589" si="145">IF(OR(E526&lt;&gt;"",D526&lt;&gt;""),"IN","")</f>
        <v/>
      </c>
      <c r="T526">
        <f t="shared" ref="T526:T589" si="146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526" s="208" t="str">
        <f t="shared" si="138"/>
        <v>KIỆN 9</v>
      </c>
      <c r="V526" s="208" t="str">
        <f t="shared" ref="V526:V589" si="147">IFERROR(IF(AND(C526="", OR($W526="1", $W526="2")), IF(I526="", "", F526*G526*H526*I526/10^9), ""), "")</f>
        <v/>
      </c>
      <c r="W526" s="240"/>
      <c r="X526" s="240"/>
      <c r="Y526" s="240" t="str">
        <f t="shared" ref="Y526:Y589" si="148">IFERROR(VALUE(RIGHT(C526,LEN(C526)-5)),"")</f>
        <v/>
      </c>
      <c r="Z526" s="240"/>
      <c r="AD526" s="232" t="str">
        <f t="shared" ref="AD526:AD589" si="149">IFERROR(VALUE(RIGHT(C526,LEN(C526)-5)),"")</f>
        <v/>
      </c>
      <c r="AE526" s="204"/>
      <c r="AX526" s="3" t="str">
        <f t="shared" si="139"/>
        <v/>
      </c>
    </row>
    <row r="527" spans="1:50" s="155" customFormat="1" ht="30" hidden="1" customHeight="1">
      <c r="A527" s="141" t="str">
        <f t="shared" si="134"/>
        <v/>
      </c>
      <c r="B527" s="141" t="str">
        <f t="shared" si="135"/>
        <v/>
      </c>
      <c r="C527" s="205" t="str" cm="1">
        <f t="array" ref="C527">IF(D527="","",
    IF(AND(ISNUMBER(D527), D527=INT(D527)),
        $V$6 &amp; " " &amp; (IFERROR(MAX($Y$12:$Y526), 0) + 1),
        IF(ISNUMBER(SEARCH(".", D527)), "", INDEX($C$12:$C527, MATCH(2, 1/($C$12:$C527 &lt;&gt; ""))))
    )
)</f>
        <v/>
      </c>
      <c r="D527" s="206"/>
      <c r="E527" s="206" t="str">
        <f>IF(AA527 = "", "",
    IF(ISNUMBER(SEARCH("Kiện", C527)),
       " GÓI " &amp; COUNTIF($C$13:C527, "*Kiện*") &amp; "/" &amp; COUNTIF($C$13:$C$1000, "*Kiện*") &amp; " " &amp; AA527,
       AA527)
)</f>
        <v/>
      </c>
      <c r="F527" s="206"/>
      <c r="G527" s="206"/>
      <c r="H527" s="206"/>
      <c r="I527" s="206"/>
      <c r="J527" s="206" t="str">
        <f t="shared" si="136"/>
        <v/>
      </c>
      <c r="K527" s="206" t="str">
        <f t="shared" si="140"/>
        <v/>
      </c>
      <c r="L527" s="206" t="str">
        <f t="shared" si="141"/>
        <v/>
      </c>
      <c r="M527" s="206" t="str">
        <f t="shared" si="142"/>
        <v/>
      </c>
      <c r="N527" s="206" t="str">
        <f t="shared" si="137"/>
        <v/>
      </c>
      <c r="O527" s="206" t="str">
        <f t="shared" si="143"/>
        <v/>
      </c>
      <c r="P527" s="165" t="str">
        <f t="shared" si="144"/>
        <v/>
      </c>
      <c r="Q527" s="207"/>
      <c r="R527" s="141" t="str">
        <f>IF(S527="IN",'BOM_Phan II'!$Y$3,"")</f>
        <v/>
      </c>
      <c r="S527" s="153" t="str">
        <f t="shared" si="145"/>
        <v/>
      </c>
      <c r="T527">
        <f t="shared" si="146"/>
        <v>6</v>
      </c>
      <c r="U527" s="208" t="str">
        <f t="shared" si="138"/>
        <v>KIỆN 9</v>
      </c>
      <c r="V527" s="208" t="str">
        <f t="shared" si="147"/>
        <v/>
      </c>
      <c r="W527" s="240"/>
      <c r="X527" s="240"/>
      <c r="Y527" s="240" t="str">
        <f t="shared" si="148"/>
        <v/>
      </c>
      <c r="Z527" s="240"/>
      <c r="AD527" s="232" t="str">
        <f t="shared" si="149"/>
        <v/>
      </c>
      <c r="AE527" s="204"/>
      <c r="AX527" s="3" t="str">
        <f t="shared" si="139"/>
        <v/>
      </c>
    </row>
    <row r="528" spans="1:50" s="155" customFormat="1" ht="30" hidden="1" customHeight="1">
      <c r="A528" s="141" t="str">
        <f t="shared" ref="A528:A591" si="150">IF(S528="IN",$E$6,"")</f>
        <v/>
      </c>
      <c r="B528" s="141" t="str">
        <f t="shared" ref="B528:B591" si="151">IF(S528="IN","Muc "&amp;$E$7,"")</f>
        <v/>
      </c>
      <c r="C528" s="205" t="str" cm="1">
        <f t="array" ref="C528">IF(D528="","",
    IF(AND(ISNUMBER(D528), D528=INT(D528)),
        $V$6 &amp; " " &amp; (IFERROR(MAX($Y$12:$Y527), 0) + 1),
        IF(ISNUMBER(SEARCH(".", D528)), "", INDEX($C$12:$C528, MATCH(2, 1/($C$12:$C528 &lt;&gt; ""))))
    )
)</f>
        <v/>
      </c>
      <c r="D528" s="206"/>
      <c r="E528" s="206" t="str">
        <f>IF(AA528 = "", "",
    IF(ISNUMBER(SEARCH("Kiện", C528)),
       " GÓI " &amp; COUNTIF($C$13:C528, "*Kiện*") &amp; "/" &amp; COUNTIF($C$13:$C$1000, "*Kiện*") &amp; " " &amp; AA528,
       AA528)
)</f>
        <v/>
      </c>
      <c r="F528" s="206"/>
      <c r="G528" s="206"/>
      <c r="H528" s="206"/>
      <c r="I528" s="206"/>
      <c r="J528" s="206" t="str">
        <f t="shared" ref="J528:J591" si="152">IF(C528&lt;&gt;"",C528&amp;"_"&amp;$E$6,"")</f>
        <v/>
      </c>
      <c r="K528" s="206" t="str">
        <f t="shared" si="140"/>
        <v/>
      </c>
      <c r="L528" s="206" t="str">
        <f t="shared" si="141"/>
        <v/>
      </c>
      <c r="M528" s="206" t="str">
        <f t="shared" si="142"/>
        <v/>
      </c>
      <c r="N528" s="206" t="str">
        <f t="shared" ref="N528:N591" si="153">IF(C528&lt;&gt;"",I528,"")</f>
        <v/>
      </c>
      <c r="O528" s="206" t="str">
        <f t="shared" si="143"/>
        <v/>
      </c>
      <c r="P528" s="165" t="str">
        <f t="shared" si="144"/>
        <v/>
      </c>
      <c r="Q528" s="207"/>
      <c r="R528" s="141" t="str">
        <f>IF(S528="IN",'BOM_Phan II'!$Y$3,"")</f>
        <v/>
      </c>
      <c r="S528" s="153" t="str">
        <f t="shared" si="145"/>
        <v/>
      </c>
      <c r="T528">
        <f t="shared" si="146"/>
        <v>6</v>
      </c>
      <c r="U528" s="208" t="str">
        <f t="shared" ref="U528:U591" si="154">IF(C528="",U527,C528)</f>
        <v>KIỆN 9</v>
      </c>
      <c r="V528" s="208" t="str">
        <f t="shared" si="147"/>
        <v/>
      </c>
      <c r="W528" s="240"/>
      <c r="X528" s="240"/>
      <c r="Y528" s="240" t="str">
        <f t="shared" si="148"/>
        <v/>
      </c>
      <c r="Z528" s="240"/>
      <c r="AD528" s="232" t="str">
        <f t="shared" si="149"/>
        <v/>
      </c>
      <c r="AE528" s="204"/>
      <c r="AX528" s="3" t="str">
        <f t="shared" si="139"/>
        <v/>
      </c>
    </row>
    <row r="529" spans="1:50" s="155" customFormat="1" ht="30" hidden="1" customHeight="1">
      <c r="A529" s="141" t="str">
        <f t="shared" si="150"/>
        <v/>
      </c>
      <c r="B529" s="141" t="str">
        <f t="shared" si="151"/>
        <v/>
      </c>
      <c r="C529" s="205" t="str" cm="1">
        <f t="array" ref="C529">IF(D529="","",
    IF(AND(ISNUMBER(D529), D529=INT(D529)),
        $V$6 &amp; " " &amp; (IFERROR(MAX($Y$12:$Y528), 0) + 1),
        IF(ISNUMBER(SEARCH(".", D529)), "", INDEX($C$12:$C529, MATCH(2, 1/($C$12:$C529 &lt;&gt; ""))))
    )
)</f>
        <v/>
      </c>
      <c r="D529" s="206"/>
      <c r="E529" s="206" t="str">
        <f>IF(AA529 = "", "",
    IF(ISNUMBER(SEARCH("Kiện", C529)),
       " GÓI " &amp; COUNTIF($C$13:C529, "*Kiện*") &amp; "/" &amp; COUNTIF($C$13:$C$1000, "*Kiện*") &amp; " " &amp; AA529,
       AA529)
)</f>
        <v/>
      </c>
      <c r="F529" s="206"/>
      <c r="G529" s="206"/>
      <c r="H529" s="206"/>
      <c r="I529" s="206"/>
      <c r="J529" s="206" t="str">
        <f t="shared" si="152"/>
        <v/>
      </c>
      <c r="K529" s="206" t="str">
        <f t="shared" si="140"/>
        <v/>
      </c>
      <c r="L529" s="206" t="str">
        <f t="shared" si="141"/>
        <v/>
      </c>
      <c r="M529" s="206" t="str">
        <f t="shared" si="142"/>
        <v/>
      </c>
      <c r="N529" s="206" t="str">
        <f t="shared" si="153"/>
        <v/>
      </c>
      <c r="O529" s="206" t="str">
        <f t="shared" si="143"/>
        <v/>
      </c>
      <c r="P529" s="165" t="str">
        <f t="shared" si="144"/>
        <v/>
      </c>
      <c r="Q529" s="207"/>
      <c r="R529" s="141" t="str">
        <f>IF(S529="IN",'BOM_Phan II'!$Y$3,"")</f>
        <v/>
      </c>
      <c r="S529" s="153" t="str">
        <f t="shared" si="145"/>
        <v/>
      </c>
      <c r="T529">
        <f t="shared" si="146"/>
        <v>6</v>
      </c>
      <c r="U529" s="208" t="str">
        <f t="shared" si="154"/>
        <v>KIỆN 9</v>
      </c>
      <c r="V529" s="208" t="str">
        <f t="shared" si="147"/>
        <v/>
      </c>
      <c r="W529" s="240"/>
      <c r="X529" s="240"/>
      <c r="Y529" s="240" t="str">
        <f t="shared" si="148"/>
        <v/>
      </c>
      <c r="Z529" s="240"/>
      <c r="AD529" s="232" t="str">
        <f t="shared" si="149"/>
        <v/>
      </c>
      <c r="AE529" s="204"/>
      <c r="AX529" s="3" t="str">
        <f t="shared" si="139"/>
        <v/>
      </c>
    </row>
    <row r="530" spans="1:50" s="155" customFormat="1" ht="30" hidden="1" customHeight="1">
      <c r="A530" s="141" t="str">
        <f t="shared" si="150"/>
        <v/>
      </c>
      <c r="B530" s="141" t="str">
        <f t="shared" si="151"/>
        <v/>
      </c>
      <c r="C530" s="205" t="str" cm="1">
        <f t="array" ref="C530">IF(D530="","",
    IF(AND(ISNUMBER(D530), D530=INT(D530)),
        $V$6 &amp; " " &amp; (IFERROR(MAX($Y$12:$Y529), 0) + 1),
        IF(ISNUMBER(SEARCH(".", D530)), "", INDEX($C$12:$C530, MATCH(2, 1/($C$12:$C530 &lt;&gt; ""))))
    )
)</f>
        <v/>
      </c>
      <c r="D530" s="206"/>
      <c r="E530" s="206" t="str">
        <f>IF(AA530 = "", "",
    IF(ISNUMBER(SEARCH("Kiện", C530)),
       " GÓI " &amp; COUNTIF($C$13:C530, "*Kiện*") &amp; "/" &amp; COUNTIF($C$13:$C$1000, "*Kiện*") &amp; " " &amp; AA530,
       AA530)
)</f>
        <v/>
      </c>
      <c r="F530" s="206"/>
      <c r="G530" s="206"/>
      <c r="H530" s="206"/>
      <c r="I530" s="206"/>
      <c r="J530" s="206" t="str">
        <f t="shared" si="152"/>
        <v/>
      </c>
      <c r="K530" s="206" t="str">
        <f t="shared" si="140"/>
        <v/>
      </c>
      <c r="L530" s="206" t="str">
        <f t="shared" si="141"/>
        <v/>
      </c>
      <c r="M530" s="206" t="str">
        <f t="shared" si="142"/>
        <v/>
      </c>
      <c r="N530" s="206" t="str">
        <f t="shared" si="153"/>
        <v/>
      </c>
      <c r="O530" s="206" t="str">
        <f t="shared" si="143"/>
        <v/>
      </c>
      <c r="P530" s="165" t="str">
        <f t="shared" si="144"/>
        <v/>
      </c>
      <c r="Q530" s="207"/>
      <c r="R530" s="141" t="str">
        <f>IF(S530="IN",'BOM_Phan II'!$Y$3,"")</f>
        <v/>
      </c>
      <c r="S530" s="153" t="str">
        <f t="shared" si="145"/>
        <v/>
      </c>
      <c r="T530">
        <f t="shared" si="146"/>
        <v>6</v>
      </c>
      <c r="U530" s="208" t="str">
        <f t="shared" si="154"/>
        <v>KIỆN 9</v>
      </c>
      <c r="V530" s="208" t="str">
        <f t="shared" si="147"/>
        <v/>
      </c>
      <c r="W530" s="240"/>
      <c r="X530" s="240"/>
      <c r="Y530" s="240" t="str">
        <f t="shared" si="148"/>
        <v/>
      </c>
      <c r="Z530" s="240"/>
      <c r="AD530" s="232" t="str">
        <f t="shared" si="149"/>
        <v/>
      </c>
      <c r="AE530" s="204"/>
      <c r="AX530" s="3" t="str">
        <f t="shared" si="139"/>
        <v/>
      </c>
    </row>
    <row r="531" spans="1:50" s="155" customFormat="1" ht="30" hidden="1" customHeight="1">
      <c r="A531" s="141" t="str">
        <f t="shared" si="150"/>
        <v/>
      </c>
      <c r="B531" s="141" t="str">
        <f t="shared" si="151"/>
        <v/>
      </c>
      <c r="C531" s="205" t="str" cm="1">
        <f t="array" ref="C531">IF(D531="","",
    IF(AND(ISNUMBER(D531), D531=INT(D531)),
        $V$6 &amp; " " &amp; (IFERROR(MAX($Y$12:$Y530), 0) + 1),
        IF(ISNUMBER(SEARCH(".", D531)), "", INDEX($C$12:$C531, MATCH(2, 1/($C$12:$C531 &lt;&gt; ""))))
    )
)</f>
        <v/>
      </c>
      <c r="D531" s="206"/>
      <c r="E531" s="206" t="str">
        <f>IF(AA531 = "", "",
    IF(ISNUMBER(SEARCH("Kiện", C531)),
       " GÓI " &amp; COUNTIF($C$13:C531, "*Kiện*") &amp; "/" &amp; COUNTIF($C$13:$C$1000, "*Kiện*") &amp; " " &amp; AA531,
       AA531)
)</f>
        <v/>
      </c>
      <c r="F531" s="206"/>
      <c r="G531" s="206"/>
      <c r="H531" s="206"/>
      <c r="I531" s="206"/>
      <c r="J531" s="206" t="str">
        <f t="shared" si="152"/>
        <v/>
      </c>
      <c r="K531" s="206" t="str">
        <f t="shared" si="140"/>
        <v/>
      </c>
      <c r="L531" s="206" t="str">
        <f t="shared" si="141"/>
        <v/>
      </c>
      <c r="M531" s="206" t="str">
        <f t="shared" si="142"/>
        <v/>
      </c>
      <c r="N531" s="206" t="str">
        <f t="shared" si="153"/>
        <v/>
      </c>
      <c r="O531" s="206" t="str">
        <f t="shared" si="143"/>
        <v/>
      </c>
      <c r="P531" s="165" t="str">
        <f t="shared" si="144"/>
        <v/>
      </c>
      <c r="Q531" s="207"/>
      <c r="R531" s="141" t="str">
        <f>IF(S531="IN",'BOM_Phan II'!$Y$3,"")</f>
        <v/>
      </c>
      <c r="S531" s="153" t="str">
        <f t="shared" si="145"/>
        <v/>
      </c>
      <c r="T531">
        <f t="shared" si="146"/>
        <v>6</v>
      </c>
      <c r="U531" s="208" t="str">
        <f t="shared" si="154"/>
        <v>KIỆN 9</v>
      </c>
      <c r="V531" s="208" t="str">
        <f t="shared" si="147"/>
        <v/>
      </c>
      <c r="W531" s="240"/>
      <c r="X531" s="240"/>
      <c r="Y531" s="240" t="str">
        <f t="shared" si="148"/>
        <v/>
      </c>
      <c r="Z531" s="240"/>
      <c r="AD531" s="232" t="str">
        <f t="shared" si="149"/>
        <v/>
      </c>
      <c r="AE531" s="204"/>
      <c r="AX531" s="3" t="str">
        <f t="shared" si="139"/>
        <v/>
      </c>
    </row>
    <row r="532" spans="1:50" s="155" customFormat="1" ht="30" hidden="1" customHeight="1">
      <c r="A532" s="141" t="str">
        <f t="shared" si="150"/>
        <v/>
      </c>
      <c r="B532" s="141" t="str">
        <f t="shared" si="151"/>
        <v/>
      </c>
      <c r="C532" s="205" t="str" cm="1">
        <f t="array" ref="C532">IF(D532="","",
    IF(AND(ISNUMBER(D532), D532=INT(D532)),
        $V$6 &amp; " " &amp; (IFERROR(MAX($Y$12:$Y531), 0) + 1),
        IF(ISNUMBER(SEARCH(".", D532)), "", INDEX($C$12:$C532, MATCH(2, 1/($C$12:$C532 &lt;&gt; ""))))
    )
)</f>
        <v/>
      </c>
      <c r="D532" s="206"/>
      <c r="E532" s="206" t="str">
        <f>IF(AA532 = "", "",
    IF(ISNUMBER(SEARCH("Kiện", C532)),
       " GÓI " &amp; COUNTIF($C$13:C532, "*Kiện*") &amp; "/" &amp; COUNTIF($C$13:$C$1000, "*Kiện*") &amp; " " &amp; AA532,
       AA532)
)</f>
        <v/>
      </c>
      <c r="F532" s="206"/>
      <c r="G532" s="206"/>
      <c r="H532" s="206"/>
      <c r="I532" s="206"/>
      <c r="J532" s="206" t="str">
        <f t="shared" si="152"/>
        <v/>
      </c>
      <c r="K532" s="206" t="str">
        <f t="shared" si="140"/>
        <v/>
      </c>
      <c r="L532" s="206" t="str">
        <f t="shared" si="141"/>
        <v/>
      </c>
      <c r="M532" s="206" t="str">
        <f t="shared" si="142"/>
        <v/>
      </c>
      <c r="N532" s="206" t="str">
        <f t="shared" si="153"/>
        <v/>
      </c>
      <c r="O532" s="206" t="str">
        <f t="shared" si="143"/>
        <v/>
      </c>
      <c r="P532" s="165" t="str">
        <f t="shared" si="144"/>
        <v/>
      </c>
      <c r="Q532" s="207"/>
      <c r="R532" s="141" t="str">
        <f>IF(S532="IN",'BOM_Phan II'!$Y$3,"")</f>
        <v/>
      </c>
      <c r="S532" s="153" t="str">
        <f t="shared" si="145"/>
        <v/>
      </c>
      <c r="T532">
        <f t="shared" si="146"/>
        <v>6</v>
      </c>
      <c r="U532" s="208" t="str">
        <f t="shared" si="154"/>
        <v>KIỆN 9</v>
      </c>
      <c r="V532" s="208" t="str">
        <f t="shared" si="147"/>
        <v/>
      </c>
      <c r="W532" s="240"/>
      <c r="X532" s="240"/>
      <c r="Y532" s="240" t="str">
        <f t="shared" si="148"/>
        <v/>
      </c>
      <c r="Z532" s="240"/>
      <c r="AD532" s="232" t="str">
        <f t="shared" si="149"/>
        <v/>
      </c>
      <c r="AE532" s="204"/>
      <c r="AX532" s="3" t="str">
        <f t="shared" si="139"/>
        <v/>
      </c>
    </row>
    <row r="533" spans="1:50" s="155" customFormat="1" ht="30" hidden="1" customHeight="1">
      <c r="A533" s="141" t="str">
        <f t="shared" si="150"/>
        <v/>
      </c>
      <c r="B533" s="141" t="str">
        <f t="shared" si="151"/>
        <v/>
      </c>
      <c r="C533" s="205" t="str" cm="1">
        <f t="array" ref="C533">IF(D533="","",
    IF(AND(ISNUMBER(D533), D533=INT(D533)),
        $V$6 &amp; " " &amp; (IFERROR(MAX($Y$12:$Y532), 0) + 1),
        IF(ISNUMBER(SEARCH(".", D533)), "", INDEX($C$12:$C533, MATCH(2, 1/($C$12:$C533 &lt;&gt; ""))))
    )
)</f>
        <v/>
      </c>
      <c r="D533" s="206"/>
      <c r="E533" s="206" t="str">
        <f>IF(AA533 = "", "",
    IF(ISNUMBER(SEARCH("Kiện", C533)),
       " GÓI " &amp; COUNTIF($C$13:C533, "*Kiện*") &amp; "/" &amp; COUNTIF($C$13:$C$1000, "*Kiện*") &amp; " " &amp; AA533,
       AA533)
)</f>
        <v/>
      </c>
      <c r="F533" s="206"/>
      <c r="G533" s="206"/>
      <c r="H533" s="206"/>
      <c r="I533" s="206"/>
      <c r="J533" s="206" t="str">
        <f t="shared" si="152"/>
        <v/>
      </c>
      <c r="K533" s="206" t="str">
        <f t="shared" si="140"/>
        <v/>
      </c>
      <c r="L533" s="206" t="str">
        <f t="shared" si="141"/>
        <v/>
      </c>
      <c r="M533" s="206" t="str">
        <f t="shared" si="142"/>
        <v/>
      </c>
      <c r="N533" s="206" t="str">
        <f t="shared" si="153"/>
        <v/>
      </c>
      <c r="O533" s="206" t="str">
        <f t="shared" si="143"/>
        <v/>
      </c>
      <c r="P533" s="165" t="str">
        <f t="shared" si="144"/>
        <v/>
      </c>
      <c r="Q533" s="207"/>
      <c r="R533" s="141" t="str">
        <f>IF(S533="IN",'BOM_Phan II'!$Y$3,"")</f>
        <v/>
      </c>
      <c r="S533" s="153" t="str">
        <f t="shared" si="145"/>
        <v/>
      </c>
      <c r="T533">
        <f t="shared" si="146"/>
        <v>6</v>
      </c>
      <c r="U533" s="208" t="str">
        <f t="shared" si="154"/>
        <v>KIỆN 9</v>
      </c>
      <c r="V533" s="208" t="str">
        <f t="shared" si="147"/>
        <v/>
      </c>
      <c r="W533" s="240"/>
      <c r="X533" s="240"/>
      <c r="Y533" s="240" t="str">
        <f t="shared" si="148"/>
        <v/>
      </c>
      <c r="Z533" s="240"/>
      <c r="AD533" s="232" t="str">
        <f t="shared" si="149"/>
        <v/>
      </c>
      <c r="AE533" s="204"/>
      <c r="AX533" s="3" t="str">
        <f t="shared" si="139"/>
        <v/>
      </c>
    </row>
    <row r="534" spans="1:50" s="155" customFormat="1" ht="30" hidden="1" customHeight="1">
      <c r="A534" s="141" t="str">
        <f t="shared" si="150"/>
        <v/>
      </c>
      <c r="B534" s="141" t="str">
        <f t="shared" si="151"/>
        <v/>
      </c>
      <c r="C534" s="205" t="str" cm="1">
        <f t="array" ref="C534">IF(D534="","",
    IF(AND(ISNUMBER(D534), D534=INT(D534)),
        $V$6 &amp; " " &amp; (IFERROR(MAX($Y$12:$Y533), 0) + 1),
        IF(ISNUMBER(SEARCH(".", D534)), "", INDEX($C$12:$C534, MATCH(2, 1/($C$12:$C534 &lt;&gt; ""))))
    )
)</f>
        <v/>
      </c>
      <c r="D534" s="206"/>
      <c r="E534" s="206" t="str">
        <f>IF(AA534 = "", "",
    IF(ISNUMBER(SEARCH("Kiện", C534)),
       " GÓI " &amp; COUNTIF($C$13:C534, "*Kiện*") &amp; "/" &amp; COUNTIF($C$13:$C$1000, "*Kiện*") &amp; " " &amp; AA534,
       AA534)
)</f>
        <v/>
      </c>
      <c r="F534" s="206"/>
      <c r="G534" s="206"/>
      <c r="H534" s="206"/>
      <c r="I534" s="206"/>
      <c r="J534" s="206" t="str">
        <f t="shared" si="152"/>
        <v/>
      </c>
      <c r="K534" s="206" t="str">
        <f t="shared" si="140"/>
        <v/>
      </c>
      <c r="L534" s="206" t="str">
        <f t="shared" si="141"/>
        <v/>
      </c>
      <c r="M534" s="206" t="str">
        <f t="shared" si="142"/>
        <v/>
      </c>
      <c r="N534" s="206" t="str">
        <f t="shared" si="153"/>
        <v/>
      </c>
      <c r="O534" s="206" t="str">
        <f t="shared" si="143"/>
        <v/>
      </c>
      <c r="P534" s="165" t="str">
        <f t="shared" si="144"/>
        <v/>
      </c>
      <c r="Q534" s="207"/>
      <c r="R534" s="141" t="str">
        <f>IF(S534="IN",'BOM_Phan II'!$Y$3,"")</f>
        <v/>
      </c>
      <c r="S534" s="153" t="str">
        <f t="shared" si="145"/>
        <v/>
      </c>
      <c r="T534">
        <f t="shared" si="146"/>
        <v>6</v>
      </c>
      <c r="U534" s="208" t="str">
        <f t="shared" si="154"/>
        <v>KIỆN 9</v>
      </c>
      <c r="V534" s="208" t="str">
        <f t="shared" si="147"/>
        <v/>
      </c>
      <c r="W534" s="240"/>
      <c r="X534" s="240"/>
      <c r="Y534" s="240" t="str">
        <f t="shared" si="148"/>
        <v/>
      </c>
      <c r="Z534" s="240"/>
      <c r="AD534" s="232" t="str">
        <f t="shared" si="149"/>
        <v/>
      </c>
      <c r="AE534" s="204"/>
      <c r="AX534" s="3" t="str">
        <f t="shared" si="139"/>
        <v/>
      </c>
    </row>
    <row r="535" spans="1:50" s="155" customFormat="1" ht="30" hidden="1" customHeight="1">
      <c r="A535" s="141" t="str">
        <f t="shared" si="150"/>
        <v/>
      </c>
      <c r="B535" s="141" t="str">
        <f t="shared" si="151"/>
        <v/>
      </c>
      <c r="C535" s="205" t="str" cm="1">
        <f t="array" ref="C535">IF(D535="","",
    IF(AND(ISNUMBER(D535), D535=INT(D535)),
        $V$6 &amp; " " &amp; (IFERROR(MAX($Y$12:$Y534), 0) + 1),
        IF(ISNUMBER(SEARCH(".", D535)), "", INDEX($C$12:$C535, MATCH(2, 1/($C$12:$C535 &lt;&gt; ""))))
    )
)</f>
        <v/>
      </c>
      <c r="D535" s="206"/>
      <c r="E535" s="206" t="str">
        <f>IF(AA535 = "", "",
    IF(ISNUMBER(SEARCH("Kiện", C535)),
       " GÓI " &amp; COUNTIF($C$13:C535, "*Kiện*") &amp; "/" &amp; COUNTIF($C$13:$C$1000, "*Kiện*") &amp; " " &amp; AA535,
       AA535)
)</f>
        <v/>
      </c>
      <c r="F535" s="206"/>
      <c r="G535" s="206"/>
      <c r="H535" s="206"/>
      <c r="I535" s="206"/>
      <c r="J535" s="206" t="str">
        <f t="shared" si="152"/>
        <v/>
      </c>
      <c r="K535" s="206" t="str">
        <f t="shared" si="140"/>
        <v/>
      </c>
      <c r="L535" s="206" t="str">
        <f t="shared" si="141"/>
        <v/>
      </c>
      <c r="M535" s="206" t="str">
        <f t="shared" si="142"/>
        <v/>
      </c>
      <c r="N535" s="206" t="str">
        <f t="shared" si="153"/>
        <v/>
      </c>
      <c r="O535" s="206" t="str">
        <f t="shared" si="143"/>
        <v/>
      </c>
      <c r="P535" s="165" t="str">
        <f t="shared" si="144"/>
        <v/>
      </c>
      <c r="Q535" s="207"/>
      <c r="R535" s="141" t="str">
        <f>IF(S535="IN",'BOM_Phan II'!$Y$3,"")</f>
        <v/>
      </c>
      <c r="S535" s="153" t="str">
        <f t="shared" si="145"/>
        <v/>
      </c>
      <c r="T535">
        <f t="shared" si="146"/>
        <v>6</v>
      </c>
      <c r="U535" s="208" t="str">
        <f t="shared" si="154"/>
        <v>KIỆN 9</v>
      </c>
      <c r="V535" s="208" t="str">
        <f t="shared" si="147"/>
        <v/>
      </c>
      <c r="W535" s="240"/>
      <c r="X535" s="240"/>
      <c r="Y535" s="240" t="str">
        <f t="shared" si="148"/>
        <v/>
      </c>
      <c r="Z535" s="240"/>
      <c r="AD535" s="232" t="str">
        <f t="shared" si="149"/>
        <v/>
      </c>
      <c r="AE535" s="204"/>
      <c r="AX535" s="3" t="str">
        <f t="shared" si="139"/>
        <v/>
      </c>
    </row>
    <row r="536" spans="1:50" s="155" customFormat="1" ht="30" hidden="1" customHeight="1">
      <c r="A536" s="141" t="str">
        <f t="shared" si="150"/>
        <v/>
      </c>
      <c r="B536" s="141" t="str">
        <f t="shared" si="151"/>
        <v/>
      </c>
      <c r="C536" s="205" t="str" cm="1">
        <f t="array" ref="C536">IF(D536="","",
    IF(AND(ISNUMBER(D536), D536=INT(D536)),
        $V$6 &amp; " " &amp; (IFERROR(MAX($Y$12:$Y535), 0) + 1),
        IF(ISNUMBER(SEARCH(".", D536)), "", INDEX($C$12:$C536, MATCH(2, 1/($C$12:$C536 &lt;&gt; ""))))
    )
)</f>
        <v/>
      </c>
      <c r="D536" s="206"/>
      <c r="E536" s="206" t="str">
        <f>IF(AA536 = "", "",
    IF(ISNUMBER(SEARCH("Kiện", C536)),
       " GÓI " &amp; COUNTIF($C$13:C536, "*Kiện*") &amp; "/" &amp; COUNTIF($C$13:$C$1000, "*Kiện*") &amp; " " &amp; AA536,
       AA536)
)</f>
        <v/>
      </c>
      <c r="F536" s="206"/>
      <c r="G536" s="206"/>
      <c r="H536" s="206"/>
      <c r="I536" s="206"/>
      <c r="J536" s="206" t="str">
        <f t="shared" si="152"/>
        <v/>
      </c>
      <c r="K536" s="206" t="str">
        <f t="shared" si="140"/>
        <v/>
      </c>
      <c r="L536" s="206" t="str">
        <f t="shared" si="141"/>
        <v/>
      </c>
      <c r="M536" s="206" t="str">
        <f t="shared" si="142"/>
        <v/>
      </c>
      <c r="N536" s="206" t="str">
        <f t="shared" si="153"/>
        <v/>
      </c>
      <c r="O536" s="206" t="str">
        <f t="shared" si="143"/>
        <v/>
      </c>
      <c r="P536" s="165" t="str">
        <f t="shared" si="144"/>
        <v/>
      </c>
      <c r="Q536" s="207"/>
      <c r="R536" s="141" t="str">
        <f>IF(S536="IN",'BOM_Phan II'!$Y$3,"")</f>
        <v/>
      </c>
      <c r="S536" s="153" t="str">
        <f t="shared" si="145"/>
        <v/>
      </c>
      <c r="T536">
        <f t="shared" si="146"/>
        <v>6</v>
      </c>
      <c r="U536" s="208" t="str">
        <f t="shared" si="154"/>
        <v>KIỆN 9</v>
      </c>
      <c r="V536" s="208" t="str">
        <f t="shared" si="147"/>
        <v/>
      </c>
      <c r="W536" s="240"/>
      <c r="X536" s="240"/>
      <c r="Y536" s="240" t="str">
        <f t="shared" si="148"/>
        <v/>
      </c>
      <c r="Z536" s="240"/>
      <c r="AD536" s="232" t="str">
        <f t="shared" si="149"/>
        <v/>
      </c>
      <c r="AE536" s="204"/>
      <c r="AX536" s="3" t="str">
        <f t="shared" si="139"/>
        <v/>
      </c>
    </row>
    <row r="537" spans="1:50" s="155" customFormat="1" ht="30" hidden="1" customHeight="1">
      <c r="A537" s="141" t="str">
        <f t="shared" si="150"/>
        <v/>
      </c>
      <c r="B537" s="141" t="str">
        <f t="shared" si="151"/>
        <v/>
      </c>
      <c r="C537" s="205" t="str" cm="1">
        <f t="array" ref="C537">IF(D537="","",
    IF(AND(ISNUMBER(D537), D537=INT(D537)),
        $V$6 &amp; " " &amp; (IFERROR(MAX($Y$12:$Y536), 0) + 1),
        IF(ISNUMBER(SEARCH(".", D537)), "", INDEX($C$12:$C537, MATCH(2, 1/($C$12:$C537 &lt;&gt; ""))))
    )
)</f>
        <v/>
      </c>
      <c r="D537" s="206"/>
      <c r="E537" s="206" t="str">
        <f>IF(AA537 = "", "",
    IF(ISNUMBER(SEARCH("Kiện", C537)),
       " GÓI " &amp; COUNTIF($C$13:C537, "*Kiện*") &amp; "/" &amp; COUNTIF($C$13:$C$1000, "*Kiện*") &amp; " " &amp; AA537,
       AA537)
)</f>
        <v/>
      </c>
      <c r="F537" s="206"/>
      <c r="G537" s="206"/>
      <c r="H537" s="206"/>
      <c r="I537" s="206"/>
      <c r="J537" s="206" t="str">
        <f t="shared" si="152"/>
        <v/>
      </c>
      <c r="K537" s="206" t="str">
        <f t="shared" si="140"/>
        <v/>
      </c>
      <c r="L537" s="206" t="str">
        <f t="shared" si="141"/>
        <v/>
      </c>
      <c r="M537" s="206" t="str">
        <f t="shared" si="142"/>
        <v/>
      </c>
      <c r="N537" s="206" t="str">
        <f t="shared" si="153"/>
        <v/>
      </c>
      <c r="O537" s="206" t="str">
        <f t="shared" si="143"/>
        <v/>
      </c>
      <c r="P537" s="165" t="str">
        <f t="shared" si="144"/>
        <v/>
      </c>
      <c r="Q537" s="207"/>
      <c r="R537" s="141" t="str">
        <f>IF(S537="IN",'BOM_Phan II'!$Y$3,"")</f>
        <v/>
      </c>
      <c r="S537" s="153" t="str">
        <f t="shared" si="145"/>
        <v/>
      </c>
      <c r="T537">
        <f t="shared" si="146"/>
        <v>6</v>
      </c>
      <c r="U537" s="208" t="str">
        <f t="shared" si="154"/>
        <v>KIỆN 9</v>
      </c>
      <c r="V537" s="208" t="str">
        <f t="shared" si="147"/>
        <v/>
      </c>
      <c r="W537" s="240"/>
      <c r="X537" s="240"/>
      <c r="Y537" s="240" t="str">
        <f t="shared" si="148"/>
        <v/>
      </c>
      <c r="Z537" s="240"/>
      <c r="AD537" s="232" t="str">
        <f t="shared" si="149"/>
        <v/>
      </c>
      <c r="AE537" s="204"/>
      <c r="AX537" s="3" t="str">
        <f t="shared" si="139"/>
        <v/>
      </c>
    </row>
    <row r="538" spans="1:50" s="155" customFormat="1" ht="30" hidden="1" customHeight="1">
      <c r="A538" s="141" t="str">
        <f t="shared" si="150"/>
        <v/>
      </c>
      <c r="B538" s="141" t="str">
        <f t="shared" si="151"/>
        <v/>
      </c>
      <c r="C538" s="205" t="str" cm="1">
        <f t="array" ref="C538">IF(D538="","",
    IF(AND(ISNUMBER(D538), D538=INT(D538)),
        $V$6 &amp; " " &amp; (IFERROR(MAX($Y$12:$Y537), 0) + 1),
        IF(ISNUMBER(SEARCH(".", D538)), "", INDEX($C$12:$C538, MATCH(2, 1/($C$12:$C538 &lt;&gt; ""))))
    )
)</f>
        <v/>
      </c>
      <c r="D538" s="206"/>
      <c r="E538" s="206" t="str">
        <f>IF(AA538 = "", "",
    IF(ISNUMBER(SEARCH("Kiện", C538)),
       " GÓI " &amp; COUNTIF($C$13:C538, "*Kiện*") &amp; "/" &amp; COUNTIF($C$13:$C$1000, "*Kiện*") &amp; " " &amp; AA538,
       AA538)
)</f>
        <v/>
      </c>
      <c r="F538" s="206"/>
      <c r="G538" s="206"/>
      <c r="H538" s="206"/>
      <c r="I538" s="206"/>
      <c r="J538" s="206" t="str">
        <f t="shared" si="152"/>
        <v/>
      </c>
      <c r="K538" s="206" t="str">
        <f t="shared" si="140"/>
        <v/>
      </c>
      <c r="L538" s="206" t="str">
        <f t="shared" si="141"/>
        <v/>
      </c>
      <c r="M538" s="206" t="str">
        <f t="shared" si="142"/>
        <v/>
      </c>
      <c r="N538" s="206" t="str">
        <f t="shared" si="153"/>
        <v/>
      </c>
      <c r="O538" s="206" t="str">
        <f t="shared" si="143"/>
        <v/>
      </c>
      <c r="P538" s="165" t="str">
        <f t="shared" si="144"/>
        <v/>
      </c>
      <c r="Q538" s="207"/>
      <c r="R538" s="141" t="str">
        <f>IF(S538="IN",'BOM_Phan II'!$Y$3,"")</f>
        <v/>
      </c>
      <c r="S538" s="153" t="str">
        <f t="shared" si="145"/>
        <v/>
      </c>
      <c r="T538">
        <f t="shared" si="146"/>
        <v>6</v>
      </c>
      <c r="U538" s="208" t="str">
        <f t="shared" si="154"/>
        <v>KIỆN 9</v>
      </c>
      <c r="V538" s="208" t="str">
        <f t="shared" si="147"/>
        <v/>
      </c>
      <c r="W538" s="240"/>
      <c r="X538" s="240"/>
      <c r="Y538" s="240" t="str">
        <f t="shared" si="148"/>
        <v/>
      </c>
      <c r="Z538" s="240"/>
      <c r="AD538" s="232" t="str">
        <f t="shared" si="149"/>
        <v/>
      </c>
      <c r="AE538" s="204"/>
      <c r="AX538" s="3" t="str">
        <f t="shared" si="139"/>
        <v/>
      </c>
    </row>
    <row r="539" spans="1:50" s="155" customFormat="1" ht="30" hidden="1" customHeight="1">
      <c r="A539" s="141" t="str">
        <f t="shared" si="150"/>
        <v/>
      </c>
      <c r="B539" s="141" t="str">
        <f t="shared" si="151"/>
        <v/>
      </c>
      <c r="C539" s="205" t="str" cm="1">
        <f t="array" ref="C539">IF(D539="","",
    IF(AND(ISNUMBER(D539), D539=INT(D539)),
        $V$6 &amp; " " &amp; (IFERROR(MAX($Y$12:$Y538), 0) + 1),
        IF(ISNUMBER(SEARCH(".", D539)), "", INDEX($C$12:$C539, MATCH(2, 1/($C$12:$C539 &lt;&gt; ""))))
    )
)</f>
        <v/>
      </c>
      <c r="D539" s="206"/>
      <c r="E539" s="206" t="str">
        <f>IF(AA539 = "", "",
    IF(ISNUMBER(SEARCH("Kiện", C539)),
       " GÓI " &amp; COUNTIF($C$13:C539, "*Kiện*") &amp; "/" &amp; COUNTIF($C$13:$C$1000, "*Kiện*") &amp; " " &amp; AA539,
       AA539)
)</f>
        <v/>
      </c>
      <c r="F539" s="206"/>
      <c r="G539" s="206"/>
      <c r="H539" s="206"/>
      <c r="I539" s="206"/>
      <c r="J539" s="206" t="str">
        <f t="shared" si="152"/>
        <v/>
      </c>
      <c r="K539" s="206" t="str">
        <f t="shared" si="140"/>
        <v/>
      </c>
      <c r="L539" s="206" t="str">
        <f t="shared" si="141"/>
        <v/>
      </c>
      <c r="M539" s="206" t="str">
        <f t="shared" si="142"/>
        <v/>
      </c>
      <c r="N539" s="206" t="str">
        <f t="shared" si="153"/>
        <v/>
      </c>
      <c r="O539" s="206" t="str">
        <f t="shared" si="143"/>
        <v/>
      </c>
      <c r="P539" s="165" t="str">
        <f t="shared" si="144"/>
        <v/>
      </c>
      <c r="Q539" s="207"/>
      <c r="R539" s="141" t="str">
        <f>IF(S539="IN",'BOM_Phan II'!$Y$3,"")</f>
        <v/>
      </c>
      <c r="S539" s="153" t="str">
        <f t="shared" si="145"/>
        <v/>
      </c>
      <c r="T539">
        <f t="shared" si="146"/>
        <v>6</v>
      </c>
      <c r="U539" s="208" t="str">
        <f t="shared" si="154"/>
        <v>KIỆN 9</v>
      </c>
      <c r="V539" s="208" t="str">
        <f t="shared" si="147"/>
        <v/>
      </c>
      <c r="W539" s="240"/>
      <c r="X539" s="240"/>
      <c r="Y539" s="240" t="str">
        <f t="shared" si="148"/>
        <v/>
      </c>
      <c r="Z539" s="240"/>
      <c r="AD539" s="232" t="str">
        <f t="shared" si="149"/>
        <v/>
      </c>
      <c r="AE539" s="204"/>
      <c r="AX539" s="3" t="str">
        <f t="shared" si="139"/>
        <v/>
      </c>
    </row>
    <row r="540" spans="1:50" s="155" customFormat="1" ht="30" hidden="1" customHeight="1">
      <c r="A540" s="141" t="str">
        <f t="shared" si="150"/>
        <v/>
      </c>
      <c r="B540" s="141" t="str">
        <f t="shared" si="151"/>
        <v/>
      </c>
      <c r="C540" s="205" t="str" cm="1">
        <f t="array" ref="C540">IF(D540="","",
    IF(AND(ISNUMBER(D540), D540=INT(D540)),
        $V$6 &amp; " " &amp; (IFERROR(MAX($Y$12:$Y539), 0) + 1),
        IF(ISNUMBER(SEARCH(".", D540)), "", INDEX($C$12:$C540, MATCH(2, 1/($C$12:$C540 &lt;&gt; ""))))
    )
)</f>
        <v/>
      </c>
      <c r="D540" s="206"/>
      <c r="E540" s="206" t="str">
        <f>IF(AA540 = "", "",
    IF(ISNUMBER(SEARCH("Kiện", C540)),
       " GÓI " &amp; COUNTIF($C$13:C540, "*Kiện*") &amp; "/" &amp; COUNTIF($C$13:$C$1000, "*Kiện*") &amp; " " &amp; AA540,
       AA540)
)</f>
        <v/>
      </c>
      <c r="F540" s="206"/>
      <c r="G540" s="206"/>
      <c r="H540" s="206"/>
      <c r="I540" s="206"/>
      <c r="J540" s="206" t="str">
        <f t="shared" si="152"/>
        <v/>
      </c>
      <c r="K540" s="206" t="str">
        <f t="shared" si="140"/>
        <v/>
      </c>
      <c r="L540" s="206" t="str">
        <f t="shared" si="141"/>
        <v/>
      </c>
      <c r="M540" s="206" t="str">
        <f t="shared" si="142"/>
        <v/>
      </c>
      <c r="N540" s="206" t="str">
        <f t="shared" si="153"/>
        <v/>
      </c>
      <c r="O540" s="206" t="str">
        <f t="shared" si="143"/>
        <v/>
      </c>
      <c r="P540" s="165" t="str">
        <f t="shared" si="144"/>
        <v/>
      </c>
      <c r="Q540" s="207"/>
      <c r="R540" s="141" t="str">
        <f>IF(S540="IN",'BOM_Phan II'!$Y$3,"")</f>
        <v/>
      </c>
      <c r="S540" s="153" t="str">
        <f t="shared" si="145"/>
        <v/>
      </c>
      <c r="T540">
        <f t="shared" si="146"/>
        <v>6</v>
      </c>
      <c r="U540" s="208" t="str">
        <f t="shared" si="154"/>
        <v>KIỆN 9</v>
      </c>
      <c r="V540" s="208" t="str">
        <f t="shared" si="147"/>
        <v/>
      </c>
      <c r="W540" s="240"/>
      <c r="X540" s="240"/>
      <c r="Y540" s="240" t="str">
        <f t="shared" si="148"/>
        <v/>
      </c>
      <c r="Z540" s="240"/>
      <c r="AD540" s="232" t="str">
        <f t="shared" si="149"/>
        <v/>
      </c>
      <c r="AE540" s="204"/>
      <c r="AX540" s="3" t="str">
        <f t="shared" si="139"/>
        <v/>
      </c>
    </row>
    <row r="541" spans="1:50" s="155" customFormat="1" ht="30" hidden="1" customHeight="1">
      <c r="A541" s="141" t="str">
        <f t="shared" si="150"/>
        <v/>
      </c>
      <c r="B541" s="141" t="str">
        <f t="shared" si="151"/>
        <v/>
      </c>
      <c r="C541" s="205" t="str" cm="1">
        <f t="array" ref="C541">IF(D541="","",
    IF(AND(ISNUMBER(D541), D541=INT(D541)),
        $V$6 &amp; " " &amp; (IFERROR(MAX($Y$12:$Y540), 0) + 1),
        IF(ISNUMBER(SEARCH(".", D541)), "", INDEX($C$12:$C541, MATCH(2, 1/($C$12:$C541 &lt;&gt; ""))))
    )
)</f>
        <v/>
      </c>
      <c r="D541" s="206"/>
      <c r="E541" s="206" t="str">
        <f>IF(AA541 = "", "",
    IF(ISNUMBER(SEARCH("Kiện", C541)),
       " GÓI " &amp; COUNTIF($C$13:C541, "*Kiện*") &amp; "/" &amp; COUNTIF($C$13:$C$1000, "*Kiện*") &amp; " " &amp; AA541,
       AA541)
)</f>
        <v/>
      </c>
      <c r="F541" s="206"/>
      <c r="G541" s="206"/>
      <c r="H541" s="206"/>
      <c r="I541" s="206"/>
      <c r="J541" s="206" t="str">
        <f t="shared" si="152"/>
        <v/>
      </c>
      <c r="K541" s="206" t="str">
        <f t="shared" si="140"/>
        <v/>
      </c>
      <c r="L541" s="206" t="str">
        <f t="shared" si="141"/>
        <v/>
      </c>
      <c r="M541" s="206" t="str">
        <f t="shared" si="142"/>
        <v/>
      </c>
      <c r="N541" s="206" t="str">
        <f t="shared" si="153"/>
        <v/>
      </c>
      <c r="O541" s="206" t="str">
        <f t="shared" si="143"/>
        <v/>
      </c>
      <c r="P541" s="165" t="str">
        <f t="shared" si="144"/>
        <v/>
      </c>
      <c r="Q541" s="207"/>
      <c r="R541" s="141" t="str">
        <f>IF(S541="IN",'BOM_Phan II'!$Y$3,"")</f>
        <v/>
      </c>
      <c r="S541" s="153" t="str">
        <f t="shared" si="145"/>
        <v/>
      </c>
      <c r="T541">
        <f t="shared" si="146"/>
        <v>6</v>
      </c>
      <c r="U541" s="208" t="str">
        <f t="shared" si="154"/>
        <v>KIỆN 9</v>
      </c>
      <c r="V541" s="208" t="str">
        <f t="shared" si="147"/>
        <v/>
      </c>
      <c r="W541" s="240"/>
      <c r="X541" s="240"/>
      <c r="Y541" s="240" t="str">
        <f t="shared" si="148"/>
        <v/>
      </c>
      <c r="Z541" s="240"/>
      <c r="AD541" s="232" t="str">
        <f t="shared" si="149"/>
        <v/>
      </c>
      <c r="AE541" s="204"/>
      <c r="AX541" s="3" t="str">
        <f t="shared" si="139"/>
        <v/>
      </c>
    </row>
    <row r="542" spans="1:50" s="155" customFormat="1" ht="30" hidden="1" customHeight="1">
      <c r="A542" s="141" t="str">
        <f t="shared" si="150"/>
        <v/>
      </c>
      <c r="B542" s="141" t="str">
        <f t="shared" si="151"/>
        <v/>
      </c>
      <c r="C542" s="205" t="str" cm="1">
        <f t="array" ref="C542">IF(D542="","",
    IF(AND(ISNUMBER(D542), D542=INT(D542)),
        $V$6 &amp; " " &amp; (IFERROR(MAX($Y$12:$Y541), 0) + 1),
        IF(ISNUMBER(SEARCH(".", D542)), "", INDEX($C$12:$C542, MATCH(2, 1/($C$12:$C542 &lt;&gt; ""))))
    )
)</f>
        <v/>
      </c>
      <c r="D542" s="206"/>
      <c r="E542" s="206" t="str">
        <f>IF(AA542 = "", "",
    IF(ISNUMBER(SEARCH("Kiện", C542)),
       " GÓI " &amp; COUNTIF($C$13:C542, "*Kiện*") &amp; "/" &amp; COUNTIF($C$13:$C$1000, "*Kiện*") &amp; " " &amp; AA542,
       AA542)
)</f>
        <v/>
      </c>
      <c r="F542" s="206"/>
      <c r="G542" s="206"/>
      <c r="H542" s="206"/>
      <c r="I542" s="206"/>
      <c r="J542" s="206" t="str">
        <f t="shared" si="152"/>
        <v/>
      </c>
      <c r="K542" s="206" t="str">
        <f t="shared" si="140"/>
        <v/>
      </c>
      <c r="L542" s="206" t="str">
        <f t="shared" si="141"/>
        <v/>
      </c>
      <c r="M542" s="206" t="str">
        <f t="shared" si="142"/>
        <v/>
      </c>
      <c r="N542" s="206" t="str">
        <f t="shared" si="153"/>
        <v/>
      </c>
      <c r="O542" s="206" t="str">
        <f t="shared" si="143"/>
        <v/>
      </c>
      <c r="P542" s="165" t="str">
        <f t="shared" si="144"/>
        <v/>
      </c>
      <c r="Q542" s="207"/>
      <c r="R542" s="141" t="str">
        <f>IF(S542="IN",'BOM_Phan II'!$Y$3,"")</f>
        <v/>
      </c>
      <c r="S542" s="153" t="str">
        <f t="shared" si="145"/>
        <v/>
      </c>
      <c r="T542">
        <f t="shared" si="146"/>
        <v>6</v>
      </c>
      <c r="U542" s="208" t="str">
        <f t="shared" si="154"/>
        <v>KIỆN 9</v>
      </c>
      <c r="V542" s="208" t="str">
        <f t="shared" si="147"/>
        <v/>
      </c>
      <c r="W542" s="240"/>
      <c r="X542" s="240"/>
      <c r="Y542" s="240" t="str">
        <f t="shared" si="148"/>
        <v/>
      </c>
      <c r="Z542" s="240"/>
      <c r="AD542" s="232" t="str">
        <f t="shared" si="149"/>
        <v/>
      </c>
      <c r="AE542" s="204"/>
      <c r="AX542" s="3" t="str">
        <f t="shared" si="139"/>
        <v/>
      </c>
    </row>
    <row r="543" spans="1:50" s="155" customFormat="1" ht="30" hidden="1" customHeight="1">
      <c r="A543" s="141" t="str">
        <f t="shared" si="150"/>
        <v/>
      </c>
      <c r="B543" s="141" t="str">
        <f t="shared" si="151"/>
        <v/>
      </c>
      <c r="C543" s="205" t="str" cm="1">
        <f t="array" ref="C543">IF(D543="","",
    IF(AND(ISNUMBER(D543), D543=INT(D543)),
        $V$6 &amp; " " &amp; (IFERROR(MAX($Y$12:$Y542), 0) + 1),
        IF(ISNUMBER(SEARCH(".", D543)), "", INDEX($C$12:$C543, MATCH(2, 1/($C$12:$C543 &lt;&gt; ""))))
    )
)</f>
        <v/>
      </c>
      <c r="D543" s="206"/>
      <c r="E543" s="206" t="str">
        <f>IF(AA543 = "", "",
    IF(ISNUMBER(SEARCH("Kiện", C543)),
       " GÓI " &amp; COUNTIF($C$13:C543, "*Kiện*") &amp; "/" &amp; COUNTIF($C$13:$C$1000, "*Kiện*") &amp; " " &amp; AA543,
       AA543)
)</f>
        <v/>
      </c>
      <c r="F543" s="206"/>
      <c r="G543" s="206"/>
      <c r="H543" s="206"/>
      <c r="I543" s="206"/>
      <c r="J543" s="206" t="str">
        <f t="shared" si="152"/>
        <v/>
      </c>
      <c r="K543" s="206" t="str">
        <f t="shared" si="140"/>
        <v/>
      </c>
      <c r="L543" s="206" t="str">
        <f t="shared" si="141"/>
        <v/>
      </c>
      <c r="M543" s="206" t="str">
        <f t="shared" si="142"/>
        <v/>
      </c>
      <c r="N543" s="206" t="str">
        <f t="shared" si="153"/>
        <v/>
      </c>
      <c r="O543" s="206" t="str">
        <f t="shared" si="143"/>
        <v/>
      </c>
      <c r="P543" s="165" t="str">
        <f t="shared" si="144"/>
        <v/>
      </c>
      <c r="Q543" s="207"/>
      <c r="R543" s="141" t="str">
        <f>IF(S543="IN",'BOM_Phan II'!$Y$3,"")</f>
        <v/>
      </c>
      <c r="S543" s="153" t="str">
        <f t="shared" si="145"/>
        <v/>
      </c>
      <c r="T543">
        <f t="shared" si="146"/>
        <v>6</v>
      </c>
      <c r="U543" s="208" t="str">
        <f t="shared" si="154"/>
        <v>KIỆN 9</v>
      </c>
      <c r="V543" s="208" t="str">
        <f t="shared" si="147"/>
        <v/>
      </c>
      <c r="W543" s="240"/>
      <c r="X543" s="240"/>
      <c r="Y543" s="240" t="str">
        <f t="shared" si="148"/>
        <v/>
      </c>
      <c r="Z543" s="240"/>
      <c r="AD543" s="232" t="str">
        <f t="shared" si="149"/>
        <v/>
      </c>
      <c r="AE543" s="204"/>
      <c r="AX543" s="3" t="str">
        <f t="shared" si="139"/>
        <v/>
      </c>
    </row>
    <row r="544" spans="1:50" s="155" customFormat="1" ht="30" hidden="1" customHeight="1">
      <c r="A544" s="141" t="str">
        <f t="shared" si="150"/>
        <v/>
      </c>
      <c r="B544" s="141" t="str">
        <f t="shared" si="151"/>
        <v/>
      </c>
      <c r="C544" s="205" t="str" cm="1">
        <f t="array" ref="C544">IF(D544="","",
    IF(AND(ISNUMBER(D544), D544=INT(D544)),
        $V$6 &amp; " " &amp; (IFERROR(MAX($Y$12:$Y543), 0) + 1),
        IF(ISNUMBER(SEARCH(".", D544)), "", INDEX($C$12:$C544, MATCH(2, 1/($C$12:$C544 &lt;&gt; ""))))
    )
)</f>
        <v/>
      </c>
      <c r="D544" s="206"/>
      <c r="E544" s="206" t="str">
        <f>IF(AA544 = "", "",
    IF(ISNUMBER(SEARCH("Kiện", C544)),
       " GÓI " &amp; COUNTIF($C$13:C544, "*Kiện*") &amp; "/" &amp; COUNTIF($C$13:$C$1000, "*Kiện*") &amp; " " &amp; AA544,
       AA544)
)</f>
        <v/>
      </c>
      <c r="F544" s="206"/>
      <c r="G544" s="206"/>
      <c r="H544" s="206"/>
      <c r="I544" s="206"/>
      <c r="J544" s="206" t="str">
        <f t="shared" si="152"/>
        <v/>
      </c>
      <c r="K544" s="206" t="str">
        <f t="shared" si="140"/>
        <v/>
      </c>
      <c r="L544" s="206" t="str">
        <f t="shared" si="141"/>
        <v/>
      </c>
      <c r="M544" s="206" t="str">
        <f t="shared" si="142"/>
        <v/>
      </c>
      <c r="N544" s="206" t="str">
        <f t="shared" si="153"/>
        <v/>
      </c>
      <c r="O544" s="206" t="str">
        <f t="shared" si="143"/>
        <v/>
      </c>
      <c r="P544" s="165" t="str">
        <f t="shared" si="144"/>
        <v/>
      </c>
      <c r="Q544" s="207"/>
      <c r="R544" s="141" t="str">
        <f>IF(S544="IN",'BOM_Phan II'!$Y$3,"")</f>
        <v/>
      </c>
      <c r="S544" s="153" t="str">
        <f t="shared" si="145"/>
        <v/>
      </c>
      <c r="T544">
        <f t="shared" si="146"/>
        <v>6</v>
      </c>
      <c r="U544" s="208" t="str">
        <f t="shared" si="154"/>
        <v>KIỆN 9</v>
      </c>
      <c r="V544" s="208" t="str">
        <f t="shared" si="147"/>
        <v/>
      </c>
      <c r="W544" s="240"/>
      <c r="X544" s="240"/>
      <c r="Y544" s="240" t="str">
        <f t="shared" si="148"/>
        <v/>
      </c>
      <c r="Z544" s="240"/>
      <c r="AD544" s="232" t="str">
        <f t="shared" si="149"/>
        <v/>
      </c>
      <c r="AE544" s="204"/>
      <c r="AX544" s="3" t="str">
        <f t="shared" si="139"/>
        <v/>
      </c>
    </row>
    <row r="545" spans="1:50" s="155" customFormat="1" ht="30" hidden="1" customHeight="1">
      <c r="A545" s="141" t="str">
        <f t="shared" si="150"/>
        <v/>
      </c>
      <c r="B545" s="141" t="str">
        <f t="shared" si="151"/>
        <v/>
      </c>
      <c r="C545" s="205" t="str" cm="1">
        <f t="array" ref="C545">IF(D545="","",
    IF(AND(ISNUMBER(D545), D545=INT(D545)),
        $V$6 &amp; " " &amp; (IFERROR(MAX($Y$12:$Y544), 0) + 1),
        IF(ISNUMBER(SEARCH(".", D545)), "", INDEX($C$12:$C545, MATCH(2, 1/($C$12:$C545 &lt;&gt; ""))))
    )
)</f>
        <v/>
      </c>
      <c r="D545" s="206"/>
      <c r="E545" s="206" t="str">
        <f>IF(AA545 = "", "",
    IF(ISNUMBER(SEARCH("Kiện", C545)),
       " GÓI " &amp; COUNTIF($C$13:C545, "*Kiện*") &amp; "/" &amp; COUNTIF($C$13:$C$1000, "*Kiện*") &amp; " " &amp; AA545,
       AA545)
)</f>
        <v/>
      </c>
      <c r="F545" s="206"/>
      <c r="G545" s="206"/>
      <c r="H545" s="206"/>
      <c r="I545" s="206"/>
      <c r="J545" s="206" t="str">
        <f t="shared" si="152"/>
        <v/>
      </c>
      <c r="K545" s="206" t="str">
        <f t="shared" si="140"/>
        <v/>
      </c>
      <c r="L545" s="206" t="str">
        <f t="shared" si="141"/>
        <v/>
      </c>
      <c r="M545" s="206" t="str">
        <f t="shared" si="142"/>
        <v/>
      </c>
      <c r="N545" s="206" t="str">
        <f t="shared" si="153"/>
        <v/>
      </c>
      <c r="O545" s="206" t="str">
        <f t="shared" si="143"/>
        <v/>
      </c>
      <c r="P545" s="165" t="str">
        <f t="shared" si="144"/>
        <v/>
      </c>
      <c r="Q545" s="207"/>
      <c r="R545" s="141" t="str">
        <f>IF(S545="IN",'BOM_Phan II'!$Y$3,"")</f>
        <v/>
      </c>
      <c r="S545" s="153" t="str">
        <f t="shared" si="145"/>
        <v/>
      </c>
      <c r="T545">
        <f t="shared" si="146"/>
        <v>6</v>
      </c>
      <c r="U545" s="208" t="str">
        <f t="shared" si="154"/>
        <v>KIỆN 9</v>
      </c>
      <c r="V545" s="208" t="str">
        <f t="shared" si="147"/>
        <v/>
      </c>
      <c r="W545" s="240"/>
      <c r="X545" s="240"/>
      <c r="Y545" s="240" t="str">
        <f t="shared" si="148"/>
        <v/>
      </c>
      <c r="Z545" s="240"/>
      <c r="AD545" s="232" t="str">
        <f t="shared" si="149"/>
        <v/>
      </c>
      <c r="AE545" s="204"/>
      <c r="AX545" s="3" t="str">
        <f t="shared" si="139"/>
        <v/>
      </c>
    </row>
    <row r="546" spans="1:50" s="155" customFormat="1" ht="30" hidden="1" customHeight="1">
      <c r="A546" s="141" t="str">
        <f t="shared" si="150"/>
        <v/>
      </c>
      <c r="B546" s="141" t="str">
        <f t="shared" si="151"/>
        <v/>
      </c>
      <c r="C546" s="205" t="str" cm="1">
        <f t="array" ref="C546">IF(D546="","",
    IF(AND(ISNUMBER(D546), D546=INT(D546)),
        $V$6 &amp; " " &amp; (IFERROR(MAX($Y$12:$Y545), 0) + 1),
        IF(ISNUMBER(SEARCH(".", D546)), "", INDEX($C$12:$C546, MATCH(2, 1/($C$12:$C546 &lt;&gt; ""))))
    )
)</f>
        <v/>
      </c>
      <c r="D546" s="206"/>
      <c r="E546" s="206" t="str">
        <f>IF(AA546 = "", "",
    IF(ISNUMBER(SEARCH("Kiện", C546)),
       " GÓI " &amp; COUNTIF($C$13:C546, "*Kiện*") &amp; "/" &amp; COUNTIF($C$13:$C$1000, "*Kiện*") &amp; " " &amp; AA546,
       AA546)
)</f>
        <v/>
      </c>
      <c r="F546" s="206"/>
      <c r="G546" s="206"/>
      <c r="H546" s="206"/>
      <c r="I546" s="206"/>
      <c r="J546" s="206" t="str">
        <f t="shared" si="152"/>
        <v/>
      </c>
      <c r="K546" s="206" t="str">
        <f t="shared" si="140"/>
        <v/>
      </c>
      <c r="L546" s="206" t="str">
        <f t="shared" si="141"/>
        <v/>
      </c>
      <c r="M546" s="206" t="str">
        <f t="shared" si="142"/>
        <v/>
      </c>
      <c r="N546" s="206" t="str">
        <f t="shared" si="153"/>
        <v/>
      </c>
      <c r="O546" s="206" t="str">
        <f t="shared" si="143"/>
        <v/>
      </c>
      <c r="P546" s="165" t="str">
        <f t="shared" si="144"/>
        <v/>
      </c>
      <c r="Q546" s="207"/>
      <c r="R546" s="141" t="str">
        <f>IF(S546="IN",'BOM_Phan II'!$Y$3,"")</f>
        <v/>
      </c>
      <c r="S546" s="153" t="str">
        <f t="shared" si="145"/>
        <v/>
      </c>
      <c r="T546">
        <f t="shared" si="146"/>
        <v>6</v>
      </c>
      <c r="U546" s="208" t="str">
        <f t="shared" si="154"/>
        <v>KIỆN 9</v>
      </c>
      <c r="V546" s="208" t="str">
        <f t="shared" si="147"/>
        <v/>
      </c>
      <c r="W546" s="240"/>
      <c r="X546" s="240"/>
      <c r="Y546" s="240" t="str">
        <f t="shared" si="148"/>
        <v/>
      </c>
      <c r="Z546" s="240"/>
      <c r="AD546" s="232" t="str">
        <f t="shared" si="149"/>
        <v/>
      </c>
      <c r="AE546" s="204"/>
      <c r="AX546" s="3" t="str">
        <f t="shared" si="139"/>
        <v/>
      </c>
    </row>
    <row r="547" spans="1:50" s="155" customFormat="1" ht="30" hidden="1" customHeight="1">
      <c r="A547" s="141" t="str">
        <f t="shared" si="150"/>
        <v/>
      </c>
      <c r="B547" s="141" t="str">
        <f t="shared" si="151"/>
        <v/>
      </c>
      <c r="C547" s="205" t="str" cm="1">
        <f t="array" ref="C547">IF(D547="","",
    IF(AND(ISNUMBER(D547), D547=INT(D547)),
        $V$6 &amp; " " &amp; (IFERROR(MAX($Y$12:$Y546), 0) + 1),
        IF(ISNUMBER(SEARCH(".", D547)), "", INDEX($C$12:$C547, MATCH(2, 1/($C$12:$C547 &lt;&gt; ""))))
    )
)</f>
        <v/>
      </c>
      <c r="D547" s="206"/>
      <c r="E547" s="206" t="str">
        <f>IF(AA547 = "", "",
    IF(ISNUMBER(SEARCH("Kiện", C547)),
       " GÓI " &amp; COUNTIF($C$13:C547, "*Kiện*") &amp; "/" &amp; COUNTIF($C$13:$C$1000, "*Kiện*") &amp; " " &amp; AA547,
       AA547)
)</f>
        <v/>
      </c>
      <c r="F547" s="206"/>
      <c r="G547" s="206"/>
      <c r="H547" s="206"/>
      <c r="I547" s="206"/>
      <c r="J547" s="206" t="str">
        <f t="shared" si="152"/>
        <v/>
      </c>
      <c r="K547" s="206" t="str">
        <f t="shared" si="140"/>
        <v/>
      </c>
      <c r="L547" s="206" t="str">
        <f t="shared" si="141"/>
        <v/>
      </c>
      <c r="M547" s="206" t="str">
        <f t="shared" si="142"/>
        <v/>
      </c>
      <c r="N547" s="206" t="str">
        <f t="shared" si="153"/>
        <v/>
      </c>
      <c r="O547" s="206" t="str">
        <f t="shared" si="143"/>
        <v/>
      </c>
      <c r="P547" s="165" t="str">
        <f t="shared" si="144"/>
        <v/>
      </c>
      <c r="Q547" s="207"/>
      <c r="R547" s="141" t="str">
        <f>IF(S547="IN",'BOM_Phan II'!$Y$3,"")</f>
        <v/>
      </c>
      <c r="S547" s="153" t="str">
        <f t="shared" si="145"/>
        <v/>
      </c>
      <c r="T547">
        <f t="shared" si="146"/>
        <v>6</v>
      </c>
      <c r="U547" s="208" t="str">
        <f t="shared" si="154"/>
        <v>KIỆN 9</v>
      </c>
      <c r="V547" s="208" t="str">
        <f t="shared" si="147"/>
        <v/>
      </c>
      <c r="W547" s="240"/>
      <c r="X547" s="240"/>
      <c r="Y547" s="240" t="str">
        <f t="shared" si="148"/>
        <v/>
      </c>
      <c r="Z547" s="240"/>
      <c r="AD547" s="232" t="str">
        <f t="shared" si="149"/>
        <v/>
      </c>
      <c r="AE547" s="204"/>
      <c r="AX547" s="3" t="str">
        <f t="shared" si="139"/>
        <v/>
      </c>
    </row>
    <row r="548" spans="1:50" s="155" customFormat="1" ht="30" hidden="1" customHeight="1">
      <c r="A548" s="141" t="str">
        <f t="shared" si="150"/>
        <v/>
      </c>
      <c r="B548" s="141" t="str">
        <f t="shared" si="151"/>
        <v/>
      </c>
      <c r="C548" s="205" t="str" cm="1">
        <f t="array" ref="C548">IF(D548="","",
    IF(AND(ISNUMBER(D548), D548=INT(D548)),
        $V$6 &amp; " " &amp; (IFERROR(MAX($Y$12:$Y547), 0) + 1),
        IF(ISNUMBER(SEARCH(".", D548)), "", INDEX($C$12:$C548, MATCH(2, 1/($C$12:$C548 &lt;&gt; ""))))
    )
)</f>
        <v/>
      </c>
      <c r="D548" s="206"/>
      <c r="E548" s="206" t="str">
        <f>IF(AA548 = "", "",
    IF(ISNUMBER(SEARCH("Kiện", C548)),
       " GÓI " &amp; COUNTIF($C$13:C548, "*Kiện*") &amp; "/" &amp; COUNTIF($C$13:$C$1000, "*Kiện*") &amp; " " &amp; AA548,
       AA548)
)</f>
        <v/>
      </c>
      <c r="F548" s="206"/>
      <c r="G548" s="206"/>
      <c r="H548" s="206"/>
      <c r="I548" s="206"/>
      <c r="J548" s="206" t="str">
        <f t="shared" si="152"/>
        <v/>
      </c>
      <c r="K548" s="206" t="str">
        <f t="shared" si="140"/>
        <v/>
      </c>
      <c r="L548" s="206" t="str">
        <f t="shared" si="141"/>
        <v/>
      </c>
      <c r="M548" s="206" t="str">
        <f t="shared" si="142"/>
        <v/>
      </c>
      <c r="N548" s="206" t="str">
        <f t="shared" si="153"/>
        <v/>
      </c>
      <c r="O548" s="206" t="str">
        <f t="shared" si="143"/>
        <v/>
      </c>
      <c r="P548" s="165" t="str">
        <f t="shared" si="144"/>
        <v/>
      </c>
      <c r="Q548" s="207"/>
      <c r="R548" s="141" t="str">
        <f>IF(S548="IN",'BOM_Phan II'!$Y$3,"")</f>
        <v/>
      </c>
      <c r="S548" s="153" t="str">
        <f t="shared" si="145"/>
        <v/>
      </c>
      <c r="T548">
        <f t="shared" si="146"/>
        <v>6</v>
      </c>
      <c r="U548" s="208" t="str">
        <f t="shared" si="154"/>
        <v>KIỆN 9</v>
      </c>
      <c r="V548" s="208" t="str">
        <f t="shared" si="147"/>
        <v/>
      </c>
      <c r="W548" s="240"/>
      <c r="X548" s="240"/>
      <c r="Y548" s="240" t="str">
        <f t="shared" si="148"/>
        <v/>
      </c>
      <c r="Z548" s="240"/>
      <c r="AD548" s="232" t="str">
        <f t="shared" si="149"/>
        <v/>
      </c>
      <c r="AE548" s="204"/>
      <c r="AX548" s="3" t="str">
        <f t="shared" si="139"/>
        <v/>
      </c>
    </row>
    <row r="549" spans="1:50" s="155" customFormat="1" ht="30" hidden="1" customHeight="1">
      <c r="A549" s="141" t="str">
        <f t="shared" si="150"/>
        <v/>
      </c>
      <c r="B549" s="141" t="str">
        <f t="shared" si="151"/>
        <v/>
      </c>
      <c r="C549" s="205" t="str" cm="1">
        <f t="array" ref="C549">IF(D549="","",
    IF(AND(ISNUMBER(D549), D549=INT(D549)),
        $V$6 &amp; " " &amp; (IFERROR(MAX($Y$12:$Y548), 0) + 1),
        IF(ISNUMBER(SEARCH(".", D549)), "", INDEX($C$12:$C549, MATCH(2, 1/($C$12:$C549 &lt;&gt; ""))))
    )
)</f>
        <v/>
      </c>
      <c r="D549" s="206"/>
      <c r="E549" s="206" t="str">
        <f>IF(AA549 = "", "",
    IF(ISNUMBER(SEARCH("Kiện", C549)),
       " GÓI " &amp; COUNTIF($C$13:C549, "*Kiện*") &amp; "/" &amp; COUNTIF($C$13:$C$1000, "*Kiện*") &amp; " " &amp; AA549,
       AA549)
)</f>
        <v/>
      </c>
      <c r="F549" s="206"/>
      <c r="G549" s="206"/>
      <c r="H549" s="206"/>
      <c r="I549" s="206"/>
      <c r="J549" s="206" t="str">
        <f t="shared" si="152"/>
        <v/>
      </c>
      <c r="K549" s="206" t="str">
        <f t="shared" si="140"/>
        <v/>
      </c>
      <c r="L549" s="206" t="str">
        <f t="shared" si="141"/>
        <v/>
      </c>
      <c r="M549" s="206" t="str">
        <f t="shared" si="142"/>
        <v/>
      </c>
      <c r="N549" s="206" t="str">
        <f t="shared" si="153"/>
        <v/>
      </c>
      <c r="O549" s="206" t="str">
        <f t="shared" si="143"/>
        <v/>
      </c>
      <c r="P549" s="165" t="str">
        <f t="shared" si="144"/>
        <v/>
      </c>
      <c r="Q549" s="207"/>
      <c r="R549" s="141" t="str">
        <f>IF(S549="IN",'BOM_Phan II'!$Y$3,"")</f>
        <v/>
      </c>
      <c r="S549" s="153" t="str">
        <f t="shared" si="145"/>
        <v/>
      </c>
      <c r="T549">
        <f t="shared" si="146"/>
        <v>6</v>
      </c>
      <c r="U549" s="208" t="str">
        <f t="shared" si="154"/>
        <v>KIỆN 9</v>
      </c>
      <c r="V549" s="208" t="str">
        <f t="shared" si="147"/>
        <v/>
      </c>
      <c r="W549" s="240"/>
      <c r="X549" s="240"/>
      <c r="Y549" s="240" t="str">
        <f t="shared" si="148"/>
        <v/>
      </c>
      <c r="Z549" s="240"/>
      <c r="AD549" s="232" t="str">
        <f t="shared" si="149"/>
        <v/>
      </c>
      <c r="AE549" s="204"/>
      <c r="AX549" s="3" t="str">
        <f t="shared" si="139"/>
        <v/>
      </c>
    </row>
    <row r="550" spans="1:50" s="155" customFormat="1" ht="30" hidden="1" customHeight="1">
      <c r="A550" s="141" t="str">
        <f t="shared" si="150"/>
        <v/>
      </c>
      <c r="B550" s="141" t="str">
        <f t="shared" si="151"/>
        <v/>
      </c>
      <c r="C550" s="205" t="str" cm="1">
        <f t="array" ref="C550">IF(D550="","",
    IF(AND(ISNUMBER(D550), D550=INT(D550)),
        $V$6 &amp; " " &amp; (IFERROR(MAX($Y$12:$Y549), 0) + 1),
        IF(ISNUMBER(SEARCH(".", D550)), "", INDEX($C$12:$C550, MATCH(2, 1/($C$12:$C550 &lt;&gt; ""))))
    )
)</f>
        <v/>
      </c>
      <c r="D550" s="206"/>
      <c r="E550" s="206" t="str">
        <f>IF(AA550 = "", "",
    IF(ISNUMBER(SEARCH("Kiện", C550)),
       " GÓI " &amp; COUNTIF($C$13:C550, "*Kiện*") &amp; "/" &amp; COUNTIF($C$13:$C$1000, "*Kiện*") &amp; " " &amp; AA550,
       AA550)
)</f>
        <v/>
      </c>
      <c r="F550" s="206"/>
      <c r="G550" s="206"/>
      <c r="H550" s="206"/>
      <c r="I550" s="206"/>
      <c r="J550" s="206" t="str">
        <f t="shared" si="152"/>
        <v/>
      </c>
      <c r="K550" s="206" t="str">
        <f t="shared" si="140"/>
        <v/>
      </c>
      <c r="L550" s="206" t="str">
        <f t="shared" si="141"/>
        <v/>
      </c>
      <c r="M550" s="206" t="str">
        <f t="shared" si="142"/>
        <v/>
      </c>
      <c r="N550" s="206" t="str">
        <f t="shared" si="153"/>
        <v/>
      </c>
      <c r="O550" s="206" t="str">
        <f t="shared" si="143"/>
        <v/>
      </c>
      <c r="P550" s="165" t="str">
        <f t="shared" si="144"/>
        <v/>
      </c>
      <c r="Q550" s="207"/>
      <c r="R550" s="141" t="str">
        <f>IF(S550="IN",'BOM_Phan II'!$Y$3,"")</f>
        <v/>
      </c>
      <c r="S550" s="153" t="str">
        <f t="shared" si="145"/>
        <v/>
      </c>
      <c r="T550">
        <f t="shared" si="146"/>
        <v>6</v>
      </c>
      <c r="U550" s="208" t="str">
        <f t="shared" si="154"/>
        <v>KIỆN 9</v>
      </c>
      <c r="V550" s="208" t="str">
        <f t="shared" si="147"/>
        <v/>
      </c>
      <c r="W550" s="240"/>
      <c r="X550" s="240"/>
      <c r="Y550" s="240" t="str">
        <f t="shared" si="148"/>
        <v/>
      </c>
      <c r="Z550" s="240"/>
      <c r="AD550" s="232" t="str">
        <f t="shared" si="149"/>
        <v/>
      </c>
      <c r="AE550" s="204"/>
      <c r="AX550" s="3" t="str">
        <f t="shared" si="139"/>
        <v/>
      </c>
    </row>
    <row r="551" spans="1:50" s="155" customFormat="1" ht="30" hidden="1" customHeight="1">
      <c r="A551" s="141" t="str">
        <f t="shared" si="150"/>
        <v/>
      </c>
      <c r="B551" s="141" t="str">
        <f t="shared" si="151"/>
        <v/>
      </c>
      <c r="C551" s="205" t="str" cm="1">
        <f t="array" ref="C551">IF(D551="","",
    IF(AND(ISNUMBER(D551), D551=INT(D551)),
        $V$6 &amp; " " &amp; (IFERROR(MAX($Y$12:$Y550), 0) + 1),
        IF(ISNUMBER(SEARCH(".", D551)), "", INDEX($C$12:$C551, MATCH(2, 1/($C$12:$C551 &lt;&gt; ""))))
    )
)</f>
        <v/>
      </c>
      <c r="D551" s="206"/>
      <c r="E551" s="206" t="str">
        <f>IF(AA551 = "", "",
    IF(ISNUMBER(SEARCH("Kiện", C551)),
       " GÓI " &amp; COUNTIF($C$13:C551, "*Kiện*") &amp; "/" &amp; COUNTIF($C$13:$C$1000, "*Kiện*") &amp; " " &amp; AA551,
       AA551)
)</f>
        <v/>
      </c>
      <c r="F551" s="206"/>
      <c r="G551" s="206"/>
      <c r="H551" s="206"/>
      <c r="I551" s="206"/>
      <c r="J551" s="206" t="str">
        <f t="shared" si="152"/>
        <v/>
      </c>
      <c r="K551" s="206" t="str">
        <f t="shared" si="140"/>
        <v/>
      </c>
      <c r="L551" s="206" t="str">
        <f t="shared" si="141"/>
        <v/>
      </c>
      <c r="M551" s="206" t="str">
        <f t="shared" si="142"/>
        <v/>
      </c>
      <c r="N551" s="206" t="str">
        <f t="shared" si="153"/>
        <v/>
      </c>
      <c r="O551" s="206" t="str">
        <f t="shared" si="143"/>
        <v/>
      </c>
      <c r="P551" s="165" t="str">
        <f t="shared" si="144"/>
        <v/>
      </c>
      <c r="Q551" s="207"/>
      <c r="R551" s="141" t="str">
        <f>IF(S551="IN",'BOM_Phan II'!$Y$3,"")</f>
        <v/>
      </c>
      <c r="S551" s="153" t="str">
        <f t="shared" si="145"/>
        <v/>
      </c>
      <c r="T551">
        <f t="shared" si="146"/>
        <v>6</v>
      </c>
      <c r="U551" s="208" t="str">
        <f t="shared" si="154"/>
        <v>KIỆN 9</v>
      </c>
      <c r="V551" s="208" t="str">
        <f t="shared" si="147"/>
        <v/>
      </c>
      <c r="W551" s="240"/>
      <c r="X551" s="240"/>
      <c r="Y551" s="240" t="str">
        <f t="shared" si="148"/>
        <v/>
      </c>
      <c r="Z551" s="240"/>
      <c r="AD551" s="232" t="str">
        <f t="shared" si="149"/>
        <v/>
      </c>
      <c r="AE551" s="204"/>
      <c r="AX551" s="3" t="str">
        <f t="shared" si="139"/>
        <v/>
      </c>
    </row>
    <row r="552" spans="1:50" s="155" customFormat="1" ht="30" hidden="1" customHeight="1">
      <c r="A552" s="141" t="str">
        <f t="shared" si="150"/>
        <v/>
      </c>
      <c r="B552" s="141" t="str">
        <f t="shared" si="151"/>
        <v/>
      </c>
      <c r="C552" s="205" t="str" cm="1">
        <f t="array" ref="C552">IF(D552="","",
    IF(AND(ISNUMBER(D552), D552=INT(D552)),
        $V$6 &amp; " " &amp; (IFERROR(MAX($Y$12:$Y551), 0) + 1),
        IF(ISNUMBER(SEARCH(".", D552)), "", INDEX($C$12:$C552, MATCH(2, 1/($C$12:$C552 &lt;&gt; ""))))
    )
)</f>
        <v/>
      </c>
      <c r="D552" s="206"/>
      <c r="E552" s="206" t="str">
        <f>IF(AA552 = "", "",
    IF(ISNUMBER(SEARCH("Kiện", C552)),
       " GÓI " &amp; COUNTIF($C$13:C552, "*Kiện*") &amp; "/" &amp; COUNTIF($C$13:$C$1000, "*Kiện*") &amp; " " &amp; AA552,
       AA552)
)</f>
        <v/>
      </c>
      <c r="F552" s="206"/>
      <c r="G552" s="206"/>
      <c r="H552" s="206"/>
      <c r="I552" s="206"/>
      <c r="J552" s="206" t="str">
        <f t="shared" si="152"/>
        <v/>
      </c>
      <c r="K552" s="206" t="str">
        <f t="shared" si="140"/>
        <v/>
      </c>
      <c r="L552" s="206" t="str">
        <f t="shared" si="141"/>
        <v/>
      </c>
      <c r="M552" s="206" t="str">
        <f t="shared" si="142"/>
        <v/>
      </c>
      <c r="N552" s="206" t="str">
        <f t="shared" si="153"/>
        <v/>
      </c>
      <c r="O552" s="206" t="str">
        <f t="shared" si="143"/>
        <v/>
      </c>
      <c r="P552" s="165" t="str">
        <f t="shared" si="144"/>
        <v/>
      </c>
      <c r="Q552" s="207"/>
      <c r="R552" s="141" t="str">
        <f>IF(S552="IN",'BOM_Phan II'!$Y$3,"")</f>
        <v/>
      </c>
      <c r="S552" s="153" t="str">
        <f t="shared" si="145"/>
        <v/>
      </c>
      <c r="T552">
        <f t="shared" si="146"/>
        <v>6</v>
      </c>
      <c r="U552" s="208" t="str">
        <f t="shared" si="154"/>
        <v>KIỆN 9</v>
      </c>
      <c r="V552" s="208" t="str">
        <f t="shared" si="147"/>
        <v/>
      </c>
      <c r="W552" s="240"/>
      <c r="X552" s="240"/>
      <c r="Y552" s="240" t="str">
        <f t="shared" si="148"/>
        <v/>
      </c>
      <c r="Z552" s="240"/>
      <c r="AD552" s="232" t="str">
        <f t="shared" si="149"/>
        <v/>
      </c>
      <c r="AE552" s="204"/>
      <c r="AX552" s="3" t="str">
        <f t="shared" si="139"/>
        <v/>
      </c>
    </row>
    <row r="553" spans="1:50" s="155" customFormat="1" ht="30" hidden="1" customHeight="1">
      <c r="A553" s="141" t="str">
        <f t="shared" si="150"/>
        <v/>
      </c>
      <c r="B553" s="141" t="str">
        <f t="shared" si="151"/>
        <v/>
      </c>
      <c r="C553" s="205" t="str" cm="1">
        <f t="array" ref="C553">IF(D553="","",
    IF(AND(ISNUMBER(D553), D553=INT(D553)),
        $V$6 &amp; " " &amp; (IFERROR(MAX($Y$12:$Y552), 0) + 1),
        IF(ISNUMBER(SEARCH(".", D553)), "", INDEX($C$12:$C553, MATCH(2, 1/($C$12:$C553 &lt;&gt; ""))))
    )
)</f>
        <v/>
      </c>
      <c r="D553" s="206"/>
      <c r="E553" s="206" t="str">
        <f>IF(AA553 = "", "",
    IF(ISNUMBER(SEARCH("Kiện", C553)),
       " GÓI " &amp; COUNTIF($C$13:C553, "*Kiện*") &amp; "/" &amp; COUNTIF($C$13:$C$1000, "*Kiện*") &amp; " " &amp; AA553,
       AA553)
)</f>
        <v/>
      </c>
      <c r="F553" s="206"/>
      <c r="G553" s="206"/>
      <c r="H553" s="206"/>
      <c r="I553" s="206"/>
      <c r="J553" s="206" t="str">
        <f t="shared" si="152"/>
        <v/>
      </c>
      <c r="K553" s="206" t="str">
        <f t="shared" si="140"/>
        <v/>
      </c>
      <c r="L553" s="206" t="str">
        <f t="shared" si="141"/>
        <v/>
      </c>
      <c r="M553" s="206" t="str">
        <f t="shared" si="142"/>
        <v/>
      </c>
      <c r="N553" s="206" t="str">
        <f t="shared" si="153"/>
        <v/>
      </c>
      <c r="O553" s="206" t="str">
        <f t="shared" si="143"/>
        <v/>
      </c>
      <c r="P553" s="165" t="str">
        <f t="shared" si="144"/>
        <v/>
      </c>
      <c r="Q553" s="207"/>
      <c r="R553" s="141" t="str">
        <f>IF(S553="IN",'BOM_Phan II'!$Y$3,"")</f>
        <v/>
      </c>
      <c r="S553" s="153" t="str">
        <f t="shared" si="145"/>
        <v/>
      </c>
      <c r="T553">
        <f t="shared" si="146"/>
        <v>6</v>
      </c>
      <c r="U553" s="208" t="str">
        <f t="shared" si="154"/>
        <v>KIỆN 9</v>
      </c>
      <c r="V553" s="208" t="str">
        <f t="shared" si="147"/>
        <v/>
      </c>
      <c r="W553" s="240"/>
      <c r="X553" s="240"/>
      <c r="Y553" s="240" t="str">
        <f t="shared" si="148"/>
        <v/>
      </c>
      <c r="Z553" s="240"/>
      <c r="AD553" s="232" t="str">
        <f t="shared" si="149"/>
        <v/>
      </c>
      <c r="AE553" s="204"/>
      <c r="AX553" s="3" t="str">
        <f t="shared" si="139"/>
        <v/>
      </c>
    </row>
    <row r="554" spans="1:50" s="155" customFormat="1" ht="30" hidden="1" customHeight="1">
      <c r="A554" s="141" t="str">
        <f t="shared" si="150"/>
        <v/>
      </c>
      <c r="B554" s="141" t="str">
        <f t="shared" si="151"/>
        <v/>
      </c>
      <c r="C554" s="205" t="str" cm="1">
        <f t="array" ref="C554">IF(D554="","",
    IF(AND(ISNUMBER(D554), D554=INT(D554)),
        $V$6 &amp; " " &amp; (IFERROR(MAX($Y$12:$Y553), 0) + 1),
        IF(ISNUMBER(SEARCH(".", D554)), "", INDEX($C$12:$C554, MATCH(2, 1/($C$12:$C554 &lt;&gt; ""))))
    )
)</f>
        <v/>
      </c>
      <c r="D554" s="206"/>
      <c r="E554" s="206" t="str">
        <f>IF(AA554 = "", "",
    IF(ISNUMBER(SEARCH("Kiện", C554)),
       " GÓI " &amp; COUNTIF($C$13:C554, "*Kiện*") &amp; "/" &amp; COUNTIF($C$13:$C$1000, "*Kiện*") &amp; " " &amp; AA554,
       AA554)
)</f>
        <v/>
      </c>
      <c r="F554" s="206"/>
      <c r="G554" s="206"/>
      <c r="H554" s="206"/>
      <c r="I554" s="206"/>
      <c r="J554" s="206" t="str">
        <f t="shared" si="152"/>
        <v/>
      </c>
      <c r="K554" s="206" t="str">
        <f t="shared" si="140"/>
        <v/>
      </c>
      <c r="L554" s="206" t="str">
        <f t="shared" si="141"/>
        <v/>
      </c>
      <c r="M554" s="206" t="str">
        <f t="shared" si="142"/>
        <v/>
      </c>
      <c r="N554" s="206" t="str">
        <f t="shared" si="153"/>
        <v/>
      </c>
      <c r="O554" s="206" t="str">
        <f t="shared" si="143"/>
        <v/>
      </c>
      <c r="P554" s="165" t="str">
        <f t="shared" si="144"/>
        <v/>
      </c>
      <c r="Q554" s="207"/>
      <c r="R554" s="141" t="str">
        <f>IF(S554="IN",'BOM_Phan II'!$Y$3,"")</f>
        <v/>
      </c>
      <c r="S554" s="153" t="str">
        <f t="shared" si="145"/>
        <v/>
      </c>
      <c r="T554">
        <f t="shared" si="146"/>
        <v>6</v>
      </c>
      <c r="U554" s="208" t="str">
        <f t="shared" si="154"/>
        <v>KIỆN 9</v>
      </c>
      <c r="V554" s="208" t="str">
        <f t="shared" si="147"/>
        <v/>
      </c>
      <c r="W554" s="240"/>
      <c r="X554" s="240"/>
      <c r="Y554" s="240" t="str">
        <f t="shared" si="148"/>
        <v/>
      </c>
      <c r="Z554" s="240"/>
      <c r="AD554" s="232" t="str">
        <f t="shared" si="149"/>
        <v/>
      </c>
      <c r="AE554" s="204"/>
      <c r="AX554" s="3" t="str">
        <f t="shared" si="139"/>
        <v/>
      </c>
    </row>
    <row r="555" spans="1:50" s="155" customFormat="1" ht="30" hidden="1" customHeight="1">
      <c r="A555" s="141" t="str">
        <f t="shared" si="150"/>
        <v/>
      </c>
      <c r="B555" s="141" t="str">
        <f t="shared" si="151"/>
        <v/>
      </c>
      <c r="C555" s="205" t="str" cm="1">
        <f t="array" ref="C555">IF(D555="","",
    IF(AND(ISNUMBER(D555), D555=INT(D555)),
        $V$6 &amp; " " &amp; (IFERROR(MAX($Y$12:$Y554), 0) + 1),
        IF(ISNUMBER(SEARCH(".", D555)), "", INDEX($C$12:$C555, MATCH(2, 1/($C$12:$C555 &lt;&gt; ""))))
    )
)</f>
        <v/>
      </c>
      <c r="D555" s="206"/>
      <c r="E555" s="206" t="str">
        <f>IF(AA555 = "", "",
    IF(ISNUMBER(SEARCH("Kiện", C555)),
       " GÓI " &amp; COUNTIF($C$13:C555, "*Kiện*") &amp; "/" &amp; COUNTIF($C$13:$C$1000, "*Kiện*") &amp; " " &amp; AA555,
       AA555)
)</f>
        <v/>
      </c>
      <c r="F555" s="206"/>
      <c r="G555" s="206"/>
      <c r="H555" s="206"/>
      <c r="I555" s="206"/>
      <c r="J555" s="206" t="str">
        <f t="shared" si="152"/>
        <v/>
      </c>
      <c r="K555" s="206" t="str">
        <f t="shared" si="140"/>
        <v/>
      </c>
      <c r="L555" s="206" t="str">
        <f t="shared" si="141"/>
        <v/>
      </c>
      <c r="M555" s="206" t="str">
        <f t="shared" si="142"/>
        <v/>
      </c>
      <c r="N555" s="206" t="str">
        <f t="shared" si="153"/>
        <v/>
      </c>
      <c r="O555" s="206" t="str">
        <f t="shared" si="143"/>
        <v/>
      </c>
      <c r="P555" s="165" t="str">
        <f t="shared" si="144"/>
        <v/>
      </c>
      <c r="Q555" s="207"/>
      <c r="R555" s="141" t="str">
        <f>IF(S555="IN",'BOM_Phan II'!$Y$3,"")</f>
        <v/>
      </c>
      <c r="S555" s="153" t="str">
        <f t="shared" si="145"/>
        <v/>
      </c>
      <c r="T555">
        <f t="shared" si="146"/>
        <v>6</v>
      </c>
      <c r="U555" s="208" t="str">
        <f t="shared" si="154"/>
        <v>KIỆN 9</v>
      </c>
      <c r="V555" s="208" t="str">
        <f t="shared" si="147"/>
        <v/>
      </c>
      <c r="W555" s="240"/>
      <c r="X555" s="240"/>
      <c r="Y555" s="240" t="str">
        <f t="shared" si="148"/>
        <v/>
      </c>
      <c r="Z555" s="240"/>
      <c r="AD555" s="232" t="str">
        <f t="shared" si="149"/>
        <v/>
      </c>
      <c r="AE555" s="204"/>
      <c r="AX555" s="3" t="str">
        <f t="shared" si="139"/>
        <v/>
      </c>
    </row>
    <row r="556" spans="1:50" s="155" customFormat="1" ht="30" hidden="1" customHeight="1">
      <c r="A556" s="141" t="str">
        <f t="shared" si="150"/>
        <v/>
      </c>
      <c r="B556" s="141" t="str">
        <f t="shared" si="151"/>
        <v/>
      </c>
      <c r="C556" s="205" t="str" cm="1">
        <f t="array" ref="C556">IF(D556="","",
    IF(AND(ISNUMBER(D556), D556=INT(D556)),
        $V$6 &amp; " " &amp; (IFERROR(MAX($Y$12:$Y555), 0) + 1),
        IF(ISNUMBER(SEARCH(".", D556)), "", INDEX($C$12:$C556, MATCH(2, 1/($C$12:$C556 &lt;&gt; ""))))
    )
)</f>
        <v/>
      </c>
      <c r="D556" s="206"/>
      <c r="E556" s="206" t="str">
        <f>IF(AA556 = "", "",
    IF(ISNUMBER(SEARCH("Kiện", C556)),
       " GÓI " &amp; COUNTIF($C$13:C556, "*Kiện*") &amp; "/" &amp; COUNTIF($C$13:$C$1000, "*Kiện*") &amp; " " &amp; AA556,
       AA556)
)</f>
        <v/>
      </c>
      <c r="F556" s="206"/>
      <c r="G556" s="206"/>
      <c r="H556" s="206"/>
      <c r="I556" s="206"/>
      <c r="J556" s="206" t="str">
        <f t="shared" si="152"/>
        <v/>
      </c>
      <c r="K556" s="206" t="str">
        <f t="shared" si="140"/>
        <v/>
      </c>
      <c r="L556" s="206" t="str">
        <f t="shared" si="141"/>
        <v/>
      </c>
      <c r="M556" s="206" t="str">
        <f t="shared" si="142"/>
        <v/>
      </c>
      <c r="N556" s="206" t="str">
        <f t="shared" si="153"/>
        <v/>
      </c>
      <c r="O556" s="206" t="str">
        <f t="shared" si="143"/>
        <v/>
      </c>
      <c r="P556" s="165" t="str">
        <f t="shared" si="144"/>
        <v/>
      </c>
      <c r="Q556" s="207"/>
      <c r="R556" s="141" t="str">
        <f>IF(S556="IN",'BOM_Phan II'!$Y$3,"")</f>
        <v/>
      </c>
      <c r="S556" s="153" t="str">
        <f t="shared" si="145"/>
        <v/>
      </c>
      <c r="T556">
        <f t="shared" si="146"/>
        <v>6</v>
      </c>
      <c r="U556" s="208" t="str">
        <f t="shared" si="154"/>
        <v>KIỆN 9</v>
      </c>
      <c r="V556" s="208" t="str">
        <f t="shared" si="147"/>
        <v/>
      </c>
      <c r="W556" s="240"/>
      <c r="X556" s="240"/>
      <c r="Y556" s="240" t="str">
        <f t="shared" si="148"/>
        <v/>
      </c>
      <c r="Z556" s="240"/>
      <c r="AD556" s="232" t="str">
        <f t="shared" si="149"/>
        <v/>
      </c>
      <c r="AE556" s="204"/>
      <c r="AX556" s="3" t="str">
        <f t="shared" si="139"/>
        <v/>
      </c>
    </row>
    <row r="557" spans="1:50" s="155" customFormat="1" ht="30" hidden="1" customHeight="1">
      <c r="A557" s="141" t="str">
        <f t="shared" si="150"/>
        <v/>
      </c>
      <c r="B557" s="141" t="str">
        <f t="shared" si="151"/>
        <v/>
      </c>
      <c r="C557" s="205" t="str" cm="1">
        <f t="array" ref="C557">IF(D557="","",
    IF(AND(ISNUMBER(D557), D557=INT(D557)),
        $V$6 &amp; " " &amp; (IFERROR(MAX($Y$12:$Y556), 0) + 1),
        IF(ISNUMBER(SEARCH(".", D557)), "", INDEX($C$12:$C557, MATCH(2, 1/($C$12:$C557 &lt;&gt; ""))))
    )
)</f>
        <v/>
      </c>
      <c r="D557" s="206"/>
      <c r="E557" s="206" t="str">
        <f>IF(AA557 = "", "",
    IF(ISNUMBER(SEARCH("Kiện", C557)),
       " GÓI " &amp; COUNTIF($C$13:C557, "*Kiện*") &amp; "/" &amp; COUNTIF($C$13:$C$1000, "*Kiện*") &amp; " " &amp; AA557,
       AA557)
)</f>
        <v/>
      </c>
      <c r="F557" s="206"/>
      <c r="G557" s="206"/>
      <c r="H557" s="206"/>
      <c r="I557" s="206"/>
      <c r="J557" s="206" t="str">
        <f t="shared" si="152"/>
        <v/>
      </c>
      <c r="K557" s="206" t="str">
        <f t="shared" si="140"/>
        <v/>
      </c>
      <c r="L557" s="206" t="str">
        <f t="shared" si="141"/>
        <v/>
      </c>
      <c r="M557" s="206" t="str">
        <f t="shared" si="142"/>
        <v/>
      </c>
      <c r="N557" s="206" t="str">
        <f t="shared" si="153"/>
        <v/>
      </c>
      <c r="O557" s="206" t="str">
        <f t="shared" si="143"/>
        <v/>
      </c>
      <c r="P557" s="165" t="str">
        <f t="shared" si="144"/>
        <v/>
      </c>
      <c r="Q557" s="207"/>
      <c r="R557" s="141" t="str">
        <f>IF(S557="IN",'BOM_Phan II'!$Y$3,"")</f>
        <v/>
      </c>
      <c r="S557" s="153" t="str">
        <f t="shared" si="145"/>
        <v/>
      </c>
      <c r="T557">
        <f t="shared" si="146"/>
        <v>6</v>
      </c>
      <c r="U557" s="208" t="str">
        <f t="shared" si="154"/>
        <v>KIỆN 9</v>
      </c>
      <c r="V557" s="208" t="str">
        <f t="shared" si="147"/>
        <v/>
      </c>
      <c r="W557" s="240"/>
      <c r="X557" s="240"/>
      <c r="Y557" s="240" t="str">
        <f t="shared" si="148"/>
        <v/>
      </c>
      <c r="Z557" s="240"/>
      <c r="AD557" s="232" t="str">
        <f t="shared" si="149"/>
        <v/>
      </c>
      <c r="AE557" s="204"/>
      <c r="AX557" s="3" t="str">
        <f t="shared" si="139"/>
        <v/>
      </c>
    </row>
    <row r="558" spans="1:50" s="155" customFormat="1" ht="30" hidden="1" customHeight="1">
      <c r="A558" s="141" t="str">
        <f t="shared" si="150"/>
        <v/>
      </c>
      <c r="B558" s="141" t="str">
        <f t="shared" si="151"/>
        <v/>
      </c>
      <c r="C558" s="205" t="str" cm="1">
        <f t="array" ref="C558">IF(D558="","",
    IF(AND(ISNUMBER(D558), D558=INT(D558)),
        $V$6 &amp; " " &amp; (IFERROR(MAX($Y$12:$Y557), 0) + 1),
        IF(ISNUMBER(SEARCH(".", D558)), "", INDEX($C$12:$C558, MATCH(2, 1/($C$12:$C558 &lt;&gt; ""))))
    )
)</f>
        <v/>
      </c>
      <c r="D558" s="206"/>
      <c r="E558" s="206" t="str">
        <f>IF(AA558 = "", "",
    IF(ISNUMBER(SEARCH("Kiện", C558)),
       " GÓI " &amp; COUNTIF($C$13:C558, "*Kiện*") &amp; "/" &amp; COUNTIF($C$13:$C$1000, "*Kiện*") &amp; " " &amp; AA558,
       AA558)
)</f>
        <v/>
      </c>
      <c r="F558" s="206"/>
      <c r="G558" s="206"/>
      <c r="H558" s="206"/>
      <c r="I558" s="206"/>
      <c r="J558" s="206" t="str">
        <f t="shared" si="152"/>
        <v/>
      </c>
      <c r="K558" s="206" t="str">
        <f t="shared" si="140"/>
        <v/>
      </c>
      <c r="L558" s="206" t="str">
        <f t="shared" si="141"/>
        <v/>
      </c>
      <c r="M558" s="206" t="str">
        <f t="shared" si="142"/>
        <v/>
      </c>
      <c r="N558" s="206" t="str">
        <f t="shared" si="153"/>
        <v/>
      </c>
      <c r="O558" s="206" t="str">
        <f t="shared" si="143"/>
        <v/>
      </c>
      <c r="P558" s="165" t="str">
        <f t="shared" si="144"/>
        <v/>
      </c>
      <c r="Q558" s="207"/>
      <c r="R558" s="141" t="str">
        <f>IF(S558="IN",'BOM_Phan II'!$Y$3,"")</f>
        <v/>
      </c>
      <c r="S558" s="153" t="str">
        <f t="shared" si="145"/>
        <v/>
      </c>
      <c r="T558">
        <f t="shared" si="146"/>
        <v>6</v>
      </c>
      <c r="U558" s="208" t="str">
        <f t="shared" si="154"/>
        <v>KIỆN 9</v>
      </c>
      <c r="V558" s="208" t="str">
        <f t="shared" si="147"/>
        <v/>
      </c>
      <c r="W558" s="240"/>
      <c r="X558" s="240"/>
      <c r="Y558" s="240" t="str">
        <f t="shared" si="148"/>
        <v/>
      </c>
      <c r="Z558" s="240"/>
      <c r="AD558" s="232" t="str">
        <f t="shared" si="149"/>
        <v/>
      </c>
      <c r="AE558" s="204"/>
      <c r="AX558" s="3" t="str">
        <f t="shared" si="139"/>
        <v/>
      </c>
    </row>
    <row r="559" spans="1:50" s="155" customFormat="1" ht="30" hidden="1" customHeight="1">
      <c r="A559" s="141" t="str">
        <f t="shared" si="150"/>
        <v/>
      </c>
      <c r="B559" s="141" t="str">
        <f t="shared" si="151"/>
        <v/>
      </c>
      <c r="C559" s="205" t="str" cm="1">
        <f t="array" ref="C559">IF(D559="","",
    IF(AND(ISNUMBER(D559), D559=INT(D559)),
        $V$6 &amp; " " &amp; (IFERROR(MAX($Y$12:$Y558), 0) + 1),
        IF(ISNUMBER(SEARCH(".", D559)), "", INDEX($C$12:$C559, MATCH(2, 1/($C$12:$C559 &lt;&gt; ""))))
    )
)</f>
        <v/>
      </c>
      <c r="D559" s="206"/>
      <c r="E559" s="206" t="str">
        <f>IF(AA559 = "", "",
    IF(ISNUMBER(SEARCH("Kiện", C559)),
       " GÓI " &amp; COUNTIF($C$13:C559, "*Kiện*") &amp; "/" &amp; COUNTIF($C$13:$C$1000, "*Kiện*") &amp; " " &amp; AA559,
       AA559)
)</f>
        <v/>
      </c>
      <c r="F559" s="206"/>
      <c r="G559" s="206"/>
      <c r="H559" s="206"/>
      <c r="I559" s="206"/>
      <c r="J559" s="206" t="str">
        <f t="shared" si="152"/>
        <v/>
      </c>
      <c r="K559" s="206" t="str">
        <f t="shared" si="140"/>
        <v/>
      </c>
      <c r="L559" s="206" t="str">
        <f t="shared" si="141"/>
        <v/>
      </c>
      <c r="M559" s="206" t="str">
        <f t="shared" si="142"/>
        <v/>
      </c>
      <c r="N559" s="206" t="str">
        <f t="shared" si="153"/>
        <v/>
      </c>
      <c r="O559" s="206" t="str">
        <f t="shared" si="143"/>
        <v/>
      </c>
      <c r="P559" s="165" t="str">
        <f t="shared" si="144"/>
        <v/>
      </c>
      <c r="Q559" s="207"/>
      <c r="R559" s="141" t="str">
        <f>IF(S559="IN",'BOM_Phan II'!$Y$3,"")</f>
        <v/>
      </c>
      <c r="S559" s="153" t="str">
        <f t="shared" si="145"/>
        <v/>
      </c>
      <c r="T559">
        <f t="shared" si="146"/>
        <v>6</v>
      </c>
      <c r="U559" s="208" t="str">
        <f t="shared" si="154"/>
        <v>KIỆN 9</v>
      </c>
      <c r="V559" s="208" t="str">
        <f t="shared" si="147"/>
        <v/>
      </c>
      <c r="W559" s="240"/>
      <c r="X559" s="240"/>
      <c r="Y559" s="240" t="str">
        <f t="shared" si="148"/>
        <v/>
      </c>
      <c r="Z559" s="240"/>
      <c r="AD559" s="232" t="str">
        <f t="shared" si="149"/>
        <v/>
      </c>
      <c r="AE559" s="204"/>
      <c r="AX559" s="3" t="str">
        <f t="shared" si="139"/>
        <v/>
      </c>
    </row>
    <row r="560" spans="1:50" s="155" customFormat="1" ht="30" hidden="1" customHeight="1">
      <c r="A560" s="141" t="str">
        <f t="shared" si="150"/>
        <v/>
      </c>
      <c r="B560" s="141" t="str">
        <f t="shared" si="151"/>
        <v/>
      </c>
      <c r="C560" s="205" t="str" cm="1">
        <f t="array" ref="C560">IF(D560="","",
    IF(AND(ISNUMBER(D560), D560=INT(D560)),
        $V$6 &amp; " " &amp; (IFERROR(MAX($Y$12:$Y559), 0) + 1),
        IF(ISNUMBER(SEARCH(".", D560)), "", INDEX($C$12:$C560, MATCH(2, 1/($C$12:$C560 &lt;&gt; ""))))
    )
)</f>
        <v/>
      </c>
      <c r="D560" s="206"/>
      <c r="E560" s="206" t="str">
        <f>IF(AA560 = "", "",
    IF(ISNUMBER(SEARCH("Kiện", C560)),
       " GÓI " &amp; COUNTIF($C$13:C560, "*Kiện*") &amp; "/" &amp; COUNTIF($C$13:$C$1000, "*Kiện*") &amp; " " &amp; AA560,
       AA560)
)</f>
        <v/>
      </c>
      <c r="F560" s="206"/>
      <c r="G560" s="206"/>
      <c r="H560" s="206"/>
      <c r="I560" s="206"/>
      <c r="J560" s="206" t="str">
        <f t="shared" si="152"/>
        <v/>
      </c>
      <c r="K560" s="206" t="str">
        <f t="shared" si="140"/>
        <v/>
      </c>
      <c r="L560" s="206" t="str">
        <f t="shared" si="141"/>
        <v/>
      </c>
      <c r="M560" s="206" t="str">
        <f t="shared" si="142"/>
        <v/>
      </c>
      <c r="N560" s="206" t="str">
        <f t="shared" si="153"/>
        <v/>
      </c>
      <c r="O560" s="206" t="str">
        <f t="shared" si="143"/>
        <v/>
      </c>
      <c r="P560" s="165" t="str">
        <f t="shared" si="144"/>
        <v/>
      </c>
      <c r="Q560" s="207"/>
      <c r="R560" s="141" t="str">
        <f>IF(S560="IN",'BOM_Phan II'!$Y$3,"")</f>
        <v/>
      </c>
      <c r="S560" s="153" t="str">
        <f t="shared" si="145"/>
        <v/>
      </c>
      <c r="T560">
        <f t="shared" si="146"/>
        <v>6</v>
      </c>
      <c r="U560" s="208" t="str">
        <f t="shared" si="154"/>
        <v>KIỆN 9</v>
      </c>
      <c r="V560" s="208" t="str">
        <f t="shared" si="147"/>
        <v/>
      </c>
      <c r="W560" s="240"/>
      <c r="X560" s="240"/>
      <c r="Y560" s="240" t="str">
        <f t="shared" si="148"/>
        <v/>
      </c>
      <c r="Z560" s="240"/>
      <c r="AD560" s="232" t="str">
        <f t="shared" si="149"/>
        <v/>
      </c>
      <c r="AE560" s="204"/>
      <c r="AX560" s="3" t="str">
        <f t="shared" si="139"/>
        <v/>
      </c>
    </row>
    <row r="561" spans="1:50" s="155" customFormat="1" ht="30" hidden="1" customHeight="1">
      <c r="A561" s="141" t="str">
        <f t="shared" si="150"/>
        <v/>
      </c>
      <c r="B561" s="141" t="str">
        <f t="shared" si="151"/>
        <v/>
      </c>
      <c r="C561" s="205" t="str" cm="1">
        <f t="array" ref="C561">IF(D561="","",
    IF(AND(ISNUMBER(D561), D561=INT(D561)),
        $V$6 &amp; " " &amp; (IFERROR(MAX($Y$12:$Y560), 0) + 1),
        IF(ISNUMBER(SEARCH(".", D561)), "", INDEX($C$12:$C561, MATCH(2, 1/($C$12:$C561 &lt;&gt; ""))))
    )
)</f>
        <v/>
      </c>
      <c r="D561" s="206"/>
      <c r="E561" s="206" t="str">
        <f>IF(AA561 = "", "",
    IF(ISNUMBER(SEARCH("Kiện", C561)),
       " GÓI " &amp; COUNTIF($C$13:C561, "*Kiện*") &amp; "/" &amp; COUNTIF($C$13:$C$1000, "*Kiện*") &amp; " " &amp; AA561,
       AA561)
)</f>
        <v/>
      </c>
      <c r="F561" s="206"/>
      <c r="G561" s="206"/>
      <c r="H561" s="206"/>
      <c r="I561" s="206"/>
      <c r="J561" s="206" t="str">
        <f t="shared" si="152"/>
        <v/>
      </c>
      <c r="K561" s="206" t="str">
        <f t="shared" si="140"/>
        <v/>
      </c>
      <c r="L561" s="206" t="str">
        <f t="shared" si="141"/>
        <v/>
      </c>
      <c r="M561" s="206" t="str">
        <f t="shared" si="142"/>
        <v/>
      </c>
      <c r="N561" s="206" t="str">
        <f t="shared" si="153"/>
        <v/>
      </c>
      <c r="O561" s="206" t="str">
        <f t="shared" si="143"/>
        <v/>
      </c>
      <c r="P561" s="165" t="str">
        <f t="shared" si="144"/>
        <v/>
      </c>
      <c r="Q561" s="207"/>
      <c r="R561" s="141" t="str">
        <f>IF(S561="IN",'BOM_Phan II'!$Y$3,"")</f>
        <v/>
      </c>
      <c r="S561" s="153" t="str">
        <f t="shared" si="145"/>
        <v/>
      </c>
      <c r="T561">
        <f t="shared" si="146"/>
        <v>6</v>
      </c>
      <c r="U561" s="208" t="str">
        <f t="shared" si="154"/>
        <v>KIỆN 9</v>
      </c>
      <c r="V561" s="208" t="str">
        <f t="shared" si="147"/>
        <v/>
      </c>
      <c r="W561" s="240"/>
      <c r="X561" s="240"/>
      <c r="Y561" s="240" t="str">
        <f t="shared" si="148"/>
        <v/>
      </c>
      <c r="Z561" s="240"/>
      <c r="AD561" s="232" t="str">
        <f t="shared" si="149"/>
        <v/>
      </c>
      <c r="AE561" s="204"/>
      <c r="AX561" s="3" t="str">
        <f t="shared" si="139"/>
        <v/>
      </c>
    </row>
    <row r="562" spans="1:50" s="155" customFormat="1" ht="30" hidden="1" customHeight="1">
      <c r="A562" s="141" t="str">
        <f t="shared" si="150"/>
        <v/>
      </c>
      <c r="B562" s="141" t="str">
        <f t="shared" si="151"/>
        <v/>
      </c>
      <c r="C562" s="205" t="str" cm="1">
        <f t="array" ref="C562">IF(D562="","",
    IF(AND(ISNUMBER(D562), D562=INT(D562)),
        $V$6 &amp; " " &amp; (IFERROR(MAX($Y$12:$Y561), 0) + 1),
        IF(ISNUMBER(SEARCH(".", D562)), "", INDEX($C$12:$C562, MATCH(2, 1/($C$12:$C562 &lt;&gt; ""))))
    )
)</f>
        <v/>
      </c>
      <c r="D562" s="206"/>
      <c r="E562" s="206" t="str">
        <f>IF(AA562 = "", "",
    IF(ISNUMBER(SEARCH("Kiện", C562)),
       " GÓI " &amp; COUNTIF($C$13:C562, "*Kiện*") &amp; "/" &amp; COUNTIF($C$13:$C$1000, "*Kiện*") &amp; " " &amp; AA562,
       AA562)
)</f>
        <v/>
      </c>
      <c r="F562" s="206"/>
      <c r="G562" s="206"/>
      <c r="H562" s="206"/>
      <c r="I562" s="206"/>
      <c r="J562" s="206" t="str">
        <f t="shared" si="152"/>
        <v/>
      </c>
      <c r="K562" s="206" t="str">
        <f t="shared" si="140"/>
        <v/>
      </c>
      <c r="L562" s="206" t="str">
        <f t="shared" si="141"/>
        <v/>
      </c>
      <c r="M562" s="206" t="str">
        <f t="shared" si="142"/>
        <v/>
      </c>
      <c r="N562" s="206" t="str">
        <f t="shared" si="153"/>
        <v/>
      </c>
      <c r="O562" s="206" t="str">
        <f t="shared" si="143"/>
        <v/>
      </c>
      <c r="P562" s="165" t="str">
        <f t="shared" si="144"/>
        <v/>
      </c>
      <c r="Q562" s="207"/>
      <c r="R562" s="141" t="str">
        <f>IF(S562="IN",'BOM_Phan II'!$Y$3,"")</f>
        <v/>
      </c>
      <c r="S562" s="153" t="str">
        <f t="shared" si="145"/>
        <v/>
      </c>
      <c r="T562">
        <f t="shared" si="146"/>
        <v>6</v>
      </c>
      <c r="U562" s="208" t="str">
        <f t="shared" si="154"/>
        <v>KIỆN 9</v>
      </c>
      <c r="V562" s="208" t="str">
        <f t="shared" si="147"/>
        <v/>
      </c>
      <c r="W562" s="240"/>
      <c r="X562" s="240"/>
      <c r="Y562" s="240" t="str">
        <f t="shared" si="148"/>
        <v/>
      </c>
      <c r="Z562" s="240"/>
      <c r="AD562" s="232" t="str">
        <f t="shared" si="149"/>
        <v/>
      </c>
      <c r="AE562" s="204"/>
      <c r="AX562" s="3" t="str">
        <f t="shared" si="139"/>
        <v/>
      </c>
    </row>
    <row r="563" spans="1:50" s="155" customFormat="1" ht="30" hidden="1" customHeight="1">
      <c r="A563" s="141" t="str">
        <f t="shared" si="150"/>
        <v/>
      </c>
      <c r="B563" s="141" t="str">
        <f t="shared" si="151"/>
        <v/>
      </c>
      <c r="C563" s="205" t="str" cm="1">
        <f t="array" ref="C563">IF(D563="","",
    IF(AND(ISNUMBER(D563), D563=INT(D563)),
        $V$6 &amp; " " &amp; (IFERROR(MAX($Y$12:$Y562), 0) + 1),
        IF(ISNUMBER(SEARCH(".", D563)), "", INDEX($C$12:$C563, MATCH(2, 1/($C$12:$C563 &lt;&gt; ""))))
    )
)</f>
        <v/>
      </c>
      <c r="D563" s="206"/>
      <c r="E563" s="206" t="str">
        <f>IF(AA563 = "", "",
    IF(ISNUMBER(SEARCH("Kiện", C563)),
       " GÓI " &amp; COUNTIF($C$13:C563, "*Kiện*") &amp; "/" &amp; COUNTIF($C$13:$C$1000, "*Kiện*") &amp; " " &amp; AA563,
       AA563)
)</f>
        <v/>
      </c>
      <c r="F563" s="206"/>
      <c r="G563" s="206"/>
      <c r="H563" s="206"/>
      <c r="I563" s="206"/>
      <c r="J563" s="206" t="str">
        <f t="shared" si="152"/>
        <v/>
      </c>
      <c r="K563" s="206" t="str">
        <f t="shared" si="140"/>
        <v/>
      </c>
      <c r="L563" s="206" t="str">
        <f t="shared" si="141"/>
        <v/>
      </c>
      <c r="M563" s="206" t="str">
        <f t="shared" si="142"/>
        <v/>
      </c>
      <c r="N563" s="206" t="str">
        <f t="shared" si="153"/>
        <v/>
      </c>
      <c r="O563" s="206" t="str">
        <f t="shared" si="143"/>
        <v/>
      </c>
      <c r="P563" s="165" t="str">
        <f t="shared" si="144"/>
        <v/>
      </c>
      <c r="Q563" s="207"/>
      <c r="R563" s="141" t="str">
        <f>IF(S563="IN",'BOM_Phan II'!$Y$3,"")</f>
        <v/>
      </c>
      <c r="S563" s="153" t="str">
        <f t="shared" si="145"/>
        <v/>
      </c>
      <c r="T563">
        <f t="shared" si="146"/>
        <v>6</v>
      </c>
      <c r="U563" s="208" t="str">
        <f t="shared" si="154"/>
        <v>KIỆN 9</v>
      </c>
      <c r="V563" s="208" t="str">
        <f t="shared" si="147"/>
        <v/>
      </c>
      <c r="W563" s="240"/>
      <c r="X563" s="240"/>
      <c r="Y563" s="240" t="str">
        <f t="shared" si="148"/>
        <v/>
      </c>
      <c r="Z563" s="240"/>
      <c r="AD563" s="232" t="str">
        <f t="shared" si="149"/>
        <v/>
      </c>
      <c r="AE563" s="204"/>
      <c r="AX563" s="3" t="str">
        <f t="shared" si="139"/>
        <v/>
      </c>
    </row>
    <row r="564" spans="1:50" s="155" customFormat="1" ht="30" hidden="1" customHeight="1">
      <c r="A564" s="141" t="str">
        <f t="shared" si="150"/>
        <v/>
      </c>
      <c r="B564" s="141" t="str">
        <f t="shared" si="151"/>
        <v/>
      </c>
      <c r="C564" s="205" t="str" cm="1">
        <f t="array" ref="C564">IF(D564="","",
    IF(AND(ISNUMBER(D564), D564=INT(D564)),
        $V$6 &amp; " " &amp; (IFERROR(MAX($Y$12:$Y563), 0) + 1),
        IF(ISNUMBER(SEARCH(".", D564)), "", INDEX($C$12:$C564, MATCH(2, 1/($C$12:$C564 &lt;&gt; ""))))
    )
)</f>
        <v/>
      </c>
      <c r="D564" s="206"/>
      <c r="E564" s="206" t="str">
        <f>IF(AA564 = "", "",
    IF(ISNUMBER(SEARCH("Kiện", C564)),
       " GÓI " &amp; COUNTIF($C$13:C564, "*Kiện*") &amp; "/" &amp; COUNTIF($C$13:$C$1000, "*Kiện*") &amp; " " &amp; AA564,
       AA564)
)</f>
        <v/>
      </c>
      <c r="F564" s="206"/>
      <c r="G564" s="206"/>
      <c r="H564" s="206"/>
      <c r="I564" s="206"/>
      <c r="J564" s="206" t="str">
        <f t="shared" si="152"/>
        <v/>
      </c>
      <c r="K564" s="206" t="str">
        <f t="shared" si="140"/>
        <v/>
      </c>
      <c r="L564" s="206" t="str">
        <f t="shared" si="141"/>
        <v/>
      </c>
      <c r="M564" s="206" t="str">
        <f t="shared" si="142"/>
        <v/>
      </c>
      <c r="N564" s="206" t="str">
        <f t="shared" si="153"/>
        <v/>
      </c>
      <c r="O564" s="206" t="str">
        <f t="shared" si="143"/>
        <v/>
      </c>
      <c r="P564" s="165" t="str">
        <f t="shared" si="144"/>
        <v/>
      </c>
      <c r="Q564" s="207"/>
      <c r="R564" s="141" t="str">
        <f>IF(S564="IN",'BOM_Phan II'!$Y$3,"")</f>
        <v/>
      </c>
      <c r="S564" s="153" t="str">
        <f t="shared" si="145"/>
        <v/>
      </c>
      <c r="T564">
        <f t="shared" si="146"/>
        <v>6</v>
      </c>
      <c r="U564" s="208" t="str">
        <f t="shared" si="154"/>
        <v>KIỆN 9</v>
      </c>
      <c r="V564" s="208" t="str">
        <f t="shared" si="147"/>
        <v/>
      </c>
      <c r="W564" s="240"/>
      <c r="X564" s="240"/>
      <c r="Y564" s="240" t="str">
        <f t="shared" si="148"/>
        <v/>
      </c>
      <c r="Z564" s="240"/>
      <c r="AD564" s="232" t="str">
        <f t="shared" si="149"/>
        <v/>
      </c>
      <c r="AE564" s="204"/>
      <c r="AX564" s="3" t="str">
        <f t="shared" si="139"/>
        <v/>
      </c>
    </row>
    <row r="565" spans="1:50" s="155" customFormat="1" ht="30" hidden="1" customHeight="1">
      <c r="A565" s="141" t="str">
        <f t="shared" si="150"/>
        <v/>
      </c>
      <c r="B565" s="141" t="str">
        <f t="shared" si="151"/>
        <v/>
      </c>
      <c r="C565" s="205" t="str" cm="1">
        <f t="array" ref="C565">IF(D565="","",
    IF(AND(ISNUMBER(D565), D565=INT(D565)),
        $V$6 &amp; " " &amp; (IFERROR(MAX($Y$12:$Y564), 0) + 1),
        IF(ISNUMBER(SEARCH(".", D565)), "", INDEX($C$12:$C565, MATCH(2, 1/($C$12:$C565 &lt;&gt; ""))))
    )
)</f>
        <v/>
      </c>
      <c r="D565" s="206"/>
      <c r="E565" s="206" t="str">
        <f>IF(AA565 = "", "",
    IF(ISNUMBER(SEARCH("Kiện", C565)),
       " GÓI " &amp; COUNTIF($C$13:C565, "*Kiện*") &amp; "/" &amp; COUNTIF($C$13:$C$1000, "*Kiện*") &amp; " " &amp; AA565,
       AA565)
)</f>
        <v/>
      </c>
      <c r="F565" s="206"/>
      <c r="G565" s="206"/>
      <c r="H565" s="206"/>
      <c r="I565" s="206"/>
      <c r="J565" s="206" t="str">
        <f t="shared" si="152"/>
        <v/>
      </c>
      <c r="K565" s="206" t="str">
        <f t="shared" si="140"/>
        <v/>
      </c>
      <c r="L565" s="206" t="str">
        <f t="shared" si="141"/>
        <v/>
      </c>
      <c r="M565" s="206" t="str">
        <f t="shared" si="142"/>
        <v/>
      </c>
      <c r="N565" s="206" t="str">
        <f t="shared" si="153"/>
        <v/>
      </c>
      <c r="O565" s="206" t="str">
        <f t="shared" si="143"/>
        <v/>
      </c>
      <c r="P565" s="165" t="str">
        <f t="shared" si="144"/>
        <v/>
      </c>
      <c r="Q565" s="207"/>
      <c r="R565" s="141" t="str">
        <f>IF(S565="IN",'BOM_Phan II'!$Y$3,"")</f>
        <v/>
      </c>
      <c r="S565" s="153" t="str">
        <f t="shared" si="145"/>
        <v/>
      </c>
      <c r="T565">
        <f t="shared" si="146"/>
        <v>6</v>
      </c>
      <c r="U565" s="208" t="str">
        <f t="shared" si="154"/>
        <v>KIỆN 9</v>
      </c>
      <c r="V565" s="208" t="str">
        <f t="shared" si="147"/>
        <v/>
      </c>
      <c r="W565" s="240"/>
      <c r="X565" s="240"/>
      <c r="Y565" s="240" t="str">
        <f t="shared" si="148"/>
        <v/>
      </c>
      <c r="Z565" s="240"/>
      <c r="AD565" s="232" t="str">
        <f t="shared" si="149"/>
        <v/>
      </c>
      <c r="AE565" s="204"/>
      <c r="AX565" s="3" t="str">
        <f t="shared" si="139"/>
        <v/>
      </c>
    </row>
    <row r="566" spans="1:50" s="155" customFormat="1" ht="30" hidden="1" customHeight="1">
      <c r="A566" s="141" t="str">
        <f t="shared" si="150"/>
        <v/>
      </c>
      <c r="B566" s="141" t="str">
        <f t="shared" si="151"/>
        <v/>
      </c>
      <c r="C566" s="205" t="str" cm="1">
        <f t="array" ref="C566">IF(D566="","",
    IF(AND(ISNUMBER(D566), D566=INT(D566)),
        $V$6 &amp; " " &amp; (IFERROR(MAX($Y$12:$Y565), 0) + 1),
        IF(ISNUMBER(SEARCH(".", D566)), "", INDEX($C$12:$C566, MATCH(2, 1/($C$12:$C566 &lt;&gt; ""))))
    )
)</f>
        <v/>
      </c>
      <c r="D566" s="206"/>
      <c r="E566" s="206" t="str">
        <f>IF(AA566 = "", "",
    IF(ISNUMBER(SEARCH("Kiện", C566)),
       " GÓI " &amp; COUNTIF($C$13:C566, "*Kiện*") &amp; "/" &amp; COUNTIF($C$13:$C$1000, "*Kiện*") &amp; " " &amp; AA566,
       AA566)
)</f>
        <v/>
      </c>
      <c r="F566" s="206"/>
      <c r="G566" s="206"/>
      <c r="H566" s="206"/>
      <c r="I566" s="206"/>
      <c r="J566" s="206" t="str">
        <f t="shared" si="152"/>
        <v/>
      </c>
      <c r="K566" s="206" t="str">
        <f t="shared" si="140"/>
        <v/>
      </c>
      <c r="L566" s="206" t="str">
        <f t="shared" si="141"/>
        <v/>
      </c>
      <c r="M566" s="206" t="str">
        <f t="shared" si="142"/>
        <v/>
      </c>
      <c r="N566" s="206" t="str">
        <f t="shared" si="153"/>
        <v/>
      </c>
      <c r="O566" s="206" t="str">
        <f t="shared" si="143"/>
        <v/>
      </c>
      <c r="P566" s="165" t="str">
        <f t="shared" si="144"/>
        <v/>
      </c>
      <c r="Q566" s="207"/>
      <c r="R566" s="141" t="str">
        <f>IF(S566="IN",'BOM_Phan II'!$Y$3,"")</f>
        <v/>
      </c>
      <c r="S566" s="153" t="str">
        <f t="shared" si="145"/>
        <v/>
      </c>
      <c r="T566">
        <f t="shared" si="146"/>
        <v>6</v>
      </c>
      <c r="U566" s="208" t="str">
        <f t="shared" si="154"/>
        <v>KIỆN 9</v>
      </c>
      <c r="V566" s="208" t="str">
        <f t="shared" si="147"/>
        <v/>
      </c>
      <c r="W566" s="240"/>
      <c r="X566" s="240"/>
      <c r="Y566" s="240" t="str">
        <f t="shared" si="148"/>
        <v/>
      </c>
      <c r="Z566" s="240"/>
      <c r="AD566" s="232" t="str">
        <f t="shared" si="149"/>
        <v/>
      </c>
      <c r="AE566" s="204"/>
      <c r="AX566" s="3" t="str">
        <f t="shared" si="139"/>
        <v/>
      </c>
    </row>
    <row r="567" spans="1:50" s="155" customFormat="1" ht="30" hidden="1" customHeight="1">
      <c r="A567" s="141" t="str">
        <f t="shared" si="150"/>
        <v/>
      </c>
      <c r="B567" s="141" t="str">
        <f t="shared" si="151"/>
        <v/>
      </c>
      <c r="C567" s="205" t="str" cm="1">
        <f t="array" ref="C567">IF(D567="","",
    IF(AND(ISNUMBER(D567), D567=INT(D567)),
        $V$6 &amp; " " &amp; (IFERROR(MAX($Y$12:$Y566), 0) + 1),
        IF(ISNUMBER(SEARCH(".", D567)), "", INDEX($C$12:$C567, MATCH(2, 1/($C$12:$C567 &lt;&gt; ""))))
    )
)</f>
        <v/>
      </c>
      <c r="D567" s="206"/>
      <c r="E567" s="206" t="str">
        <f>IF(AA567 = "", "",
    IF(ISNUMBER(SEARCH("Kiện", C567)),
       " GÓI " &amp; COUNTIF($C$13:C567, "*Kiện*") &amp; "/" &amp; COUNTIF($C$13:$C$1000, "*Kiện*") &amp; " " &amp; AA567,
       AA567)
)</f>
        <v/>
      </c>
      <c r="F567" s="206"/>
      <c r="G567" s="206"/>
      <c r="H567" s="206"/>
      <c r="I567" s="206"/>
      <c r="J567" s="206" t="str">
        <f t="shared" si="152"/>
        <v/>
      </c>
      <c r="K567" s="206" t="str">
        <f t="shared" si="140"/>
        <v/>
      </c>
      <c r="L567" s="206" t="str">
        <f t="shared" si="141"/>
        <v/>
      </c>
      <c r="M567" s="206" t="str">
        <f t="shared" si="142"/>
        <v/>
      </c>
      <c r="N567" s="206" t="str">
        <f t="shared" si="153"/>
        <v/>
      </c>
      <c r="O567" s="206" t="str">
        <f t="shared" si="143"/>
        <v/>
      </c>
      <c r="P567" s="165" t="str">
        <f t="shared" si="144"/>
        <v/>
      </c>
      <c r="Q567" s="207"/>
      <c r="R567" s="141" t="str">
        <f>IF(S567="IN",'BOM_Phan II'!$Y$3,"")</f>
        <v/>
      </c>
      <c r="S567" s="153" t="str">
        <f t="shared" si="145"/>
        <v/>
      </c>
      <c r="T567">
        <f t="shared" si="146"/>
        <v>6</v>
      </c>
      <c r="U567" s="208" t="str">
        <f t="shared" si="154"/>
        <v>KIỆN 9</v>
      </c>
      <c r="V567" s="208" t="str">
        <f t="shared" si="147"/>
        <v/>
      </c>
      <c r="W567" s="240"/>
      <c r="X567" s="240"/>
      <c r="Y567" s="240" t="str">
        <f t="shared" si="148"/>
        <v/>
      </c>
      <c r="Z567" s="240"/>
      <c r="AD567" s="232" t="str">
        <f t="shared" si="149"/>
        <v/>
      </c>
      <c r="AE567" s="204"/>
      <c r="AX567" s="3" t="str">
        <f t="shared" si="139"/>
        <v/>
      </c>
    </row>
    <row r="568" spans="1:50" s="155" customFormat="1" ht="30" hidden="1" customHeight="1">
      <c r="A568" s="141" t="str">
        <f t="shared" si="150"/>
        <v/>
      </c>
      <c r="B568" s="141" t="str">
        <f t="shared" si="151"/>
        <v/>
      </c>
      <c r="C568" s="205" t="str" cm="1">
        <f t="array" ref="C568">IF(D568="","",
    IF(AND(ISNUMBER(D568), D568=INT(D568)),
        $V$6 &amp; " " &amp; (IFERROR(MAX($Y$12:$Y567), 0) + 1),
        IF(ISNUMBER(SEARCH(".", D568)), "", INDEX($C$12:$C568, MATCH(2, 1/($C$12:$C568 &lt;&gt; ""))))
    )
)</f>
        <v/>
      </c>
      <c r="D568" s="206"/>
      <c r="E568" s="206" t="str">
        <f>IF(AA568 = "", "",
    IF(ISNUMBER(SEARCH("Kiện", C568)),
       " GÓI " &amp; COUNTIF($C$13:C568, "*Kiện*") &amp; "/" &amp; COUNTIF($C$13:$C$1000, "*Kiện*") &amp; " " &amp; AA568,
       AA568)
)</f>
        <v/>
      </c>
      <c r="F568" s="206"/>
      <c r="G568" s="206"/>
      <c r="H568" s="206"/>
      <c r="I568" s="206"/>
      <c r="J568" s="206" t="str">
        <f t="shared" si="152"/>
        <v/>
      </c>
      <c r="K568" s="206" t="str">
        <f t="shared" si="140"/>
        <v/>
      </c>
      <c r="L568" s="206" t="str">
        <f t="shared" si="141"/>
        <v/>
      </c>
      <c r="M568" s="206" t="str">
        <f t="shared" si="142"/>
        <v/>
      </c>
      <c r="N568" s="206" t="str">
        <f t="shared" si="153"/>
        <v/>
      </c>
      <c r="O568" s="206" t="str">
        <f t="shared" si="143"/>
        <v/>
      </c>
      <c r="P568" s="165" t="str">
        <f t="shared" si="144"/>
        <v/>
      </c>
      <c r="Q568" s="207"/>
      <c r="R568" s="141" t="str">
        <f>IF(S568="IN",'BOM_Phan II'!$Y$3,"")</f>
        <v/>
      </c>
      <c r="S568" s="153" t="str">
        <f t="shared" si="145"/>
        <v/>
      </c>
      <c r="T568">
        <f t="shared" si="146"/>
        <v>6</v>
      </c>
      <c r="U568" s="208" t="str">
        <f t="shared" si="154"/>
        <v>KIỆN 9</v>
      </c>
      <c r="V568" s="208" t="str">
        <f t="shared" si="147"/>
        <v/>
      </c>
      <c r="W568" s="240"/>
      <c r="X568" s="240"/>
      <c r="Y568" s="240" t="str">
        <f t="shared" si="148"/>
        <v/>
      </c>
      <c r="Z568" s="240"/>
      <c r="AD568" s="232" t="str">
        <f t="shared" si="149"/>
        <v/>
      </c>
      <c r="AE568" s="204"/>
      <c r="AX568" s="3" t="str">
        <f t="shared" si="139"/>
        <v/>
      </c>
    </row>
    <row r="569" spans="1:50" s="155" customFormat="1" ht="30" hidden="1" customHeight="1">
      <c r="A569" s="141" t="str">
        <f t="shared" si="150"/>
        <v/>
      </c>
      <c r="B569" s="141" t="str">
        <f t="shared" si="151"/>
        <v/>
      </c>
      <c r="C569" s="205" t="str" cm="1">
        <f t="array" ref="C569">IF(D569="","",
    IF(AND(ISNUMBER(D569), D569=INT(D569)),
        $V$6 &amp; " " &amp; (IFERROR(MAX($Y$12:$Y568), 0) + 1),
        IF(ISNUMBER(SEARCH(".", D569)), "", INDEX($C$12:$C569, MATCH(2, 1/($C$12:$C569 &lt;&gt; ""))))
    )
)</f>
        <v/>
      </c>
      <c r="D569" s="206"/>
      <c r="E569" s="206" t="str">
        <f>IF(AA569 = "", "",
    IF(ISNUMBER(SEARCH("Kiện", C569)),
       " GÓI " &amp; COUNTIF($C$13:C569, "*Kiện*") &amp; "/" &amp; COUNTIF($C$13:$C$1000, "*Kiện*") &amp; " " &amp; AA569,
       AA569)
)</f>
        <v/>
      </c>
      <c r="F569" s="206"/>
      <c r="G569" s="206"/>
      <c r="H569" s="206"/>
      <c r="I569" s="206"/>
      <c r="J569" s="206" t="str">
        <f t="shared" si="152"/>
        <v/>
      </c>
      <c r="K569" s="206" t="str">
        <f t="shared" si="140"/>
        <v/>
      </c>
      <c r="L569" s="206" t="str">
        <f t="shared" si="141"/>
        <v/>
      </c>
      <c r="M569" s="206" t="str">
        <f t="shared" si="142"/>
        <v/>
      </c>
      <c r="N569" s="206" t="str">
        <f t="shared" si="153"/>
        <v/>
      </c>
      <c r="O569" s="206" t="str">
        <f t="shared" si="143"/>
        <v/>
      </c>
      <c r="P569" s="165" t="str">
        <f t="shared" si="144"/>
        <v/>
      </c>
      <c r="Q569" s="207"/>
      <c r="R569" s="141" t="str">
        <f>IF(S569="IN",'BOM_Phan II'!$Y$3,"")</f>
        <v/>
      </c>
      <c r="S569" s="153" t="str">
        <f t="shared" si="145"/>
        <v/>
      </c>
      <c r="T569">
        <f t="shared" si="146"/>
        <v>6</v>
      </c>
      <c r="U569" s="208" t="str">
        <f t="shared" si="154"/>
        <v>KIỆN 9</v>
      </c>
      <c r="V569" s="208" t="str">
        <f t="shared" si="147"/>
        <v/>
      </c>
      <c r="W569" s="240"/>
      <c r="X569" s="240"/>
      <c r="Y569" s="240" t="str">
        <f t="shared" si="148"/>
        <v/>
      </c>
      <c r="Z569" s="240"/>
      <c r="AD569" s="232" t="str">
        <f t="shared" si="149"/>
        <v/>
      </c>
      <c r="AE569" s="204"/>
      <c r="AX569" s="3" t="str">
        <f t="shared" si="139"/>
        <v/>
      </c>
    </row>
    <row r="570" spans="1:50" s="155" customFormat="1" ht="30" hidden="1" customHeight="1">
      <c r="A570" s="141" t="str">
        <f t="shared" si="150"/>
        <v/>
      </c>
      <c r="B570" s="141" t="str">
        <f t="shared" si="151"/>
        <v/>
      </c>
      <c r="C570" s="205" t="str" cm="1">
        <f t="array" ref="C570">IF(D570="","",
    IF(AND(ISNUMBER(D570), D570=INT(D570)),
        $V$6 &amp; " " &amp; (IFERROR(MAX($Y$12:$Y569), 0) + 1),
        IF(ISNUMBER(SEARCH(".", D570)), "", INDEX($C$12:$C570, MATCH(2, 1/($C$12:$C570 &lt;&gt; ""))))
    )
)</f>
        <v/>
      </c>
      <c r="D570" s="206"/>
      <c r="E570" s="206" t="str">
        <f>IF(AA570 = "", "",
    IF(ISNUMBER(SEARCH("Kiện", C570)),
       " GÓI " &amp; COUNTIF($C$13:C570, "*Kiện*") &amp; "/" &amp; COUNTIF($C$13:$C$1000, "*Kiện*") &amp; " " &amp; AA570,
       AA570)
)</f>
        <v/>
      </c>
      <c r="F570" s="206"/>
      <c r="G570" s="206"/>
      <c r="H570" s="206"/>
      <c r="I570" s="206"/>
      <c r="J570" s="206" t="str">
        <f t="shared" si="152"/>
        <v/>
      </c>
      <c r="K570" s="206" t="str">
        <f t="shared" si="140"/>
        <v/>
      </c>
      <c r="L570" s="206" t="str">
        <f t="shared" si="141"/>
        <v/>
      </c>
      <c r="M570" s="206" t="str">
        <f t="shared" si="142"/>
        <v/>
      </c>
      <c r="N570" s="206" t="str">
        <f t="shared" si="153"/>
        <v/>
      </c>
      <c r="O570" s="206" t="str">
        <f t="shared" si="143"/>
        <v/>
      </c>
      <c r="P570" s="165" t="str">
        <f t="shared" si="144"/>
        <v/>
      </c>
      <c r="Q570" s="207"/>
      <c r="R570" s="141" t="str">
        <f>IF(S570="IN",'BOM_Phan II'!$Y$3,"")</f>
        <v/>
      </c>
      <c r="S570" s="153" t="str">
        <f t="shared" si="145"/>
        <v/>
      </c>
      <c r="T570">
        <f t="shared" si="146"/>
        <v>6</v>
      </c>
      <c r="U570" s="208" t="str">
        <f t="shared" si="154"/>
        <v>KIỆN 9</v>
      </c>
      <c r="V570" s="208" t="str">
        <f t="shared" si="147"/>
        <v/>
      </c>
      <c r="W570" s="240"/>
      <c r="X570" s="240"/>
      <c r="Y570" s="240" t="str">
        <f t="shared" si="148"/>
        <v/>
      </c>
      <c r="Z570" s="240"/>
      <c r="AD570" s="232" t="str">
        <f t="shared" si="149"/>
        <v/>
      </c>
      <c r="AE570" s="204"/>
      <c r="AX570" s="3" t="str">
        <f t="shared" si="139"/>
        <v/>
      </c>
    </row>
    <row r="571" spans="1:50" s="155" customFormat="1" ht="30" hidden="1" customHeight="1">
      <c r="A571" s="141" t="str">
        <f t="shared" si="150"/>
        <v/>
      </c>
      <c r="B571" s="141" t="str">
        <f t="shared" si="151"/>
        <v/>
      </c>
      <c r="C571" s="205" t="str" cm="1">
        <f t="array" ref="C571">IF(D571="","",
    IF(AND(ISNUMBER(D571), D571=INT(D571)),
        $V$6 &amp; " " &amp; (IFERROR(MAX($Y$12:$Y570), 0) + 1),
        IF(ISNUMBER(SEARCH(".", D571)), "", INDEX($C$12:$C571, MATCH(2, 1/($C$12:$C571 &lt;&gt; ""))))
    )
)</f>
        <v/>
      </c>
      <c r="D571" s="206"/>
      <c r="E571" s="206" t="str">
        <f>IF(AA571 = "", "",
    IF(ISNUMBER(SEARCH("Kiện", C571)),
       " GÓI " &amp; COUNTIF($C$13:C571, "*Kiện*") &amp; "/" &amp; COUNTIF($C$13:$C$1000, "*Kiện*") &amp; " " &amp; AA571,
       AA571)
)</f>
        <v/>
      </c>
      <c r="F571" s="206"/>
      <c r="G571" s="206"/>
      <c r="H571" s="206"/>
      <c r="I571" s="206"/>
      <c r="J571" s="206" t="str">
        <f t="shared" si="152"/>
        <v/>
      </c>
      <c r="K571" s="206" t="str">
        <f t="shared" si="140"/>
        <v/>
      </c>
      <c r="L571" s="206" t="str">
        <f t="shared" si="141"/>
        <v/>
      </c>
      <c r="M571" s="206" t="str">
        <f t="shared" si="142"/>
        <v/>
      </c>
      <c r="N571" s="206" t="str">
        <f t="shared" si="153"/>
        <v/>
      </c>
      <c r="O571" s="206" t="str">
        <f t="shared" si="143"/>
        <v/>
      </c>
      <c r="P571" s="165" t="str">
        <f t="shared" si="144"/>
        <v/>
      </c>
      <c r="Q571" s="207"/>
      <c r="R571" s="141" t="str">
        <f>IF(S571="IN",'BOM_Phan II'!$Y$3,"")</f>
        <v/>
      </c>
      <c r="S571" s="153" t="str">
        <f t="shared" si="145"/>
        <v/>
      </c>
      <c r="T571">
        <f t="shared" si="146"/>
        <v>6</v>
      </c>
      <c r="U571" s="208" t="str">
        <f t="shared" si="154"/>
        <v>KIỆN 9</v>
      </c>
      <c r="V571" s="208" t="str">
        <f t="shared" si="147"/>
        <v/>
      </c>
      <c r="W571" s="240"/>
      <c r="X571" s="240"/>
      <c r="Y571" s="240" t="str">
        <f t="shared" si="148"/>
        <v/>
      </c>
      <c r="Z571" s="240"/>
      <c r="AD571" s="232" t="str">
        <f t="shared" si="149"/>
        <v/>
      </c>
      <c r="AE571" s="204"/>
      <c r="AX571" s="3" t="str">
        <f t="shared" si="139"/>
        <v/>
      </c>
    </row>
    <row r="572" spans="1:50" s="155" customFormat="1" ht="30" hidden="1" customHeight="1">
      <c r="A572" s="141" t="str">
        <f t="shared" si="150"/>
        <v/>
      </c>
      <c r="B572" s="141" t="str">
        <f t="shared" si="151"/>
        <v/>
      </c>
      <c r="C572" s="205" t="str" cm="1">
        <f t="array" ref="C572">IF(D572="","",
    IF(AND(ISNUMBER(D572), D572=INT(D572)),
        $V$6 &amp; " " &amp; (IFERROR(MAX($Y$12:$Y571), 0) + 1),
        IF(ISNUMBER(SEARCH(".", D572)), "", INDEX($C$12:$C572, MATCH(2, 1/($C$12:$C572 &lt;&gt; ""))))
    )
)</f>
        <v/>
      </c>
      <c r="D572" s="206"/>
      <c r="E572" s="206" t="str">
        <f>IF(AA572 = "", "",
    IF(ISNUMBER(SEARCH("Kiện", C572)),
       " GÓI " &amp; COUNTIF($C$13:C572, "*Kiện*") &amp; "/" &amp; COUNTIF($C$13:$C$1000, "*Kiện*") &amp; " " &amp; AA572,
       AA572)
)</f>
        <v/>
      </c>
      <c r="F572" s="206"/>
      <c r="G572" s="206"/>
      <c r="H572" s="206"/>
      <c r="I572" s="206"/>
      <c r="J572" s="206" t="str">
        <f t="shared" si="152"/>
        <v/>
      </c>
      <c r="K572" s="206" t="str">
        <f t="shared" si="140"/>
        <v/>
      </c>
      <c r="L572" s="206" t="str">
        <f t="shared" si="141"/>
        <v/>
      </c>
      <c r="M572" s="206" t="str">
        <f t="shared" si="142"/>
        <v/>
      </c>
      <c r="N572" s="206" t="str">
        <f t="shared" si="153"/>
        <v/>
      </c>
      <c r="O572" s="206" t="str">
        <f t="shared" si="143"/>
        <v/>
      </c>
      <c r="P572" s="165" t="str">
        <f t="shared" si="144"/>
        <v/>
      </c>
      <c r="Q572" s="207"/>
      <c r="R572" s="141" t="str">
        <f>IF(S572="IN",'BOM_Phan II'!$Y$3,"")</f>
        <v/>
      </c>
      <c r="S572" s="153" t="str">
        <f t="shared" si="145"/>
        <v/>
      </c>
      <c r="T572">
        <f t="shared" si="146"/>
        <v>6</v>
      </c>
      <c r="U572" s="208" t="str">
        <f t="shared" si="154"/>
        <v>KIỆN 9</v>
      </c>
      <c r="V572" s="208" t="str">
        <f t="shared" si="147"/>
        <v/>
      </c>
      <c r="W572" s="240"/>
      <c r="X572" s="240"/>
      <c r="Y572" s="240" t="str">
        <f t="shared" si="148"/>
        <v/>
      </c>
      <c r="Z572" s="240"/>
      <c r="AD572" s="232" t="str">
        <f t="shared" si="149"/>
        <v/>
      </c>
      <c r="AE572" s="204"/>
      <c r="AX572" s="3" t="str">
        <f t="shared" si="139"/>
        <v/>
      </c>
    </row>
    <row r="573" spans="1:50" s="155" customFormat="1" ht="30" hidden="1" customHeight="1">
      <c r="A573" s="141" t="str">
        <f t="shared" si="150"/>
        <v/>
      </c>
      <c r="B573" s="141" t="str">
        <f t="shared" si="151"/>
        <v/>
      </c>
      <c r="C573" s="205" t="str" cm="1">
        <f t="array" ref="C573">IF(D573="","",
    IF(AND(ISNUMBER(D573), D573=INT(D573)),
        $V$6 &amp; " " &amp; (IFERROR(MAX($Y$12:$Y572), 0) + 1),
        IF(ISNUMBER(SEARCH(".", D573)), "", INDEX($C$12:$C573, MATCH(2, 1/($C$12:$C573 &lt;&gt; ""))))
    )
)</f>
        <v/>
      </c>
      <c r="D573" s="206"/>
      <c r="E573" s="206" t="str">
        <f>IF(AA573 = "", "",
    IF(ISNUMBER(SEARCH("Kiện", C573)),
       " GÓI " &amp; COUNTIF($C$13:C573, "*Kiện*") &amp; "/" &amp; COUNTIF($C$13:$C$1000, "*Kiện*") &amp; " " &amp; AA573,
       AA573)
)</f>
        <v/>
      </c>
      <c r="F573" s="206"/>
      <c r="G573" s="206"/>
      <c r="H573" s="206"/>
      <c r="I573" s="206"/>
      <c r="J573" s="206" t="str">
        <f t="shared" si="152"/>
        <v/>
      </c>
      <c r="K573" s="206" t="str">
        <f t="shared" si="140"/>
        <v/>
      </c>
      <c r="L573" s="206" t="str">
        <f t="shared" si="141"/>
        <v/>
      </c>
      <c r="M573" s="206" t="str">
        <f t="shared" si="142"/>
        <v/>
      </c>
      <c r="N573" s="206" t="str">
        <f t="shared" si="153"/>
        <v/>
      </c>
      <c r="O573" s="206" t="str">
        <f t="shared" si="143"/>
        <v/>
      </c>
      <c r="P573" s="165" t="str">
        <f t="shared" si="144"/>
        <v/>
      </c>
      <c r="Q573" s="207"/>
      <c r="R573" s="141" t="str">
        <f>IF(S573="IN",'BOM_Phan II'!$Y$3,"")</f>
        <v/>
      </c>
      <c r="S573" s="153" t="str">
        <f t="shared" si="145"/>
        <v/>
      </c>
      <c r="T573">
        <f t="shared" si="146"/>
        <v>6</v>
      </c>
      <c r="U573" s="208" t="str">
        <f t="shared" si="154"/>
        <v>KIỆN 9</v>
      </c>
      <c r="V573" s="208" t="str">
        <f t="shared" si="147"/>
        <v/>
      </c>
      <c r="W573" s="240"/>
      <c r="X573" s="240"/>
      <c r="Y573" s="240" t="str">
        <f t="shared" si="148"/>
        <v/>
      </c>
      <c r="Z573" s="240"/>
      <c r="AD573" s="232" t="str">
        <f t="shared" si="149"/>
        <v/>
      </c>
      <c r="AE573" s="204"/>
      <c r="AX573" s="3" t="str">
        <f t="shared" si="139"/>
        <v/>
      </c>
    </row>
    <row r="574" spans="1:50" s="155" customFormat="1" ht="30" hidden="1" customHeight="1">
      <c r="A574" s="141" t="str">
        <f t="shared" si="150"/>
        <v/>
      </c>
      <c r="B574" s="141" t="str">
        <f t="shared" si="151"/>
        <v/>
      </c>
      <c r="C574" s="205" t="str" cm="1">
        <f t="array" ref="C574">IF(D574="","",
    IF(AND(ISNUMBER(D574), D574=INT(D574)),
        $V$6 &amp; " " &amp; (IFERROR(MAX($Y$12:$Y573), 0) + 1),
        IF(ISNUMBER(SEARCH(".", D574)), "", INDEX($C$12:$C574, MATCH(2, 1/($C$12:$C574 &lt;&gt; ""))))
    )
)</f>
        <v/>
      </c>
      <c r="D574" s="206"/>
      <c r="E574" s="206" t="str">
        <f>IF(AA574 = "", "",
    IF(ISNUMBER(SEARCH("Kiện", C574)),
       " GÓI " &amp; COUNTIF($C$13:C574, "*Kiện*") &amp; "/" &amp; COUNTIF($C$13:$C$1000, "*Kiện*") &amp; " " &amp; AA574,
       AA574)
)</f>
        <v/>
      </c>
      <c r="F574" s="206"/>
      <c r="G574" s="206"/>
      <c r="H574" s="206"/>
      <c r="I574" s="206"/>
      <c r="J574" s="206" t="str">
        <f t="shared" si="152"/>
        <v/>
      </c>
      <c r="K574" s="206" t="str">
        <f t="shared" si="140"/>
        <v/>
      </c>
      <c r="L574" s="206" t="str">
        <f t="shared" si="141"/>
        <v/>
      </c>
      <c r="M574" s="206" t="str">
        <f t="shared" si="142"/>
        <v/>
      </c>
      <c r="N574" s="206" t="str">
        <f t="shared" si="153"/>
        <v/>
      </c>
      <c r="O574" s="206" t="str">
        <f t="shared" si="143"/>
        <v/>
      </c>
      <c r="P574" s="165" t="str">
        <f t="shared" si="144"/>
        <v/>
      </c>
      <c r="Q574" s="207"/>
      <c r="R574" s="141" t="str">
        <f>IF(S574="IN",'BOM_Phan II'!$Y$3,"")</f>
        <v/>
      </c>
      <c r="S574" s="153" t="str">
        <f t="shared" si="145"/>
        <v/>
      </c>
      <c r="T574">
        <f t="shared" si="146"/>
        <v>6</v>
      </c>
      <c r="U574" s="208" t="str">
        <f t="shared" si="154"/>
        <v>KIỆN 9</v>
      </c>
      <c r="V574" s="208" t="str">
        <f t="shared" si="147"/>
        <v/>
      </c>
      <c r="W574" s="240"/>
      <c r="X574" s="240"/>
      <c r="Y574" s="240" t="str">
        <f t="shared" si="148"/>
        <v/>
      </c>
      <c r="Z574" s="240"/>
      <c r="AD574" s="232" t="str">
        <f t="shared" si="149"/>
        <v/>
      </c>
      <c r="AE574" s="204"/>
      <c r="AX574" s="3" t="str">
        <f t="shared" si="139"/>
        <v/>
      </c>
    </row>
    <row r="575" spans="1:50" s="155" customFormat="1" ht="30" hidden="1" customHeight="1">
      <c r="A575" s="141" t="str">
        <f t="shared" si="150"/>
        <v/>
      </c>
      <c r="B575" s="141" t="str">
        <f t="shared" si="151"/>
        <v/>
      </c>
      <c r="C575" s="205" t="str" cm="1">
        <f t="array" ref="C575">IF(D575="","",
    IF(AND(ISNUMBER(D575), D575=INT(D575)),
        $V$6 &amp; " " &amp; (IFERROR(MAX($Y$12:$Y574), 0) + 1),
        IF(ISNUMBER(SEARCH(".", D575)), "", INDEX($C$12:$C575, MATCH(2, 1/($C$12:$C575 &lt;&gt; ""))))
    )
)</f>
        <v/>
      </c>
      <c r="D575" s="206"/>
      <c r="E575" s="206" t="str">
        <f>IF(AA575 = "", "",
    IF(ISNUMBER(SEARCH("Kiện", C575)),
       " GÓI " &amp; COUNTIF($C$13:C575, "*Kiện*") &amp; "/" &amp; COUNTIF($C$13:$C$1000, "*Kiện*") &amp; " " &amp; AA575,
       AA575)
)</f>
        <v/>
      </c>
      <c r="F575" s="206"/>
      <c r="G575" s="206"/>
      <c r="H575" s="206"/>
      <c r="I575" s="206"/>
      <c r="J575" s="206" t="str">
        <f t="shared" si="152"/>
        <v/>
      </c>
      <c r="K575" s="206" t="str">
        <f t="shared" si="140"/>
        <v/>
      </c>
      <c r="L575" s="206" t="str">
        <f t="shared" si="141"/>
        <v/>
      </c>
      <c r="M575" s="206" t="str">
        <f t="shared" si="142"/>
        <v/>
      </c>
      <c r="N575" s="206" t="str">
        <f t="shared" si="153"/>
        <v/>
      </c>
      <c r="O575" s="206" t="str">
        <f t="shared" si="143"/>
        <v/>
      </c>
      <c r="P575" s="165" t="str">
        <f t="shared" si="144"/>
        <v/>
      </c>
      <c r="Q575" s="207"/>
      <c r="R575" s="141" t="str">
        <f>IF(S575="IN",'BOM_Phan II'!$Y$3,"")</f>
        <v/>
      </c>
      <c r="S575" s="153" t="str">
        <f t="shared" si="145"/>
        <v/>
      </c>
      <c r="T575">
        <f t="shared" si="146"/>
        <v>6</v>
      </c>
      <c r="U575" s="208" t="str">
        <f t="shared" si="154"/>
        <v>KIỆN 9</v>
      </c>
      <c r="V575" s="208" t="str">
        <f t="shared" si="147"/>
        <v/>
      </c>
      <c r="W575" s="240"/>
      <c r="X575" s="240"/>
      <c r="Y575" s="240" t="str">
        <f t="shared" si="148"/>
        <v/>
      </c>
      <c r="Z575" s="240"/>
      <c r="AD575" s="232" t="str">
        <f t="shared" si="149"/>
        <v/>
      </c>
      <c r="AE575" s="204"/>
      <c r="AX575" s="3" t="str">
        <f t="shared" si="139"/>
        <v/>
      </c>
    </row>
    <row r="576" spans="1:50" s="155" customFormat="1" ht="30" hidden="1" customHeight="1">
      <c r="A576" s="141" t="str">
        <f t="shared" si="150"/>
        <v/>
      </c>
      <c r="B576" s="141" t="str">
        <f t="shared" si="151"/>
        <v/>
      </c>
      <c r="C576" s="205" t="str" cm="1">
        <f t="array" ref="C576">IF(D576="","",
    IF(AND(ISNUMBER(D576), D576=INT(D576)),
        $V$6 &amp; " " &amp; (IFERROR(MAX($Y$12:$Y575), 0) + 1),
        IF(ISNUMBER(SEARCH(".", D576)), "", INDEX($C$12:$C576, MATCH(2, 1/($C$12:$C576 &lt;&gt; ""))))
    )
)</f>
        <v/>
      </c>
      <c r="D576" s="206"/>
      <c r="E576" s="206" t="str">
        <f>IF(AA576 = "", "",
    IF(ISNUMBER(SEARCH("Kiện", C576)),
       " GÓI " &amp; COUNTIF($C$13:C576, "*Kiện*") &amp; "/" &amp; COUNTIF($C$13:$C$1000, "*Kiện*") &amp; " " &amp; AA576,
       AA576)
)</f>
        <v/>
      </c>
      <c r="F576" s="206"/>
      <c r="G576" s="206"/>
      <c r="H576" s="206"/>
      <c r="I576" s="206"/>
      <c r="J576" s="206" t="str">
        <f t="shared" si="152"/>
        <v/>
      </c>
      <c r="K576" s="206" t="str">
        <f t="shared" si="140"/>
        <v/>
      </c>
      <c r="L576" s="206" t="str">
        <f t="shared" si="141"/>
        <v/>
      </c>
      <c r="M576" s="206" t="str">
        <f t="shared" si="142"/>
        <v/>
      </c>
      <c r="N576" s="206" t="str">
        <f t="shared" si="153"/>
        <v/>
      </c>
      <c r="O576" s="206" t="str">
        <f t="shared" si="143"/>
        <v/>
      </c>
      <c r="P576" s="165" t="str">
        <f t="shared" si="144"/>
        <v/>
      </c>
      <c r="Q576" s="207"/>
      <c r="R576" s="141" t="str">
        <f>IF(S576="IN",'BOM_Phan II'!$Y$3,"")</f>
        <v/>
      </c>
      <c r="S576" s="153" t="str">
        <f t="shared" si="145"/>
        <v/>
      </c>
      <c r="T576">
        <f t="shared" si="146"/>
        <v>6</v>
      </c>
      <c r="U576" s="208" t="str">
        <f t="shared" si="154"/>
        <v>KIỆN 9</v>
      </c>
      <c r="V576" s="208" t="str">
        <f t="shared" si="147"/>
        <v/>
      </c>
      <c r="W576" s="240"/>
      <c r="X576" s="240"/>
      <c r="Y576" s="240" t="str">
        <f t="shared" si="148"/>
        <v/>
      </c>
      <c r="Z576" s="240"/>
      <c r="AD576" s="232" t="str">
        <f t="shared" si="149"/>
        <v/>
      </c>
      <c r="AE576" s="204"/>
      <c r="AX576" s="3" t="str">
        <f t="shared" si="139"/>
        <v/>
      </c>
    </row>
    <row r="577" spans="1:50" s="155" customFormat="1" ht="30" hidden="1" customHeight="1">
      <c r="A577" s="141" t="str">
        <f t="shared" si="150"/>
        <v/>
      </c>
      <c r="B577" s="141" t="str">
        <f t="shared" si="151"/>
        <v/>
      </c>
      <c r="C577" s="205" t="str" cm="1">
        <f t="array" ref="C577">IF(D577="","",
    IF(AND(ISNUMBER(D577), D577=INT(D577)),
        $V$6 &amp; " " &amp; (IFERROR(MAX($Y$12:$Y576), 0) + 1),
        IF(ISNUMBER(SEARCH(".", D577)), "", INDEX($C$12:$C577, MATCH(2, 1/($C$12:$C577 &lt;&gt; ""))))
    )
)</f>
        <v/>
      </c>
      <c r="D577" s="206"/>
      <c r="E577" s="206" t="str">
        <f>IF(AA577 = "", "",
    IF(ISNUMBER(SEARCH("Kiện", C577)),
       " GÓI " &amp; COUNTIF($C$13:C577, "*Kiện*") &amp; "/" &amp; COUNTIF($C$13:$C$1000, "*Kiện*") &amp; " " &amp; AA577,
       AA577)
)</f>
        <v/>
      </c>
      <c r="F577" s="206"/>
      <c r="G577" s="206"/>
      <c r="H577" s="206"/>
      <c r="I577" s="206"/>
      <c r="J577" s="206" t="str">
        <f t="shared" si="152"/>
        <v/>
      </c>
      <c r="K577" s="206" t="str">
        <f t="shared" si="140"/>
        <v/>
      </c>
      <c r="L577" s="206" t="str">
        <f t="shared" si="141"/>
        <v/>
      </c>
      <c r="M577" s="206" t="str">
        <f t="shared" si="142"/>
        <v/>
      </c>
      <c r="N577" s="206" t="str">
        <f t="shared" si="153"/>
        <v/>
      </c>
      <c r="O577" s="206" t="str">
        <f t="shared" si="143"/>
        <v/>
      </c>
      <c r="P577" s="165" t="str">
        <f t="shared" si="144"/>
        <v/>
      </c>
      <c r="Q577" s="207"/>
      <c r="R577" s="141" t="str">
        <f>IF(S577="IN",'BOM_Phan II'!$Y$3,"")</f>
        <v/>
      </c>
      <c r="S577" s="153" t="str">
        <f t="shared" si="145"/>
        <v/>
      </c>
      <c r="T577">
        <f t="shared" si="146"/>
        <v>6</v>
      </c>
      <c r="U577" s="208" t="str">
        <f t="shared" si="154"/>
        <v>KIỆN 9</v>
      </c>
      <c r="V577" s="208" t="str">
        <f t="shared" si="147"/>
        <v/>
      </c>
      <c r="W577" s="240"/>
      <c r="X577" s="240"/>
      <c r="Y577" s="240" t="str">
        <f t="shared" si="148"/>
        <v/>
      </c>
      <c r="Z577" s="240"/>
      <c r="AD577" s="232" t="str">
        <f t="shared" si="149"/>
        <v/>
      </c>
      <c r="AE577" s="204"/>
      <c r="AX577" s="3" t="str">
        <f t="shared" si="139"/>
        <v/>
      </c>
    </row>
    <row r="578" spans="1:50" s="155" customFormat="1" ht="30" hidden="1" customHeight="1">
      <c r="A578" s="141" t="str">
        <f t="shared" si="150"/>
        <v/>
      </c>
      <c r="B578" s="141" t="str">
        <f t="shared" si="151"/>
        <v/>
      </c>
      <c r="C578" s="205" t="str" cm="1">
        <f t="array" ref="C578">IF(D578="","",
    IF(AND(ISNUMBER(D578), D578=INT(D578)),
        $V$6 &amp; " " &amp; (IFERROR(MAX($Y$12:$Y577), 0) + 1),
        IF(ISNUMBER(SEARCH(".", D578)), "", INDEX($C$12:$C578, MATCH(2, 1/($C$12:$C578 &lt;&gt; ""))))
    )
)</f>
        <v/>
      </c>
      <c r="D578" s="206"/>
      <c r="E578" s="206" t="str">
        <f>IF(AA578 = "", "",
    IF(ISNUMBER(SEARCH("Kiện", C578)),
       " GÓI " &amp; COUNTIF($C$13:C578, "*Kiện*") &amp; "/" &amp; COUNTIF($C$13:$C$1000, "*Kiện*") &amp; " " &amp; AA578,
       AA578)
)</f>
        <v/>
      </c>
      <c r="F578" s="206"/>
      <c r="G578" s="206"/>
      <c r="H578" s="206"/>
      <c r="I578" s="206"/>
      <c r="J578" s="206" t="str">
        <f t="shared" si="152"/>
        <v/>
      </c>
      <c r="K578" s="206" t="str">
        <f t="shared" si="140"/>
        <v/>
      </c>
      <c r="L578" s="206" t="str">
        <f t="shared" si="141"/>
        <v/>
      </c>
      <c r="M578" s="206" t="str">
        <f t="shared" si="142"/>
        <v/>
      </c>
      <c r="N578" s="206" t="str">
        <f t="shared" si="153"/>
        <v/>
      </c>
      <c r="O578" s="206" t="str">
        <f t="shared" si="143"/>
        <v/>
      </c>
      <c r="P578" s="165" t="str">
        <f t="shared" si="144"/>
        <v/>
      </c>
      <c r="Q578" s="207"/>
      <c r="R578" s="141" t="str">
        <f>IF(S578="IN",'BOM_Phan II'!$Y$3,"")</f>
        <v/>
      </c>
      <c r="S578" s="153" t="str">
        <f t="shared" si="145"/>
        <v/>
      </c>
      <c r="T578">
        <f t="shared" si="146"/>
        <v>6</v>
      </c>
      <c r="U578" s="208" t="str">
        <f t="shared" si="154"/>
        <v>KIỆN 9</v>
      </c>
      <c r="V578" s="208" t="str">
        <f t="shared" si="147"/>
        <v/>
      </c>
      <c r="W578" s="240"/>
      <c r="X578" s="240"/>
      <c r="Y578" s="240" t="str">
        <f t="shared" si="148"/>
        <v/>
      </c>
      <c r="Z578" s="240"/>
      <c r="AD578" s="232" t="str">
        <f t="shared" si="149"/>
        <v/>
      </c>
      <c r="AE578" s="204"/>
      <c r="AX578" s="3" t="str">
        <f t="shared" si="139"/>
        <v/>
      </c>
    </row>
    <row r="579" spans="1:50" s="155" customFormat="1" ht="30" hidden="1" customHeight="1">
      <c r="A579" s="141" t="str">
        <f t="shared" si="150"/>
        <v/>
      </c>
      <c r="B579" s="141" t="str">
        <f t="shared" si="151"/>
        <v/>
      </c>
      <c r="C579" s="205" t="str" cm="1">
        <f t="array" ref="C579">IF(D579="","",
    IF(AND(ISNUMBER(D579), D579=INT(D579)),
        $V$6 &amp; " " &amp; (IFERROR(MAX($Y$12:$Y578), 0) + 1),
        IF(ISNUMBER(SEARCH(".", D579)), "", INDEX($C$12:$C579, MATCH(2, 1/($C$12:$C579 &lt;&gt; ""))))
    )
)</f>
        <v/>
      </c>
      <c r="D579" s="206"/>
      <c r="E579" s="206" t="str">
        <f>IF(AA579 = "", "",
    IF(ISNUMBER(SEARCH("Kiện", C579)),
       " GÓI " &amp; COUNTIF($C$13:C579, "*Kiện*") &amp; "/" &amp; COUNTIF($C$13:$C$1000, "*Kiện*") &amp; " " &amp; AA579,
       AA579)
)</f>
        <v/>
      </c>
      <c r="F579" s="206"/>
      <c r="G579" s="206"/>
      <c r="H579" s="206"/>
      <c r="I579" s="206"/>
      <c r="J579" s="206" t="str">
        <f t="shared" si="152"/>
        <v/>
      </c>
      <c r="K579" s="206" t="str">
        <f t="shared" si="140"/>
        <v/>
      </c>
      <c r="L579" s="206" t="str">
        <f t="shared" si="141"/>
        <v/>
      </c>
      <c r="M579" s="206" t="str">
        <f t="shared" si="142"/>
        <v/>
      </c>
      <c r="N579" s="206" t="str">
        <f t="shared" si="153"/>
        <v/>
      </c>
      <c r="O579" s="206" t="str">
        <f t="shared" si="143"/>
        <v/>
      </c>
      <c r="P579" s="165" t="str">
        <f t="shared" si="144"/>
        <v/>
      </c>
      <c r="Q579" s="207"/>
      <c r="R579" s="141" t="str">
        <f>IF(S579="IN",'BOM_Phan II'!$Y$3,"")</f>
        <v/>
      </c>
      <c r="S579" s="153" t="str">
        <f t="shared" si="145"/>
        <v/>
      </c>
      <c r="T579">
        <f t="shared" si="146"/>
        <v>6</v>
      </c>
      <c r="U579" s="208" t="str">
        <f t="shared" si="154"/>
        <v>KIỆN 9</v>
      </c>
      <c r="V579" s="208" t="str">
        <f t="shared" si="147"/>
        <v/>
      </c>
      <c r="W579" s="240"/>
      <c r="X579" s="240"/>
      <c r="Y579" s="240" t="str">
        <f t="shared" si="148"/>
        <v/>
      </c>
      <c r="Z579" s="240"/>
      <c r="AD579" s="232" t="str">
        <f t="shared" si="149"/>
        <v/>
      </c>
      <c r="AE579" s="204"/>
      <c r="AX579" s="3" t="str">
        <f t="shared" si="139"/>
        <v/>
      </c>
    </row>
    <row r="580" spans="1:50" s="155" customFormat="1" ht="30" hidden="1" customHeight="1">
      <c r="A580" s="141" t="str">
        <f t="shared" si="150"/>
        <v/>
      </c>
      <c r="B580" s="141" t="str">
        <f t="shared" si="151"/>
        <v/>
      </c>
      <c r="C580" s="205" t="str" cm="1">
        <f t="array" ref="C580">IF(D580="","",
    IF(AND(ISNUMBER(D580), D580=INT(D580)),
        $V$6 &amp; " " &amp; (IFERROR(MAX($Y$12:$Y579), 0) + 1),
        IF(ISNUMBER(SEARCH(".", D580)), "", INDEX($C$12:$C580, MATCH(2, 1/($C$12:$C580 &lt;&gt; ""))))
    )
)</f>
        <v/>
      </c>
      <c r="D580" s="206"/>
      <c r="E580" s="206" t="str">
        <f>IF(AA580 = "", "",
    IF(ISNUMBER(SEARCH("Kiện", C580)),
       " GÓI " &amp; COUNTIF($C$13:C580, "*Kiện*") &amp; "/" &amp; COUNTIF($C$13:$C$1000, "*Kiện*") &amp; " " &amp; AA580,
       AA580)
)</f>
        <v/>
      </c>
      <c r="F580" s="206"/>
      <c r="G580" s="206"/>
      <c r="H580" s="206"/>
      <c r="I580" s="206"/>
      <c r="J580" s="206" t="str">
        <f t="shared" si="152"/>
        <v/>
      </c>
      <c r="K580" s="206" t="str">
        <f t="shared" si="140"/>
        <v/>
      </c>
      <c r="L580" s="206" t="str">
        <f t="shared" si="141"/>
        <v/>
      </c>
      <c r="M580" s="206" t="str">
        <f t="shared" si="142"/>
        <v/>
      </c>
      <c r="N580" s="206" t="str">
        <f t="shared" si="153"/>
        <v/>
      </c>
      <c r="O580" s="206" t="str">
        <f t="shared" si="143"/>
        <v/>
      </c>
      <c r="P580" s="165" t="str">
        <f t="shared" si="144"/>
        <v/>
      </c>
      <c r="Q580" s="207"/>
      <c r="R580" s="141" t="str">
        <f>IF(S580="IN",'BOM_Phan II'!$Y$3,"")</f>
        <v/>
      </c>
      <c r="S580" s="153" t="str">
        <f t="shared" si="145"/>
        <v/>
      </c>
      <c r="T580">
        <f t="shared" si="146"/>
        <v>6</v>
      </c>
      <c r="U580" s="208" t="str">
        <f t="shared" si="154"/>
        <v>KIỆN 9</v>
      </c>
      <c r="V580" s="208" t="str">
        <f t="shared" si="147"/>
        <v/>
      </c>
      <c r="W580" s="240"/>
      <c r="X580" s="240"/>
      <c r="Y580" s="240" t="str">
        <f t="shared" si="148"/>
        <v/>
      </c>
      <c r="Z580" s="240"/>
      <c r="AD580" s="232" t="str">
        <f t="shared" si="149"/>
        <v/>
      </c>
      <c r="AE580" s="204"/>
      <c r="AX580" s="3" t="str">
        <f t="shared" si="139"/>
        <v/>
      </c>
    </row>
    <row r="581" spans="1:50" s="155" customFormat="1" ht="30" hidden="1" customHeight="1">
      <c r="A581" s="141" t="str">
        <f t="shared" si="150"/>
        <v/>
      </c>
      <c r="B581" s="141" t="str">
        <f t="shared" si="151"/>
        <v/>
      </c>
      <c r="C581" s="205" t="str" cm="1">
        <f t="array" ref="C581">IF(D581="","",
    IF(AND(ISNUMBER(D581), D581=INT(D581)),
        $V$6 &amp; " " &amp; (IFERROR(MAX($Y$12:$Y580), 0) + 1),
        IF(ISNUMBER(SEARCH(".", D581)), "", INDEX($C$12:$C581, MATCH(2, 1/($C$12:$C581 &lt;&gt; ""))))
    )
)</f>
        <v/>
      </c>
      <c r="D581" s="206"/>
      <c r="E581" s="206" t="str">
        <f>IF(AA581 = "", "",
    IF(ISNUMBER(SEARCH("Kiện", C581)),
       " GÓI " &amp; COUNTIF($C$13:C581, "*Kiện*") &amp; "/" &amp; COUNTIF($C$13:$C$1000, "*Kiện*") &amp; " " &amp; AA581,
       AA581)
)</f>
        <v/>
      </c>
      <c r="F581" s="206"/>
      <c r="G581" s="206"/>
      <c r="H581" s="206"/>
      <c r="I581" s="206"/>
      <c r="J581" s="206" t="str">
        <f t="shared" si="152"/>
        <v/>
      </c>
      <c r="K581" s="206" t="str">
        <f t="shared" si="140"/>
        <v/>
      </c>
      <c r="L581" s="206" t="str">
        <f t="shared" si="141"/>
        <v/>
      </c>
      <c r="M581" s="206" t="str">
        <f t="shared" si="142"/>
        <v/>
      </c>
      <c r="N581" s="206" t="str">
        <f t="shared" si="153"/>
        <v/>
      </c>
      <c r="O581" s="206" t="str">
        <f t="shared" si="143"/>
        <v/>
      </c>
      <c r="P581" s="165" t="str">
        <f t="shared" si="144"/>
        <v/>
      </c>
      <c r="Q581" s="207"/>
      <c r="R581" s="141" t="str">
        <f>IF(S581="IN",'BOM_Phan II'!$Y$3,"")</f>
        <v/>
      </c>
      <c r="S581" s="153" t="str">
        <f t="shared" si="145"/>
        <v/>
      </c>
      <c r="T581">
        <f t="shared" si="146"/>
        <v>6</v>
      </c>
      <c r="U581" s="208" t="str">
        <f t="shared" si="154"/>
        <v>KIỆN 9</v>
      </c>
      <c r="V581" s="208" t="str">
        <f t="shared" si="147"/>
        <v/>
      </c>
      <c r="W581" s="240"/>
      <c r="X581" s="240"/>
      <c r="Y581" s="240" t="str">
        <f t="shared" si="148"/>
        <v/>
      </c>
      <c r="Z581" s="240"/>
      <c r="AD581" s="232" t="str">
        <f t="shared" si="149"/>
        <v/>
      </c>
      <c r="AE581" s="204"/>
      <c r="AX581" s="3" t="str">
        <f t="shared" si="139"/>
        <v/>
      </c>
    </row>
    <row r="582" spans="1:50" s="155" customFormat="1" ht="30" hidden="1" customHeight="1">
      <c r="A582" s="141" t="str">
        <f t="shared" si="150"/>
        <v/>
      </c>
      <c r="B582" s="141" t="str">
        <f t="shared" si="151"/>
        <v/>
      </c>
      <c r="C582" s="205" t="str" cm="1">
        <f t="array" ref="C582">IF(D582="","",
    IF(AND(ISNUMBER(D582), D582=INT(D582)),
        $V$6 &amp; " " &amp; (IFERROR(MAX($Y$12:$Y581), 0) + 1),
        IF(ISNUMBER(SEARCH(".", D582)), "", INDEX($C$12:$C582, MATCH(2, 1/($C$12:$C582 &lt;&gt; ""))))
    )
)</f>
        <v/>
      </c>
      <c r="D582" s="206"/>
      <c r="E582" s="206" t="str">
        <f>IF(AA582 = "", "",
    IF(ISNUMBER(SEARCH("Kiện", C582)),
       " GÓI " &amp; COUNTIF($C$13:C582, "*Kiện*") &amp; "/" &amp; COUNTIF($C$13:$C$1000, "*Kiện*") &amp; " " &amp; AA582,
       AA582)
)</f>
        <v/>
      </c>
      <c r="F582" s="206"/>
      <c r="G582" s="206"/>
      <c r="H582" s="206"/>
      <c r="I582" s="206"/>
      <c r="J582" s="206" t="str">
        <f t="shared" si="152"/>
        <v/>
      </c>
      <c r="K582" s="206" t="str">
        <f t="shared" si="140"/>
        <v/>
      </c>
      <c r="L582" s="206" t="str">
        <f t="shared" si="141"/>
        <v/>
      </c>
      <c r="M582" s="206" t="str">
        <f t="shared" si="142"/>
        <v/>
      </c>
      <c r="N582" s="206" t="str">
        <f t="shared" si="153"/>
        <v/>
      </c>
      <c r="O582" s="206" t="str">
        <f t="shared" si="143"/>
        <v/>
      </c>
      <c r="P582" s="165" t="str">
        <f t="shared" si="144"/>
        <v/>
      </c>
      <c r="Q582" s="207"/>
      <c r="R582" s="141" t="str">
        <f>IF(S582="IN",'BOM_Phan II'!$Y$3,"")</f>
        <v/>
      </c>
      <c r="S582" s="153" t="str">
        <f t="shared" si="145"/>
        <v/>
      </c>
      <c r="T582">
        <f t="shared" si="146"/>
        <v>6</v>
      </c>
      <c r="U582" s="208" t="str">
        <f t="shared" si="154"/>
        <v>KIỆN 9</v>
      </c>
      <c r="V582" s="208" t="str">
        <f t="shared" si="147"/>
        <v/>
      </c>
      <c r="W582" s="240"/>
      <c r="X582" s="240"/>
      <c r="Y582" s="240" t="str">
        <f t="shared" si="148"/>
        <v/>
      </c>
      <c r="Z582" s="240"/>
      <c r="AD582" s="232" t="str">
        <f t="shared" si="149"/>
        <v/>
      </c>
      <c r="AE582" s="204"/>
      <c r="AX582" s="3" t="str">
        <f t="shared" si="139"/>
        <v/>
      </c>
    </row>
    <row r="583" spans="1:50" s="155" customFormat="1" ht="30" hidden="1" customHeight="1">
      <c r="A583" s="141" t="str">
        <f t="shared" si="150"/>
        <v/>
      </c>
      <c r="B583" s="141" t="str">
        <f t="shared" si="151"/>
        <v/>
      </c>
      <c r="C583" s="205" t="str" cm="1">
        <f t="array" ref="C583">IF(D583="","",
    IF(AND(ISNUMBER(D583), D583=INT(D583)),
        $V$6 &amp; " " &amp; (IFERROR(MAX($Y$12:$Y582), 0) + 1),
        IF(ISNUMBER(SEARCH(".", D583)), "", INDEX($C$12:$C583, MATCH(2, 1/($C$12:$C583 &lt;&gt; ""))))
    )
)</f>
        <v/>
      </c>
      <c r="D583" s="206"/>
      <c r="E583" s="206" t="str">
        <f>IF(AA583 = "", "",
    IF(ISNUMBER(SEARCH("Kiện", C583)),
       " GÓI " &amp; COUNTIF($C$13:C583, "*Kiện*") &amp; "/" &amp; COUNTIF($C$13:$C$1000, "*Kiện*") &amp; " " &amp; AA583,
       AA583)
)</f>
        <v/>
      </c>
      <c r="F583" s="206"/>
      <c r="G583" s="206"/>
      <c r="H583" s="206"/>
      <c r="I583" s="206"/>
      <c r="J583" s="206" t="str">
        <f t="shared" si="152"/>
        <v/>
      </c>
      <c r="K583" s="206" t="str">
        <f t="shared" si="140"/>
        <v/>
      </c>
      <c r="L583" s="206" t="str">
        <f t="shared" si="141"/>
        <v/>
      </c>
      <c r="M583" s="206" t="str">
        <f t="shared" si="142"/>
        <v/>
      </c>
      <c r="N583" s="206" t="str">
        <f t="shared" si="153"/>
        <v/>
      </c>
      <c r="O583" s="206" t="str">
        <f t="shared" si="143"/>
        <v/>
      </c>
      <c r="P583" s="165" t="str">
        <f t="shared" si="144"/>
        <v/>
      </c>
      <c r="Q583" s="207"/>
      <c r="R583" s="141" t="str">
        <f>IF(S583="IN",'BOM_Phan II'!$Y$3,"")</f>
        <v/>
      </c>
      <c r="S583" s="153" t="str">
        <f t="shared" si="145"/>
        <v/>
      </c>
      <c r="T583">
        <f t="shared" si="146"/>
        <v>6</v>
      </c>
      <c r="U583" s="208" t="str">
        <f t="shared" si="154"/>
        <v>KIỆN 9</v>
      </c>
      <c r="V583" s="208" t="str">
        <f t="shared" si="147"/>
        <v/>
      </c>
      <c r="W583" s="240"/>
      <c r="X583" s="240"/>
      <c r="Y583" s="240" t="str">
        <f t="shared" si="148"/>
        <v/>
      </c>
      <c r="Z583" s="240"/>
      <c r="AD583" s="232" t="str">
        <f t="shared" si="149"/>
        <v/>
      </c>
      <c r="AE583" s="204"/>
      <c r="AX583" s="3" t="str">
        <f t="shared" si="139"/>
        <v/>
      </c>
    </row>
    <row r="584" spans="1:50" s="155" customFormat="1" ht="30" hidden="1" customHeight="1">
      <c r="A584" s="141" t="str">
        <f t="shared" si="150"/>
        <v/>
      </c>
      <c r="B584" s="141" t="str">
        <f t="shared" si="151"/>
        <v/>
      </c>
      <c r="C584" s="205" t="str" cm="1">
        <f t="array" ref="C584">IF(D584="","",
    IF(AND(ISNUMBER(D584), D584=INT(D584)),
        $V$6 &amp; " " &amp; (IFERROR(MAX($Y$12:$Y583), 0) + 1),
        IF(ISNUMBER(SEARCH(".", D584)), "", INDEX($C$12:$C584, MATCH(2, 1/($C$12:$C584 &lt;&gt; ""))))
    )
)</f>
        <v/>
      </c>
      <c r="D584" s="206"/>
      <c r="E584" s="206" t="str">
        <f>IF(AA584 = "", "",
    IF(ISNUMBER(SEARCH("Kiện", C584)),
       " GÓI " &amp; COUNTIF($C$13:C584, "*Kiện*") &amp; "/" &amp; COUNTIF($C$13:$C$1000, "*Kiện*") &amp; " " &amp; AA584,
       AA584)
)</f>
        <v/>
      </c>
      <c r="F584" s="206"/>
      <c r="G584" s="206"/>
      <c r="H584" s="206"/>
      <c r="I584" s="206"/>
      <c r="J584" s="206" t="str">
        <f t="shared" si="152"/>
        <v/>
      </c>
      <c r="K584" s="206" t="str">
        <f t="shared" si="140"/>
        <v/>
      </c>
      <c r="L584" s="206" t="str">
        <f t="shared" si="141"/>
        <v/>
      </c>
      <c r="M584" s="206" t="str">
        <f t="shared" si="142"/>
        <v/>
      </c>
      <c r="N584" s="206" t="str">
        <f t="shared" si="153"/>
        <v/>
      </c>
      <c r="O584" s="206" t="str">
        <f t="shared" si="143"/>
        <v/>
      </c>
      <c r="P584" s="165" t="str">
        <f t="shared" si="144"/>
        <v/>
      </c>
      <c r="Q584" s="207"/>
      <c r="R584" s="141" t="str">
        <f>IF(S584="IN",'BOM_Phan II'!$Y$3,"")</f>
        <v/>
      </c>
      <c r="S584" s="153" t="str">
        <f t="shared" si="145"/>
        <v/>
      </c>
      <c r="T584">
        <f t="shared" si="146"/>
        <v>6</v>
      </c>
      <c r="U584" s="208" t="str">
        <f t="shared" si="154"/>
        <v>KIỆN 9</v>
      </c>
      <c r="V584" s="208" t="str">
        <f t="shared" si="147"/>
        <v/>
      </c>
      <c r="W584" s="240"/>
      <c r="X584" s="240"/>
      <c r="Y584" s="240" t="str">
        <f t="shared" si="148"/>
        <v/>
      </c>
      <c r="Z584" s="240"/>
      <c r="AD584" s="232" t="str">
        <f t="shared" si="149"/>
        <v/>
      </c>
      <c r="AE584" s="204"/>
      <c r="AX584" s="3" t="str">
        <f t="shared" si="139"/>
        <v/>
      </c>
    </row>
    <row r="585" spans="1:50" s="155" customFormat="1" ht="30" hidden="1" customHeight="1">
      <c r="A585" s="141" t="str">
        <f t="shared" si="150"/>
        <v/>
      </c>
      <c r="B585" s="141" t="str">
        <f t="shared" si="151"/>
        <v/>
      </c>
      <c r="C585" s="205" t="str" cm="1">
        <f t="array" ref="C585">IF(D585="","",
    IF(AND(ISNUMBER(D585), D585=INT(D585)),
        $V$6 &amp; " " &amp; (IFERROR(MAX($Y$12:$Y584), 0) + 1),
        IF(ISNUMBER(SEARCH(".", D585)), "", INDEX($C$12:$C585, MATCH(2, 1/($C$12:$C585 &lt;&gt; ""))))
    )
)</f>
        <v/>
      </c>
      <c r="D585" s="206"/>
      <c r="E585" s="206" t="str">
        <f>IF(AA585 = "", "",
    IF(ISNUMBER(SEARCH("Kiện", C585)),
       " GÓI " &amp; COUNTIF($C$13:C585, "*Kiện*") &amp; "/" &amp; COUNTIF($C$13:$C$1000, "*Kiện*") &amp; " " &amp; AA585,
       AA585)
)</f>
        <v/>
      </c>
      <c r="F585" s="206"/>
      <c r="G585" s="206"/>
      <c r="H585" s="206"/>
      <c r="I585" s="206"/>
      <c r="J585" s="206" t="str">
        <f t="shared" si="152"/>
        <v/>
      </c>
      <c r="K585" s="206" t="str">
        <f t="shared" si="140"/>
        <v/>
      </c>
      <c r="L585" s="206" t="str">
        <f t="shared" si="141"/>
        <v/>
      </c>
      <c r="M585" s="206" t="str">
        <f t="shared" si="142"/>
        <v/>
      </c>
      <c r="N585" s="206" t="str">
        <f t="shared" si="153"/>
        <v/>
      </c>
      <c r="O585" s="206" t="str">
        <f t="shared" si="143"/>
        <v/>
      </c>
      <c r="P585" s="165" t="str">
        <f t="shared" si="144"/>
        <v/>
      </c>
      <c r="Q585" s="207"/>
      <c r="R585" s="141" t="str">
        <f>IF(S585="IN",'BOM_Phan II'!$Y$3,"")</f>
        <v/>
      </c>
      <c r="S585" s="153" t="str">
        <f t="shared" si="145"/>
        <v/>
      </c>
      <c r="T585">
        <f t="shared" si="146"/>
        <v>6</v>
      </c>
      <c r="U585" s="208" t="str">
        <f t="shared" si="154"/>
        <v>KIỆN 9</v>
      </c>
      <c r="V585" s="208" t="str">
        <f t="shared" si="147"/>
        <v/>
      </c>
      <c r="W585" s="240"/>
      <c r="X585" s="240"/>
      <c r="Y585" s="240" t="str">
        <f t="shared" si="148"/>
        <v/>
      </c>
      <c r="Z585" s="240"/>
      <c r="AD585" s="232" t="str">
        <f t="shared" si="149"/>
        <v/>
      </c>
      <c r="AE585" s="204"/>
      <c r="AX585" s="3" t="str">
        <f t="shared" si="139"/>
        <v/>
      </c>
    </row>
    <row r="586" spans="1:50" s="155" customFormat="1" ht="30" hidden="1" customHeight="1">
      <c r="A586" s="141" t="str">
        <f t="shared" si="150"/>
        <v/>
      </c>
      <c r="B586" s="141" t="str">
        <f t="shared" si="151"/>
        <v/>
      </c>
      <c r="C586" s="205" t="str" cm="1">
        <f t="array" ref="C586">IF(D586="","",
    IF(AND(ISNUMBER(D586), D586=INT(D586)),
        $V$6 &amp; " " &amp; (IFERROR(MAX($Y$12:$Y585), 0) + 1),
        IF(ISNUMBER(SEARCH(".", D586)), "", INDEX($C$12:$C586, MATCH(2, 1/($C$12:$C586 &lt;&gt; ""))))
    )
)</f>
        <v/>
      </c>
      <c r="D586" s="206"/>
      <c r="E586" s="206" t="str">
        <f>IF(AA586 = "", "",
    IF(ISNUMBER(SEARCH("Kiện", C586)),
       " GÓI " &amp; COUNTIF($C$13:C586, "*Kiện*") &amp; "/" &amp; COUNTIF($C$13:$C$1000, "*Kiện*") &amp; " " &amp; AA586,
       AA586)
)</f>
        <v/>
      </c>
      <c r="F586" s="206"/>
      <c r="G586" s="206"/>
      <c r="H586" s="206"/>
      <c r="I586" s="206"/>
      <c r="J586" s="206" t="str">
        <f t="shared" si="152"/>
        <v/>
      </c>
      <c r="K586" s="206" t="str">
        <f t="shared" si="140"/>
        <v/>
      </c>
      <c r="L586" s="206" t="str">
        <f t="shared" si="141"/>
        <v/>
      </c>
      <c r="M586" s="206" t="str">
        <f t="shared" si="142"/>
        <v/>
      </c>
      <c r="N586" s="206" t="str">
        <f t="shared" si="153"/>
        <v/>
      </c>
      <c r="O586" s="206" t="str">
        <f t="shared" si="143"/>
        <v/>
      </c>
      <c r="P586" s="165" t="str">
        <f t="shared" si="144"/>
        <v/>
      </c>
      <c r="Q586" s="207"/>
      <c r="R586" s="141" t="str">
        <f>IF(S586="IN",'BOM_Phan II'!$Y$3,"")</f>
        <v/>
      </c>
      <c r="S586" s="153" t="str">
        <f t="shared" si="145"/>
        <v/>
      </c>
      <c r="T586">
        <f t="shared" si="146"/>
        <v>6</v>
      </c>
      <c r="U586" s="208" t="str">
        <f t="shared" si="154"/>
        <v>KIỆN 9</v>
      </c>
      <c r="V586" s="208" t="str">
        <f t="shared" si="147"/>
        <v/>
      </c>
      <c r="W586" s="240"/>
      <c r="X586" s="240"/>
      <c r="Y586" s="240" t="str">
        <f t="shared" si="148"/>
        <v/>
      </c>
      <c r="Z586" s="240"/>
      <c r="AD586" s="232" t="str">
        <f t="shared" si="149"/>
        <v/>
      </c>
      <c r="AE586" s="204"/>
      <c r="AX586" s="3" t="str">
        <f t="shared" si="139"/>
        <v/>
      </c>
    </row>
    <row r="587" spans="1:50" s="155" customFormat="1" ht="30" hidden="1" customHeight="1">
      <c r="A587" s="141" t="str">
        <f t="shared" si="150"/>
        <v/>
      </c>
      <c r="B587" s="141" t="str">
        <f t="shared" si="151"/>
        <v/>
      </c>
      <c r="C587" s="205" t="str" cm="1">
        <f t="array" ref="C587">IF(D587="","",
    IF(AND(ISNUMBER(D587), D587=INT(D587)),
        $V$6 &amp; " " &amp; (IFERROR(MAX($Y$12:$Y586), 0) + 1),
        IF(ISNUMBER(SEARCH(".", D587)), "", INDEX($C$12:$C587, MATCH(2, 1/($C$12:$C587 &lt;&gt; ""))))
    )
)</f>
        <v/>
      </c>
      <c r="D587" s="206"/>
      <c r="E587" s="206" t="str">
        <f>IF(AA587 = "", "",
    IF(ISNUMBER(SEARCH("Kiện", C587)),
       " GÓI " &amp; COUNTIF($C$13:C587, "*Kiện*") &amp; "/" &amp; COUNTIF($C$13:$C$1000, "*Kiện*") &amp; " " &amp; AA587,
       AA587)
)</f>
        <v/>
      </c>
      <c r="F587" s="206"/>
      <c r="G587" s="206"/>
      <c r="H587" s="206"/>
      <c r="I587" s="206"/>
      <c r="J587" s="206" t="str">
        <f t="shared" si="152"/>
        <v/>
      </c>
      <c r="K587" s="206" t="str">
        <f t="shared" si="140"/>
        <v/>
      </c>
      <c r="L587" s="206" t="str">
        <f t="shared" si="141"/>
        <v/>
      </c>
      <c r="M587" s="206" t="str">
        <f t="shared" si="142"/>
        <v/>
      </c>
      <c r="N587" s="206" t="str">
        <f t="shared" si="153"/>
        <v/>
      </c>
      <c r="O587" s="206" t="str">
        <f t="shared" si="143"/>
        <v/>
      </c>
      <c r="P587" s="165" t="str">
        <f t="shared" si="144"/>
        <v/>
      </c>
      <c r="Q587" s="207"/>
      <c r="R587" s="141" t="str">
        <f>IF(S587="IN",'BOM_Phan II'!$Y$3,"")</f>
        <v/>
      </c>
      <c r="S587" s="153" t="str">
        <f t="shared" si="145"/>
        <v/>
      </c>
      <c r="T587">
        <f t="shared" si="146"/>
        <v>6</v>
      </c>
      <c r="U587" s="208" t="str">
        <f t="shared" si="154"/>
        <v>KIỆN 9</v>
      </c>
      <c r="V587" s="208" t="str">
        <f t="shared" si="147"/>
        <v/>
      </c>
      <c r="W587" s="240"/>
      <c r="X587" s="240"/>
      <c r="Y587" s="240" t="str">
        <f t="shared" si="148"/>
        <v/>
      </c>
      <c r="Z587" s="240"/>
      <c r="AD587" s="232" t="str">
        <f t="shared" si="149"/>
        <v/>
      </c>
      <c r="AE587" s="204"/>
      <c r="AX587" s="3" t="str">
        <f t="shared" si="139"/>
        <v/>
      </c>
    </row>
    <row r="588" spans="1:50" s="155" customFormat="1" ht="30" hidden="1" customHeight="1">
      <c r="A588" s="141" t="str">
        <f t="shared" si="150"/>
        <v/>
      </c>
      <c r="B588" s="141" t="str">
        <f t="shared" si="151"/>
        <v/>
      </c>
      <c r="C588" s="205" t="str" cm="1">
        <f t="array" ref="C588">IF(D588="","",
    IF(AND(ISNUMBER(D588), D588=INT(D588)),
        $V$6 &amp; " " &amp; (IFERROR(MAX($Y$12:$Y587), 0) + 1),
        IF(ISNUMBER(SEARCH(".", D588)), "", INDEX($C$12:$C588, MATCH(2, 1/($C$12:$C588 &lt;&gt; ""))))
    )
)</f>
        <v/>
      </c>
      <c r="D588" s="206"/>
      <c r="E588" s="206" t="str">
        <f>IF(AA588 = "", "",
    IF(ISNUMBER(SEARCH("Kiện", C588)),
       " GÓI " &amp; COUNTIF($C$13:C588, "*Kiện*") &amp; "/" &amp; COUNTIF($C$13:$C$1000, "*Kiện*") &amp; " " &amp; AA588,
       AA588)
)</f>
        <v/>
      </c>
      <c r="F588" s="206"/>
      <c r="G588" s="206"/>
      <c r="H588" s="206"/>
      <c r="I588" s="206"/>
      <c r="J588" s="206" t="str">
        <f t="shared" si="152"/>
        <v/>
      </c>
      <c r="K588" s="206" t="str">
        <f t="shared" si="140"/>
        <v/>
      </c>
      <c r="L588" s="206" t="str">
        <f t="shared" si="141"/>
        <v/>
      </c>
      <c r="M588" s="206" t="str">
        <f t="shared" si="142"/>
        <v/>
      </c>
      <c r="N588" s="206" t="str">
        <f t="shared" si="153"/>
        <v/>
      </c>
      <c r="O588" s="206" t="str">
        <f t="shared" si="143"/>
        <v/>
      </c>
      <c r="P588" s="165" t="str">
        <f t="shared" si="144"/>
        <v/>
      </c>
      <c r="Q588" s="207"/>
      <c r="R588" s="141" t="str">
        <f>IF(S588="IN",'BOM_Phan II'!$Y$3,"")</f>
        <v/>
      </c>
      <c r="S588" s="153" t="str">
        <f t="shared" si="145"/>
        <v/>
      </c>
      <c r="T588">
        <f t="shared" si="146"/>
        <v>6</v>
      </c>
      <c r="U588" s="208" t="str">
        <f t="shared" si="154"/>
        <v>KIỆN 9</v>
      </c>
      <c r="V588" s="208" t="str">
        <f t="shared" si="147"/>
        <v/>
      </c>
      <c r="W588" s="240"/>
      <c r="X588" s="240"/>
      <c r="Y588" s="240" t="str">
        <f t="shared" si="148"/>
        <v/>
      </c>
      <c r="Z588" s="240"/>
      <c r="AD588" s="232" t="str">
        <f t="shared" si="149"/>
        <v/>
      </c>
      <c r="AE588" s="204"/>
      <c r="AX588" s="3" t="str">
        <f t="shared" ref="AX588:AX651" si="155">+S588</f>
        <v/>
      </c>
    </row>
    <row r="589" spans="1:50" s="155" customFormat="1" ht="30" hidden="1" customHeight="1">
      <c r="A589" s="141" t="str">
        <f t="shared" si="150"/>
        <v/>
      </c>
      <c r="B589" s="141" t="str">
        <f t="shared" si="151"/>
        <v/>
      </c>
      <c r="C589" s="205" t="str" cm="1">
        <f t="array" ref="C589">IF(D589="","",
    IF(AND(ISNUMBER(D589), D589=INT(D589)),
        $V$6 &amp; " " &amp; (IFERROR(MAX($Y$12:$Y588), 0) + 1),
        IF(ISNUMBER(SEARCH(".", D589)), "", INDEX($C$12:$C589, MATCH(2, 1/($C$12:$C589 &lt;&gt; ""))))
    )
)</f>
        <v/>
      </c>
      <c r="D589" s="206"/>
      <c r="E589" s="206" t="str">
        <f>IF(AA589 = "", "",
    IF(ISNUMBER(SEARCH("Kiện", C589)),
       " GÓI " &amp; COUNTIF($C$13:C589, "*Kiện*") &amp; "/" &amp; COUNTIF($C$13:$C$1000, "*Kiện*") &amp; " " &amp; AA589,
       AA589)
)</f>
        <v/>
      </c>
      <c r="F589" s="206"/>
      <c r="G589" s="206"/>
      <c r="H589" s="206"/>
      <c r="I589" s="206"/>
      <c r="J589" s="206" t="str">
        <f t="shared" si="152"/>
        <v/>
      </c>
      <c r="K589" s="206" t="str">
        <f t="shared" si="140"/>
        <v/>
      </c>
      <c r="L589" s="206" t="str">
        <f t="shared" si="141"/>
        <v/>
      </c>
      <c r="M589" s="206" t="str">
        <f t="shared" si="142"/>
        <v/>
      </c>
      <c r="N589" s="206" t="str">
        <f t="shared" si="153"/>
        <v/>
      </c>
      <c r="O589" s="206" t="str">
        <f t="shared" si="143"/>
        <v/>
      </c>
      <c r="P589" s="165" t="str">
        <f t="shared" si="144"/>
        <v/>
      </c>
      <c r="Q589" s="207"/>
      <c r="R589" s="141" t="str">
        <f>IF(S589="IN",'BOM_Phan II'!$Y$3,"")</f>
        <v/>
      </c>
      <c r="S589" s="153" t="str">
        <f t="shared" si="145"/>
        <v/>
      </c>
      <c r="T589">
        <f t="shared" si="146"/>
        <v>6</v>
      </c>
      <c r="U589" s="208" t="str">
        <f t="shared" si="154"/>
        <v>KIỆN 9</v>
      </c>
      <c r="V589" s="208" t="str">
        <f t="shared" si="147"/>
        <v/>
      </c>
      <c r="W589" s="240"/>
      <c r="X589" s="240"/>
      <c r="Y589" s="240" t="str">
        <f t="shared" si="148"/>
        <v/>
      </c>
      <c r="Z589" s="240"/>
      <c r="AD589" s="232" t="str">
        <f t="shared" si="149"/>
        <v/>
      </c>
      <c r="AE589" s="204"/>
      <c r="AX589" s="3" t="str">
        <f t="shared" si="155"/>
        <v/>
      </c>
    </row>
    <row r="590" spans="1:50" s="155" customFormat="1" ht="30" hidden="1" customHeight="1">
      <c r="A590" s="141" t="str">
        <f t="shared" si="150"/>
        <v/>
      </c>
      <c r="B590" s="141" t="str">
        <f t="shared" si="151"/>
        <v/>
      </c>
      <c r="C590" s="205" t="str" cm="1">
        <f t="array" ref="C590">IF(D590="","",
    IF(AND(ISNUMBER(D590), D590=INT(D590)),
        $V$6 &amp; " " &amp; (IFERROR(MAX($Y$12:$Y589), 0) + 1),
        IF(ISNUMBER(SEARCH(".", D590)), "", INDEX($C$12:$C590, MATCH(2, 1/($C$12:$C590 &lt;&gt; ""))))
    )
)</f>
        <v/>
      </c>
      <c r="D590" s="206"/>
      <c r="E590" s="206" t="str">
        <f>IF(AA590 = "", "",
    IF(ISNUMBER(SEARCH("Kiện", C590)),
       " GÓI " &amp; COUNTIF($C$13:C590, "*Kiện*") &amp; "/" &amp; COUNTIF($C$13:$C$1000, "*Kiện*") &amp; " " &amp; AA590,
       AA590)
)</f>
        <v/>
      </c>
      <c r="F590" s="206"/>
      <c r="G590" s="206"/>
      <c r="H590" s="206"/>
      <c r="I590" s="206"/>
      <c r="J590" s="206" t="str">
        <f t="shared" si="152"/>
        <v/>
      </c>
      <c r="K590" s="206" t="str">
        <f t="shared" ref="K590:K653" si="156">IFERROR(IF($C590&lt;&gt;"",IF($T$13=1,F590+20,IF($T$13=2,F590+20,IF($T$13=3,F590+50,IF($T$13=4,F590+40,IF($T$13=5,F590+50,IF($T$13=51,F590+50,IF($T$13=6,F590+50,IF($T$13=7,F590+50,"")))))))),""),"")</f>
        <v/>
      </c>
      <c r="L590" s="206" t="str">
        <f t="shared" ref="L590:L653" si="157">IFERROR(IF($C590&lt;&gt;"",IF($T$13=1,G590+20,IF($T$13=2,G590+20,IF($T$13=3,G590+50,IF($T$13=4,G590+40,IF($T$13=5,G590+50,IF($T$13=51,G590+50,IF($T$13=6,G590+50,IF($T$13=7,G590+50,"")))))))),""),"")</f>
        <v/>
      </c>
      <c r="M590" s="206" t="str">
        <f t="shared" ref="M590:M653" si="158">IFERROR(IF($C590&lt;&gt;"",IF($T$13=1,H590+20,IF($T$13=2,H590+20,IF($T$13=3,H590+70,IF($T$13=4,H590+40,IF($T$13=5,H590+50,IF($T$13=51,H590+150,IF($T$13=6,H590+50,IF($T$13=7,H590+50,"")))))))),""),"")</f>
        <v/>
      </c>
      <c r="N590" s="206" t="str">
        <f t="shared" si="153"/>
        <v/>
      </c>
      <c r="O590" s="206" t="str">
        <f t="shared" ref="O590:O653" si="159">IF(C590&lt;&gt;"",$O$12,"")</f>
        <v/>
      </c>
      <c r="P590" s="165" t="str">
        <f t="shared" ref="P590:P653" si="160">IFERROR(IF(C590&lt;&gt;"",SUMIFS($V$13:$V$969,$U$13:$U$969,C590)*$S$6,V590*$S$6),"")</f>
        <v/>
      </c>
      <c r="Q590" s="207"/>
      <c r="R590" s="141" t="str">
        <f>IF(S590="IN",'BOM_Phan II'!$Y$3,"")</f>
        <v/>
      </c>
      <c r="S590" s="153" t="str">
        <f t="shared" ref="S590:S653" si="161">IF(OR(E590&lt;&gt;"",D590&lt;&gt;""),"IN","")</f>
        <v/>
      </c>
      <c r="T590">
        <f t="shared" ref="T590:T653" si="162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590" s="208" t="str">
        <f t="shared" si="154"/>
        <v>KIỆN 9</v>
      </c>
      <c r="V590" s="208" t="str">
        <f t="shared" ref="V590:V653" si="163">IFERROR(IF(AND(C590="", OR($W590="1", $W590="2")), IF(I590="", "", F590*G590*H590*I590/10^9), ""), "")</f>
        <v/>
      </c>
      <c r="W590" s="240"/>
      <c r="X590" s="240"/>
      <c r="Y590" s="240" t="str">
        <f t="shared" ref="Y590:Y653" si="164">IFERROR(VALUE(RIGHT(C590,LEN(C590)-5)),"")</f>
        <v/>
      </c>
      <c r="Z590" s="240"/>
      <c r="AD590" s="232" t="str">
        <f t="shared" ref="AD590:AD653" si="165">IFERROR(VALUE(RIGHT(C590,LEN(C590)-5)),"")</f>
        <v/>
      </c>
      <c r="AE590" s="204"/>
      <c r="AX590" s="3" t="str">
        <f t="shared" si="155"/>
        <v/>
      </c>
    </row>
    <row r="591" spans="1:50" s="155" customFormat="1" ht="30" hidden="1" customHeight="1">
      <c r="A591" s="141" t="str">
        <f t="shared" si="150"/>
        <v/>
      </c>
      <c r="B591" s="141" t="str">
        <f t="shared" si="151"/>
        <v/>
      </c>
      <c r="C591" s="205" t="str" cm="1">
        <f t="array" ref="C591">IF(D591="","",
    IF(AND(ISNUMBER(D591), D591=INT(D591)),
        $V$6 &amp; " " &amp; (IFERROR(MAX($Y$12:$Y590), 0) + 1),
        IF(ISNUMBER(SEARCH(".", D591)), "", INDEX($C$12:$C591, MATCH(2, 1/($C$12:$C591 &lt;&gt; ""))))
    )
)</f>
        <v/>
      </c>
      <c r="D591" s="206"/>
      <c r="E591" s="206" t="str">
        <f>IF(AA591 = "", "",
    IF(ISNUMBER(SEARCH("Kiện", C591)),
       " GÓI " &amp; COUNTIF($C$13:C591, "*Kiện*") &amp; "/" &amp; COUNTIF($C$13:$C$1000, "*Kiện*") &amp; " " &amp; AA591,
       AA591)
)</f>
        <v/>
      </c>
      <c r="F591" s="206"/>
      <c r="G591" s="206"/>
      <c r="H591" s="206"/>
      <c r="I591" s="206"/>
      <c r="J591" s="206" t="str">
        <f t="shared" si="152"/>
        <v/>
      </c>
      <c r="K591" s="206" t="str">
        <f t="shared" si="156"/>
        <v/>
      </c>
      <c r="L591" s="206" t="str">
        <f t="shared" si="157"/>
        <v/>
      </c>
      <c r="M591" s="206" t="str">
        <f t="shared" si="158"/>
        <v/>
      </c>
      <c r="N591" s="206" t="str">
        <f t="shared" si="153"/>
        <v/>
      </c>
      <c r="O591" s="206" t="str">
        <f t="shared" si="159"/>
        <v/>
      </c>
      <c r="P591" s="165" t="str">
        <f t="shared" si="160"/>
        <v/>
      </c>
      <c r="Q591" s="207"/>
      <c r="R591" s="141" t="str">
        <f>IF(S591="IN",'BOM_Phan II'!$Y$3,"")</f>
        <v/>
      </c>
      <c r="S591" s="153" t="str">
        <f t="shared" si="161"/>
        <v/>
      </c>
      <c r="T591">
        <f t="shared" si="162"/>
        <v>6</v>
      </c>
      <c r="U591" s="208" t="str">
        <f t="shared" si="154"/>
        <v>KIỆN 9</v>
      </c>
      <c r="V591" s="208" t="str">
        <f t="shared" si="163"/>
        <v/>
      </c>
      <c r="W591" s="240"/>
      <c r="X591" s="240"/>
      <c r="Y591" s="240" t="str">
        <f t="shared" si="164"/>
        <v/>
      </c>
      <c r="Z591" s="240"/>
      <c r="AD591" s="232" t="str">
        <f t="shared" si="165"/>
        <v/>
      </c>
      <c r="AE591" s="204"/>
      <c r="AX591" s="3" t="str">
        <f t="shared" si="155"/>
        <v/>
      </c>
    </row>
    <row r="592" spans="1:50" s="155" customFormat="1" ht="30" hidden="1" customHeight="1">
      <c r="A592" s="141" t="str">
        <f t="shared" ref="A592:A655" si="166">IF(S592="IN",$E$6,"")</f>
        <v/>
      </c>
      <c r="B592" s="141" t="str">
        <f t="shared" ref="B592:B655" si="167">IF(S592="IN","Muc "&amp;$E$7,"")</f>
        <v/>
      </c>
      <c r="C592" s="205" t="str" cm="1">
        <f t="array" ref="C592">IF(D592="","",
    IF(AND(ISNUMBER(D592), D592=INT(D592)),
        $V$6 &amp; " " &amp; (IFERROR(MAX($Y$12:$Y591), 0) + 1),
        IF(ISNUMBER(SEARCH(".", D592)), "", INDEX($C$12:$C592, MATCH(2, 1/($C$12:$C592 &lt;&gt; ""))))
    )
)</f>
        <v/>
      </c>
      <c r="D592" s="206"/>
      <c r="E592" s="206" t="str">
        <f>IF(AA592 = "", "",
    IF(ISNUMBER(SEARCH("Kiện", C592)),
       " GÓI " &amp; COUNTIF($C$13:C592, "*Kiện*") &amp; "/" &amp; COUNTIF($C$13:$C$1000, "*Kiện*") &amp; " " &amp; AA592,
       AA592)
)</f>
        <v/>
      </c>
      <c r="F592" s="206"/>
      <c r="G592" s="206"/>
      <c r="H592" s="206"/>
      <c r="I592" s="206"/>
      <c r="J592" s="206" t="str">
        <f t="shared" ref="J592:J655" si="168">IF(C592&lt;&gt;"",C592&amp;"_"&amp;$E$6,"")</f>
        <v/>
      </c>
      <c r="K592" s="206" t="str">
        <f t="shared" si="156"/>
        <v/>
      </c>
      <c r="L592" s="206" t="str">
        <f t="shared" si="157"/>
        <v/>
      </c>
      <c r="M592" s="206" t="str">
        <f t="shared" si="158"/>
        <v/>
      </c>
      <c r="N592" s="206" t="str">
        <f t="shared" ref="N592:N655" si="169">IF(C592&lt;&gt;"",I592,"")</f>
        <v/>
      </c>
      <c r="O592" s="206" t="str">
        <f t="shared" si="159"/>
        <v/>
      </c>
      <c r="P592" s="165" t="str">
        <f t="shared" si="160"/>
        <v/>
      </c>
      <c r="Q592" s="207"/>
      <c r="R592" s="141" t="str">
        <f>IF(S592="IN",'BOM_Phan II'!$Y$3,"")</f>
        <v/>
      </c>
      <c r="S592" s="153" t="str">
        <f t="shared" si="161"/>
        <v/>
      </c>
      <c r="T592">
        <f t="shared" si="162"/>
        <v>6</v>
      </c>
      <c r="U592" s="208" t="str">
        <f t="shared" ref="U592:U655" si="170">IF(C592="",U591,C592)</f>
        <v>KIỆN 9</v>
      </c>
      <c r="V592" s="208" t="str">
        <f t="shared" si="163"/>
        <v/>
      </c>
      <c r="W592" s="240"/>
      <c r="X592" s="240"/>
      <c r="Y592" s="240" t="str">
        <f t="shared" si="164"/>
        <v/>
      </c>
      <c r="Z592" s="240"/>
      <c r="AD592" s="232" t="str">
        <f t="shared" si="165"/>
        <v/>
      </c>
      <c r="AE592" s="204"/>
      <c r="AX592" s="3" t="str">
        <f t="shared" si="155"/>
        <v/>
      </c>
    </row>
    <row r="593" spans="1:50" s="155" customFormat="1" ht="30" hidden="1" customHeight="1">
      <c r="A593" s="141" t="str">
        <f t="shared" si="166"/>
        <v/>
      </c>
      <c r="B593" s="141" t="str">
        <f t="shared" si="167"/>
        <v/>
      </c>
      <c r="C593" s="205" t="str" cm="1">
        <f t="array" ref="C593">IF(D593="","",
    IF(AND(ISNUMBER(D593), D593=INT(D593)),
        $V$6 &amp; " " &amp; (IFERROR(MAX($Y$12:$Y592), 0) + 1),
        IF(ISNUMBER(SEARCH(".", D593)), "", INDEX($C$12:$C593, MATCH(2, 1/($C$12:$C593 &lt;&gt; ""))))
    )
)</f>
        <v/>
      </c>
      <c r="D593" s="206"/>
      <c r="E593" s="206" t="str">
        <f>IF(AA593 = "", "",
    IF(ISNUMBER(SEARCH("Kiện", C593)),
       " GÓI " &amp; COUNTIF($C$13:C593, "*Kiện*") &amp; "/" &amp; COUNTIF($C$13:$C$1000, "*Kiện*") &amp; " " &amp; AA593,
       AA593)
)</f>
        <v/>
      </c>
      <c r="F593" s="206"/>
      <c r="G593" s="206"/>
      <c r="H593" s="206"/>
      <c r="I593" s="206"/>
      <c r="J593" s="206" t="str">
        <f t="shared" si="168"/>
        <v/>
      </c>
      <c r="K593" s="206" t="str">
        <f t="shared" si="156"/>
        <v/>
      </c>
      <c r="L593" s="206" t="str">
        <f t="shared" si="157"/>
        <v/>
      </c>
      <c r="M593" s="206" t="str">
        <f t="shared" si="158"/>
        <v/>
      </c>
      <c r="N593" s="206" t="str">
        <f t="shared" si="169"/>
        <v/>
      </c>
      <c r="O593" s="206" t="str">
        <f t="shared" si="159"/>
        <v/>
      </c>
      <c r="P593" s="165" t="str">
        <f t="shared" si="160"/>
        <v/>
      </c>
      <c r="Q593" s="207"/>
      <c r="R593" s="141" t="str">
        <f>IF(S593="IN",'BOM_Phan II'!$Y$3,"")</f>
        <v/>
      </c>
      <c r="S593" s="153" t="str">
        <f t="shared" si="161"/>
        <v/>
      </c>
      <c r="T593">
        <f t="shared" si="162"/>
        <v>6</v>
      </c>
      <c r="U593" s="208" t="str">
        <f t="shared" si="170"/>
        <v>KIỆN 9</v>
      </c>
      <c r="V593" s="208" t="str">
        <f t="shared" si="163"/>
        <v/>
      </c>
      <c r="W593" s="240"/>
      <c r="X593" s="240"/>
      <c r="Y593" s="240" t="str">
        <f t="shared" si="164"/>
        <v/>
      </c>
      <c r="Z593" s="240"/>
      <c r="AD593" s="232" t="str">
        <f t="shared" si="165"/>
        <v/>
      </c>
      <c r="AE593" s="204"/>
      <c r="AX593" s="3" t="str">
        <f t="shared" si="155"/>
        <v/>
      </c>
    </row>
    <row r="594" spans="1:50" s="155" customFormat="1" ht="30" hidden="1" customHeight="1">
      <c r="A594" s="141" t="str">
        <f t="shared" si="166"/>
        <v/>
      </c>
      <c r="B594" s="141" t="str">
        <f t="shared" si="167"/>
        <v/>
      </c>
      <c r="C594" s="205" t="str" cm="1">
        <f t="array" ref="C594">IF(D594="","",
    IF(AND(ISNUMBER(D594), D594=INT(D594)),
        $V$6 &amp; " " &amp; (IFERROR(MAX($Y$12:$Y593), 0) + 1),
        IF(ISNUMBER(SEARCH(".", D594)), "", INDEX($C$12:$C594, MATCH(2, 1/($C$12:$C594 &lt;&gt; ""))))
    )
)</f>
        <v/>
      </c>
      <c r="D594" s="206"/>
      <c r="E594" s="206" t="str">
        <f>IF(AA594 = "", "",
    IF(ISNUMBER(SEARCH("Kiện", C594)),
       " GÓI " &amp; COUNTIF($C$13:C594, "*Kiện*") &amp; "/" &amp; COUNTIF($C$13:$C$1000, "*Kiện*") &amp; " " &amp; AA594,
       AA594)
)</f>
        <v/>
      </c>
      <c r="F594" s="206"/>
      <c r="G594" s="206"/>
      <c r="H594" s="206"/>
      <c r="I594" s="206"/>
      <c r="J594" s="206" t="str">
        <f t="shared" si="168"/>
        <v/>
      </c>
      <c r="K594" s="206" t="str">
        <f t="shared" si="156"/>
        <v/>
      </c>
      <c r="L594" s="206" t="str">
        <f t="shared" si="157"/>
        <v/>
      </c>
      <c r="M594" s="206" t="str">
        <f t="shared" si="158"/>
        <v/>
      </c>
      <c r="N594" s="206" t="str">
        <f t="shared" si="169"/>
        <v/>
      </c>
      <c r="O594" s="206" t="str">
        <f t="shared" si="159"/>
        <v/>
      </c>
      <c r="P594" s="165" t="str">
        <f t="shared" si="160"/>
        <v/>
      </c>
      <c r="Q594" s="207"/>
      <c r="R594" s="141" t="str">
        <f>IF(S594="IN",'BOM_Phan II'!$Y$3,"")</f>
        <v/>
      </c>
      <c r="S594" s="153" t="str">
        <f t="shared" si="161"/>
        <v/>
      </c>
      <c r="T594">
        <f t="shared" si="162"/>
        <v>6</v>
      </c>
      <c r="U594" s="208" t="str">
        <f t="shared" si="170"/>
        <v>KIỆN 9</v>
      </c>
      <c r="V594" s="208" t="str">
        <f t="shared" si="163"/>
        <v/>
      </c>
      <c r="W594" s="240"/>
      <c r="X594" s="240"/>
      <c r="Y594" s="240" t="str">
        <f t="shared" si="164"/>
        <v/>
      </c>
      <c r="Z594" s="240"/>
      <c r="AD594" s="232" t="str">
        <f t="shared" si="165"/>
        <v/>
      </c>
      <c r="AE594" s="204"/>
      <c r="AX594" s="3" t="str">
        <f t="shared" si="155"/>
        <v/>
      </c>
    </row>
    <row r="595" spans="1:50" s="155" customFormat="1" ht="30" hidden="1" customHeight="1">
      <c r="A595" s="141" t="str">
        <f t="shared" si="166"/>
        <v/>
      </c>
      <c r="B595" s="141" t="str">
        <f t="shared" si="167"/>
        <v/>
      </c>
      <c r="C595" s="205" t="str" cm="1">
        <f t="array" ref="C595">IF(D595="","",
    IF(AND(ISNUMBER(D595), D595=INT(D595)),
        $V$6 &amp; " " &amp; (IFERROR(MAX($Y$12:$Y594), 0) + 1),
        IF(ISNUMBER(SEARCH(".", D595)), "", INDEX($C$12:$C595, MATCH(2, 1/($C$12:$C595 &lt;&gt; ""))))
    )
)</f>
        <v/>
      </c>
      <c r="D595" s="206"/>
      <c r="E595" s="206" t="str">
        <f>IF(AA595 = "", "",
    IF(ISNUMBER(SEARCH("Kiện", C595)),
       " GÓI " &amp; COUNTIF($C$13:C595, "*Kiện*") &amp; "/" &amp; COUNTIF($C$13:$C$1000, "*Kiện*") &amp; " " &amp; AA595,
       AA595)
)</f>
        <v/>
      </c>
      <c r="F595" s="206"/>
      <c r="G595" s="206"/>
      <c r="H595" s="206"/>
      <c r="I595" s="206"/>
      <c r="J595" s="206" t="str">
        <f t="shared" si="168"/>
        <v/>
      </c>
      <c r="K595" s="206" t="str">
        <f t="shared" si="156"/>
        <v/>
      </c>
      <c r="L595" s="206" t="str">
        <f t="shared" si="157"/>
        <v/>
      </c>
      <c r="M595" s="206" t="str">
        <f t="shared" si="158"/>
        <v/>
      </c>
      <c r="N595" s="206" t="str">
        <f t="shared" si="169"/>
        <v/>
      </c>
      <c r="O595" s="206" t="str">
        <f t="shared" si="159"/>
        <v/>
      </c>
      <c r="P595" s="165" t="str">
        <f t="shared" si="160"/>
        <v/>
      </c>
      <c r="Q595" s="207"/>
      <c r="R595" s="141" t="str">
        <f>IF(S595="IN",'BOM_Phan II'!$Y$3,"")</f>
        <v/>
      </c>
      <c r="S595" s="153" t="str">
        <f t="shared" si="161"/>
        <v/>
      </c>
      <c r="T595">
        <f t="shared" si="162"/>
        <v>6</v>
      </c>
      <c r="U595" s="208" t="str">
        <f t="shared" si="170"/>
        <v>KIỆN 9</v>
      </c>
      <c r="V595" s="208" t="str">
        <f t="shared" si="163"/>
        <v/>
      </c>
      <c r="W595" s="240"/>
      <c r="X595" s="240"/>
      <c r="Y595" s="240" t="str">
        <f t="shared" si="164"/>
        <v/>
      </c>
      <c r="Z595" s="240"/>
      <c r="AD595" s="232" t="str">
        <f t="shared" si="165"/>
        <v/>
      </c>
      <c r="AE595" s="204"/>
      <c r="AX595" s="3" t="str">
        <f t="shared" si="155"/>
        <v/>
      </c>
    </row>
    <row r="596" spans="1:50" s="155" customFormat="1" ht="30" hidden="1" customHeight="1">
      <c r="A596" s="141" t="str">
        <f t="shared" si="166"/>
        <v/>
      </c>
      <c r="B596" s="141" t="str">
        <f t="shared" si="167"/>
        <v/>
      </c>
      <c r="C596" s="205" t="str" cm="1">
        <f t="array" ref="C596">IF(D596="","",
    IF(AND(ISNUMBER(D596), D596=INT(D596)),
        $V$6 &amp; " " &amp; (IFERROR(MAX($Y$12:$Y595), 0) + 1),
        IF(ISNUMBER(SEARCH(".", D596)), "", INDEX($C$12:$C596, MATCH(2, 1/($C$12:$C596 &lt;&gt; ""))))
    )
)</f>
        <v/>
      </c>
      <c r="D596" s="206"/>
      <c r="E596" s="206" t="str">
        <f>IF(AA596 = "", "",
    IF(ISNUMBER(SEARCH("Kiện", C596)),
       " GÓI " &amp; COUNTIF($C$13:C596, "*Kiện*") &amp; "/" &amp; COUNTIF($C$13:$C$1000, "*Kiện*") &amp; " " &amp; AA596,
       AA596)
)</f>
        <v/>
      </c>
      <c r="F596" s="206"/>
      <c r="G596" s="206"/>
      <c r="H596" s="206"/>
      <c r="I596" s="206"/>
      <c r="J596" s="206" t="str">
        <f t="shared" si="168"/>
        <v/>
      </c>
      <c r="K596" s="206" t="str">
        <f t="shared" si="156"/>
        <v/>
      </c>
      <c r="L596" s="206" t="str">
        <f t="shared" si="157"/>
        <v/>
      </c>
      <c r="M596" s="206" t="str">
        <f t="shared" si="158"/>
        <v/>
      </c>
      <c r="N596" s="206" t="str">
        <f t="shared" si="169"/>
        <v/>
      </c>
      <c r="O596" s="206" t="str">
        <f t="shared" si="159"/>
        <v/>
      </c>
      <c r="P596" s="165" t="str">
        <f t="shared" si="160"/>
        <v/>
      </c>
      <c r="Q596" s="207"/>
      <c r="R596" s="141" t="str">
        <f>IF(S596="IN",'BOM_Phan II'!$Y$3,"")</f>
        <v/>
      </c>
      <c r="S596" s="153" t="str">
        <f t="shared" si="161"/>
        <v/>
      </c>
      <c r="T596">
        <f t="shared" si="162"/>
        <v>6</v>
      </c>
      <c r="U596" s="208" t="str">
        <f t="shared" si="170"/>
        <v>KIỆN 9</v>
      </c>
      <c r="V596" s="208" t="str">
        <f t="shared" si="163"/>
        <v/>
      </c>
      <c r="W596" s="240"/>
      <c r="X596" s="240"/>
      <c r="Y596" s="240" t="str">
        <f t="shared" si="164"/>
        <v/>
      </c>
      <c r="Z596" s="240"/>
      <c r="AD596" s="232" t="str">
        <f t="shared" si="165"/>
        <v/>
      </c>
      <c r="AE596" s="204"/>
      <c r="AX596" s="3" t="str">
        <f t="shared" si="155"/>
        <v/>
      </c>
    </row>
    <row r="597" spans="1:50" s="155" customFormat="1" ht="30" hidden="1" customHeight="1">
      <c r="A597" s="141" t="str">
        <f t="shared" si="166"/>
        <v/>
      </c>
      <c r="B597" s="141" t="str">
        <f t="shared" si="167"/>
        <v/>
      </c>
      <c r="C597" s="205" t="str" cm="1">
        <f t="array" ref="C597">IF(D597="","",
    IF(AND(ISNUMBER(D597), D597=INT(D597)),
        $V$6 &amp; " " &amp; (IFERROR(MAX($Y$12:$Y596), 0) + 1),
        IF(ISNUMBER(SEARCH(".", D597)), "", INDEX($C$12:$C597, MATCH(2, 1/($C$12:$C597 &lt;&gt; ""))))
    )
)</f>
        <v/>
      </c>
      <c r="D597" s="206"/>
      <c r="E597" s="206" t="str">
        <f>IF(AA597 = "", "",
    IF(ISNUMBER(SEARCH("Kiện", C597)),
       " GÓI " &amp; COUNTIF($C$13:C597, "*Kiện*") &amp; "/" &amp; COUNTIF($C$13:$C$1000, "*Kiện*") &amp; " " &amp; AA597,
       AA597)
)</f>
        <v/>
      </c>
      <c r="F597" s="206"/>
      <c r="G597" s="206"/>
      <c r="H597" s="206"/>
      <c r="I597" s="206"/>
      <c r="J597" s="206" t="str">
        <f t="shared" si="168"/>
        <v/>
      </c>
      <c r="K597" s="206" t="str">
        <f t="shared" si="156"/>
        <v/>
      </c>
      <c r="L597" s="206" t="str">
        <f t="shared" si="157"/>
        <v/>
      </c>
      <c r="M597" s="206" t="str">
        <f t="shared" si="158"/>
        <v/>
      </c>
      <c r="N597" s="206" t="str">
        <f t="shared" si="169"/>
        <v/>
      </c>
      <c r="O597" s="206" t="str">
        <f t="shared" si="159"/>
        <v/>
      </c>
      <c r="P597" s="165" t="str">
        <f t="shared" si="160"/>
        <v/>
      </c>
      <c r="Q597" s="207"/>
      <c r="R597" s="141" t="str">
        <f>IF(S597="IN",'BOM_Phan II'!$Y$3,"")</f>
        <v/>
      </c>
      <c r="S597" s="153" t="str">
        <f t="shared" si="161"/>
        <v/>
      </c>
      <c r="T597">
        <f t="shared" si="162"/>
        <v>6</v>
      </c>
      <c r="U597" s="208" t="str">
        <f t="shared" si="170"/>
        <v>KIỆN 9</v>
      </c>
      <c r="V597" s="208" t="str">
        <f t="shared" si="163"/>
        <v/>
      </c>
      <c r="W597" s="240"/>
      <c r="X597" s="240"/>
      <c r="Y597" s="240" t="str">
        <f t="shared" si="164"/>
        <v/>
      </c>
      <c r="Z597" s="240"/>
      <c r="AD597" s="232" t="str">
        <f t="shared" si="165"/>
        <v/>
      </c>
      <c r="AE597" s="204"/>
      <c r="AX597" s="3" t="str">
        <f t="shared" si="155"/>
        <v/>
      </c>
    </row>
    <row r="598" spans="1:50" s="155" customFormat="1" ht="30" hidden="1" customHeight="1">
      <c r="A598" s="141" t="str">
        <f t="shared" si="166"/>
        <v/>
      </c>
      <c r="B598" s="141" t="str">
        <f t="shared" si="167"/>
        <v/>
      </c>
      <c r="C598" s="205" t="str" cm="1">
        <f t="array" ref="C598">IF(D598="","",
    IF(AND(ISNUMBER(D598), D598=INT(D598)),
        $V$6 &amp; " " &amp; (IFERROR(MAX($Y$12:$Y597), 0) + 1),
        IF(ISNUMBER(SEARCH(".", D598)), "", INDEX($C$12:$C598, MATCH(2, 1/($C$12:$C598 &lt;&gt; ""))))
    )
)</f>
        <v/>
      </c>
      <c r="D598" s="206"/>
      <c r="E598" s="206" t="str">
        <f>IF(AA598 = "", "",
    IF(ISNUMBER(SEARCH("Kiện", C598)),
       " GÓI " &amp; COUNTIF($C$13:C598, "*Kiện*") &amp; "/" &amp; COUNTIF($C$13:$C$1000, "*Kiện*") &amp; " " &amp; AA598,
       AA598)
)</f>
        <v/>
      </c>
      <c r="F598" s="206"/>
      <c r="G598" s="206"/>
      <c r="H598" s="206"/>
      <c r="I598" s="206"/>
      <c r="J598" s="206" t="str">
        <f t="shared" si="168"/>
        <v/>
      </c>
      <c r="K598" s="206" t="str">
        <f t="shared" si="156"/>
        <v/>
      </c>
      <c r="L598" s="206" t="str">
        <f t="shared" si="157"/>
        <v/>
      </c>
      <c r="M598" s="206" t="str">
        <f t="shared" si="158"/>
        <v/>
      </c>
      <c r="N598" s="206" t="str">
        <f t="shared" si="169"/>
        <v/>
      </c>
      <c r="O598" s="206" t="str">
        <f t="shared" si="159"/>
        <v/>
      </c>
      <c r="P598" s="165" t="str">
        <f t="shared" si="160"/>
        <v/>
      </c>
      <c r="Q598" s="207"/>
      <c r="R598" s="141" t="str">
        <f>IF(S598="IN",'BOM_Phan II'!$Y$3,"")</f>
        <v/>
      </c>
      <c r="S598" s="153" t="str">
        <f t="shared" si="161"/>
        <v/>
      </c>
      <c r="T598">
        <f t="shared" si="162"/>
        <v>6</v>
      </c>
      <c r="U598" s="208" t="str">
        <f t="shared" si="170"/>
        <v>KIỆN 9</v>
      </c>
      <c r="V598" s="208" t="str">
        <f t="shared" si="163"/>
        <v/>
      </c>
      <c r="W598" s="240"/>
      <c r="X598" s="240"/>
      <c r="Y598" s="240" t="str">
        <f t="shared" si="164"/>
        <v/>
      </c>
      <c r="Z598" s="240"/>
      <c r="AD598" s="232" t="str">
        <f t="shared" si="165"/>
        <v/>
      </c>
      <c r="AE598" s="204"/>
      <c r="AX598" s="3" t="str">
        <f t="shared" si="155"/>
        <v/>
      </c>
    </row>
    <row r="599" spans="1:50" s="155" customFormat="1" ht="30" hidden="1" customHeight="1">
      <c r="A599" s="141" t="str">
        <f t="shared" si="166"/>
        <v/>
      </c>
      <c r="B599" s="141" t="str">
        <f t="shared" si="167"/>
        <v/>
      </c>
      <c r="C599" s="205" t="str" cm="1">
        <f t="array" ref="C599">IF(D599="","",
    IF(AND(ISNUMBER(D599), D599=INT(D599)),
        $V$6 &amp; " " &amp; (IFERROR(MAX($Y$12:$Y598), 0) + 1),
        IF(ISNUMBER(SEARCH(".", D599)), "", INDEX($C$12:$C599, MATCH(2, 1/($C$12:$C599 &lt;&gt; ""))))
    )
)</f>
        <v/>
      </c>
      <c r="D599" s="206"/>
      <c r="E599" s="206" t="str">
        <f>IF(AA599 = "", "",
    IF(ISNUMBER(SEARCH("Kiện", C599)),
       " GÓI " &amp; COUNTIF($C$13:C599, "*Kiện*") &amp; "/" &amp; COUNTIF($C$13:$C$1000, "*Kiện*") &amp; " " &amp; AA599,
       AA599)
)</f>
        <v/>
      </c>
      <c r="F599" s="206"/>
      <c r="G599" s="206"/>
      <c r="H599" s="206"/>
      <c r="I599" s="206"/>
      <c r="J599" s="206" t="str">
        <f t="shared" si="168"/>
        <v/>
      </c>
      <c r="K599" s="206" t="str">
        <f t="shared" si="156"/>
        <v/>
      </c>
      <c r="L599" s="206" t="str">
        <f t="shared" si="157"/>
        <v/>
      </c>
      <c r="M599" s="206" t="str">
        <f t="shared" si="158"/>
        <v/>
      </c>
      <c r="N599" s="206" t="str">
        <f t="shared" si="169"/>
        <v/>
      </c>
      <c r="O599" s="206" t="str">
        <f t="shared" si="159"/>
        <v/>
      </c>
      <c r="P599" s="165" t="str">
        <f t="shared" si="160"/>
        <v/>
      </c>
      <c r="Q599" s="207"/>
      <c r="R599" s="141" t="str">
        <f>IF(S599="IN",'BOM_Phan II'!$Y$3,"")</f>
        <v/>
      </c>
      <c r="S599" s="153" t="str">
        <f t="shared" si="161"/>
        <v/>
      </c>
      <c r="T599">
        <f t="shared" si="162"/>
        <v>6</v>
      </c>
      <c r="U599" s="208" t="str">
        <f t="shared" si="170"/>
        <v>KIỆN 9</v>
      </c>
      <c r="V599" s="208" t="str">
        <f t="shared" si="163"/>
        <v/>
      </c>
      <c r="W599" s="240"/>
      <c r="X599" s="240"/>
      <c r="Y599" s="240" t="str">
        <f t="shared" si="164"/>
        <v/>
      </c>
      <c r="Z599" s="240"/>
      <c r="AD599" s="232" t="str">
        <f t="shared" si="165"/>
        <v/>
      </c>
      <c r="AE599" s="204"/>
      <c r="AX599" s="3" t="str">
        <f t="shared" si="155"/>
        <v/>
      </c>
    </row>
    <row r="600" spans="1:50" s="155" customFormat="1" ht="30" hidden="1" customHeight="1">
      <c r="A600" s="141" t="str">
        <f t="shared" si="166"/>
        <v/>
      </c>
      <c r="B600" s="141" t="str">
        <f t="shared" si="167"/>
        <v/>
      </c>
      <c r="C600" s="205" t="str" cm="1">
        <f t="array" ref="C600">IF(D600="","",
    IF(AND(ISNUMBER(D600), D600=INT(D600)),
        $V$6 &amp; " " &amp; (IFERROR(MAX($Y$12:$Y599), 0) + 1),
        IF(ISNUMBER(SEARCH(".", D600)), "", INDEX($C$12:$C600, MATCH(2, 1/($C$12:$C600 &lt;&gt; ""))))
    )
)</f>
        <v/>
      </c>
      <c r="D600" s="206"/>
      <c r="E600" s="206" t="str">
        <f>IF(AA600 = "", "",
    IF(ISNUMBER(SEARCH("Kiện", C600)),
       " GÓI " &amp; COUNTIF($C$13:C600, "*Kiện*") &amp; "/" &amp; COUNTIF($C$13:$C$1000, "*Kiện*") &amp; " " &amp; AA600,
       AA600)
)</f>
        <v/>
      </c>
      <c r="F600" s="206"/>
      <c r="G600" s="206"/>
      <c r="H600" s="206"/>
      <c r="I600" s="206"/>
      <c r="J600" s="206" t="str">
        <f t="shared" si="168"/>
        <v/>
      </c>
      <c r="K600" s="206" t="str">
        <f t="shared" si="156"/>
        <v/>
      </c>
      <c r="L600" s="206" t="str">
        <f t="shared" si="157"/>
        <v/>
      </c>
      <c r="M600" s="206" t="str">
        <f t="shared" si="158"/>
        <v/>
      </c>
      <c r="N600" s="206" t="str">
        <f t="shared" si="169"/>
        <v/>
      </c>
      <c r="O600" s="206" t="str">
        <f t="shared" si="159"/>
        <v/>
      </c>
      <c r="P600" s="165" t="str">
        <f t="shared" si="160"/>
        <v/>
      </c>
      <c r="Q600" s="207"/>
      <c r="R600" s="141" t="str">
        <f>IF(S600="IN",'BOM_Phan II'!$Y$3,"")</f>
        <v/>
      </c>
      <c r="S600" s="153" t="str">
        <f t="shared" si="161"/>
        <v/>
      </c>
      <c r="T600">
        <f t="shared" si="162"/>
        <v>6</v>
      </c>
      <c r="U600" s="208" t="str">
        <f t="shared" si="170"/>
        <v>KIỆN 9</v>
      </c>
      <c r="V600" s="208" t="str">
        <f t="shared" si="163"/>
        <v/>
      </c>
      <c r="W600" s="240"/>
      <c r="X600" s="240"/>
      <c r="Y600" s="240" t="str">
        <f t="shared" si="164"/>
        <v/>
      </c>
      <c r="Z600" s="240"/>
      <c r="AD600" s="232" t="str">
        <f t="shared" si="165"/>
        <v/>
      </c>
      <c r="AE600" s="204"/>
      <c r="AX600" s="3" t="str">
        <f t="shared" si="155"/>
        <v/>
      </c>
    </row>
    <row r="601" spans="1:50" s="155" customFormat="1" ht="30" hidden="1" customHeight="1">
      <c r="A601" s="141" t="str">
        <f t="shared" si="166"/>
        <v/>
      </c>
      <c r="B601" s="141" t="str">
        <f t="shared" si="167"/>
        <v/>
      </c>
      <c r="C601" s="205" t="str" cm="1">
        <f t="array" ref="C601">IF(D601="","",
    IF(AND(ISNUMBER(D601), D601=INT(D601)),
        $V$6 &amp; " " &amp; (IFERROR(MAX($Y$12:$Y600), 0) + 1),
        IF(ISNUMBER(SEARCH(".", D601)), "", INDEX($C$12:$C601, MATCH(2, 1/($C$12:$C601 &lt;&gt; ""))))
    )
)</f>
        <v/>
      </c>
      <c r="D601" s="206"/>
      <c r="E601" s="206" t="str">
        <f>IF(AA601 = "", "",
    IF(ISNUMBER(SEARCH("Kiện", C601)),
       " GÓI " &amp; COUNTIF($C$13:C601, "*Kiện*") &amp; "/" &amp; COUNTIF($C$13:$C$1000, "*Kiện*") &amp; " " &amp; AA601,
       AA601)
)</f>
        <v/>
      </c>
      <c r="F601" s="206"/>
      <c r="G601" s="206"/>
      <c r="H601" s="206"/>
      <c r="I601" s="206"/>
      <c r="J601" s="206" t="str">
        <f t="shared" si="168"/>
        <v/>
      </c>
      <c r="K601" s="206" t="str">
        <f t="shared" si="156"/>
        <v/>
      </c>
      <c r="L601" s="206" t="str">
        <f t="shared" si="157"/>
        <v/>
      </c>
      <c r="M601" s="206" t="str">
        <f t="shared" si="158"/>
        <v/>
      </c>
      <c r="N601" s="206" t="str">
        <f t="shared" si="169"/>
        <v/>
      </c>
      <c r="O601" s="206" t="str">
        <f t="shared" si="159"/>
        <v/>
      </c>
      <c r="P601" s="165" t="str">
        <f t="shared" si="160"/>
        <v/>
      </c>
      <c r="Q601" s="207"/>
      <c r="R601" s="141" t="str">
        <f>IF(S601="IN",'BOM_Phan II'!$Y$3,"")</f>
        <v/>
      </c>
      <c r="S601" s="153" t="str">
        <f t="shared" si="161"/>
        <v/>
      </c>
      <c r="T601">
        <f t="shared" si="162"/>
        <v>6</v>
      </c>
      <c r="U601" s="208" t="str">
        <f t="shared" si="170"/>
        <v>KIỆN 9</v>
      </c>
      <c r="V601" s="208" t="str">
        <f t="shared" si="163"/>
        <v/>
      </c>
      <c r="W601" s="240"/>
      <c r="X601" s="240"/>
      <c r="Y601" s="240" t="str">
        <f t="shared" si="164"/>
        <v/>
      </c>
      <c r="Z601" s="240"/>
      <c r="AD601" s="232" t="str">
        <f t="shared" si="165"/>
        <v/>
      </c>
      <c r="AE601" s="204"/>
      <c r="AX601" s="3" t="str">
        <f t="shared" si="155"/>
        <v/>
      </c>
    </row>
    <row r="602" spans="1:50" s="155" customFormat="1" ht="30" hidden="1" customHeight="1">
      <c r="A602" s="141" t="str">
        <f t="shared" si="166"/>
        <v/>
      </c>
      <c r="B602" s="141" t="str">
        <f t="shared" si="167"/>
        <v/>
      </c>
      <c r="C602" s="205" t="str" cm="1">
        <f t="array" ref="C602">IF(D602="","",
    IF(AND(ISNUMBER(D602), D602=INT(D602)),
        $V$6 &amp; " " &amp; (IFERROR(MAX($Y$12:$Y601), 0) + 1),
        IF(ISNUMBER(SEARCH(".", D602)), "", INDEX($C$12:$C602, MATCH(2, 1/($C$12:$C602 &lt;&gt; ""))))
    )
)</f>
        <v/>
      </c>
      <c r="D602" s="206"/>
      <c r="E602" s="206" t="str">
        <f>IF(AA602 = "", "",
    IF(ISNUMBER(SEARCH("Kiện", C602)),
       " GÓI " &amp; COUNTIF($C$13:C602, "*Kiện*") &amp; "/" &amp; COUNTIF($C$13:$C$1000, "*Kiện*") &amp; " " &amp; AA602,
       AA602)
)</f>
        <v/>
      </c>
      <c r="F602" s="206"/>
      <c r="G602" s="206"/>
      <c r="H602" s="206"/>
      <c r="I602" s="206"/>
      <c r="J602" s="206" t="str">
        <f t="shared" si="168"/>
        <v/>
      </c>
      <c r="K602" s="206" t="str">
        <f t="shared" si="156"/>
        <v/>
      </c>
      <c r="L602" s="206" t="str">
        <f t="shared" si="157"/>
        <v/>
      </c>
      <c r="M602" s="206" t="str">
        <f t="shared" si="158"/>
        <v/>
      </c>
      <c r="N602" s="206" t="str">
        <f t="shared" si="169"/>
        <v/>
      </c>
      <c r="O602" s="206" t="str">
        <f t="shared" si="159"/>
        <v/>
      </c>
      <c r="P602" s="165" t="str">
        <f t="shared" si="160"/>
        <v/>
      </c>
      <c r="Q602" s="207"/>
      <c r="R602" s="141" t="str">
        <f>IF(S602="IN",'BOM_Phan II'!$Y$3,"")</f>
        <v/>
      </c>
      <c r="S602" s="153" t="str">
        <f t="shared" si="161"/>
        <v/>
      </c>
      <c r="T602">
        <f t="shared" si="162"/>
        <v>6</v>
      </c>
      <c r="U602" s="208" t="str">
        <f t="shared" si="170"/>
        <v>KIỆN 9</v>
      </c>
      <c r="V602" s="208" t="str">
        <f t="shared" si="163"/>
        <v/>
      </c>
      <c r="W602" s="240"/>
      <c r="X602" s="240"/>
      <c r="Y602" s="240" t="str">
        <f t="shared" si="164"/>
        <v/>
      </c>
      <c r="Z602" s="240"/>
      <c r="AD602" s="232" t="str">
        <f t="shared" si="165"/>
        <v/>
      </c>
      <c r="AE602" s="204"/>
      <c r="AX602" s="3" t="str">
        <f t="shared" si="155"/>
        <v/>
      </c>
    </row>
    <row r="603" spans="1:50" s="155" customFormat="1" ht="30" hidden="1" customHeight="1">
      <c r="A603" s="141" t="str">
        <f t="shared" si="166"/>
        <v/>
      </c>
      <c r="B603" s="141" t="str">
        <f t="shared" si="167"/>
        <v/>
      </c>
      <c r="C603" s="205" t="str" cm="1">
        <f t="array" ref="C603">IF(D603="","",
    IF(AND(ISNUMBER(D603), D603=INT(D603)),
        $V$6 &amp; " " &amp; (IFERROR(MAX($Y$12:$Y602), 0) + 1),
        IF(ISNUMBER(SEARCH(".", D603)), "", INDEX($C$12:$C603, MATCH(2, 1/($C$12:$C603 &lt;&gt; ""))))
    )
)</f>
        <v/>
      </c>
      <c r="D603" s="206"/>
      <c r="E603" s="206" t="str">
        <f>IF(AA603 = "", "",
    IF(ISNUMBER(SEARCH("Kiện", C603)),
       " GÓI " &amp; COUNTIF($C$13:C603, "*Kiện*") &amp; "/" &amp; COUNTIF($C$13:$C$1000, "*Kiện*") &amp; " " &amp; AA603,
       AA603)
)</f>
        <v/>
      </c>
      <c r="F603" s="206"/>
      <c r="G603" s="206"/>
      <c r="H603" s="206"/>
      <c r="I603" s="206"/>
      <c r="J603" s="206" t="str">
        <f t="shared" si="168"/>
        <v/>
      </c>
      <c r="K603" s="206" t="str">
        <f t="shared" si="156"/>
        <v/>
      </c>
      <c r="L603" s="206" t="str">
        <f t="shared" si="157"/>
        <v/>
      </c>
      <c r="M603" s="206" t="str">
        <f t="shared" si="158"/>
        <v/>
      </c>
      <c r="N603" s="206" t="str">
        <f t="shared" si="169"/>
        <v/>
      </c>
      <c r="O603" s="206" t="str">
        <f t="shared" si="159"/>
        <v/>
      </c>
      <c r="P603" s="165" t="str">
        <f t="shared" si="160"/>
        <v/>
      </c>
      <c r="Q603" s="207"/>
      <c r="R603" s="141" t="str">
        <f>IF(S603="IN",'BOM_Phan II'!$Y$3,"")</f>
        <v/>
      </c>
      <c r="S603" s="153" t="str">
        <f t="shared" si="161"/>
        <v/>
      </c>
      <c r="T603">
        <f t="shared" si="162"/>
        <v>6</v>
      </c>
      <c r="U603" s="208" t="str">
        <f t="shared" si="170"/>
        <v>KIỆN 9</v>
      </c>
      <c r="V603" s="208" t="str">
        <f t="shared" si="163"/>
        <v/>
      </c>
      <c r="W603" s="240"/>
      <c r="X603" s="240"/>
      <c r="Y603" s="240" t="str">
        <f t="shared" si="164"/>
        <v/>
      </c>
      <c r="Z603" s="240"/>
      <c r="AD603" s="232" t="str">
        <f t="shared" si="165"/>
        <v/>
      </c>
      <c r="AE603" s="204"/>
      <c r="AX603" s="3" t="str">
        <f t="shared" si="155"/>
        <v/>
      </c>
    </row>
    <row r="604" spans="1:50" s="155" customFormat="1" ht="30" hidden="1" customHeight="1">
      <c r="A604" s="141" t="str">
        <f t="shared" si="166"/>
        <v/>
      </c>
      <c r="B604" s="141" t="str">
        <f t="shared" si="167"/>
        <v/>
      </c>
      <c r="C604" s="205" t="str" cm="1">
        <f t="array" ref="C604">IF(D604="","",
    IF(AND(ISNUMBER(D604), D604=INT(D604)),
        $V$6 &amp; " " &amp; (IFERROR(MAX($Y$12:$Y603), 0) + 1),
        IF(ISNUMBER(SEARCH(".", D604)), "", INDEX($C$12:$C604, MATCH(2, 1/($C$12:$C604 &lt;&gt; ""))))
    )
)</f>
        <v/>
      </c>
      <c r="D604" s="206"/>
      <c r="E604" s="206" t="str">
        <f>IF(AA604 = "", "",
    IF(ISNUMBER(SEARCH("Kiện", C604)),
       " GÓI " &amp; COUNTIF($C$13:C604, "*Kiện*") &amp; "/" &amp; COUNTIF($C$13:$C$1000, "*Kiện*") &amp; " " &amp; AA604,
       AA604)
)</f>
        <v/>
      </c>
      <c r="F604" s="206"/>
      <c r="G604" s="206"/>
      <c r="H604" s="206"/>
      <c r="I604" s="206"/>
      <c r="J604" s="206" t="str">
        <f t="shared" si="168"/>
        <v/>
      </c>
      <c r="K604" s="206" t="str">
        <f t="shared" si="156"/>
        <v/>
      </c>
      <c r="L604" s="206" t="str">
        <f t="shared" si="157"/>
        <v/>
      </c>
      <c r="M604" s="206" t="str">
        <f t="shared" si="158"/>
        <v/>
      </c>
      <c r="N604" s="206" t="str">
        <f t="shared" si="169"/>
        <v/>
      </c>
      <c r="O604" s="206" t="str">
        <f t="shared" si="159"/>
        <v/>
      </c>
      <c r="P604" s="165" t="str">
        <f t="shared" si="160"/>
        <v/>
      </c>
      <c r="Q604" s="207"/>
      <c r="R604" s="141" t="str">
        <f>IF(S604="IN",'BOM_Phan II'!$Y$3,"")</f>
        <v/>
      </c>
      <c r="S604" s="153" t="str">
        <f t="shared" si="161"/>
        <v/>
      </c>
      <c r="T604">
        <f t="shared" si="162"/>
        <v>6</v>
      </c>
      <c r="U604" s="208" t="str">
        <f t="shared" si="170"/>
        <v>KIỆN 9</v>
      </c>
      <c r="V604" s="208" t="str">
        <f t="shared" si="163"/>
        <v/>
      </c>
      <c r="W604" s="240"/>
      <c r="X604" s="240"/>
      <c r="Y604" s="240" t="str">
        <f t="shared" si="164"/>
        <v/>
      </c>
      <c r="Z604" s="240"/>
      <c r="AD604" s="232" t="str">
        <f t="shared" si="165"/>
        <v/>
      </c>
      <c r="AE604" s="204"/>
      <c r="AX604" s="3" t="str">
        <f t="shared" si="155"/>
        <v/>
      </c>
    </row>
    <row r="605" spans="1:50" s="155" customFormat="1" ht="30" hidden="1" customHeight="1">
      <c r="A605" s="141" t="str">
        <f t="shared" si="166"/>
        <v/>
      </c>
      <c r="B605" s="141" t="str">
        <f t="shared" si="167"/>
        <v/>
      </c>
      <c r="C605" s="205" t="str" cm="1">
        <f t="array" ref="C605">IF(D605="","",
    IF(AND(ISNUMBER(D605), D605=INT(D605)),
        $V$6 &amp; " " &amp; (IFERROR(MAX($Y$12:$Y604), 0) + 1),
        IF(ISNUMBER(SEARCH(".", D605)), "", INDEX($C$12:$C605, MATCH(2, 1/($C$12:$C605 &lt;&gt; ""))))
    )
)</f>
        <v/>
      </c>
      <c r="D605" s="206"/>
      <c r="E605" s="206" t="str">
        <f>IF(AA605 = "", "",
    IF(ISNUMBER(SEARCH("Kiện", C605)),
       " GÓI " &amp; COUNTIF($C$13:C605, "*Kiện*") &amp; "/" &amp; COUNTIF($C$13:$C$1000, "*Kiện*") &amp; " " &amp; AA605,
       AA605)
)</f>
        <v/>
      </c>
      <c r="F605" s="206"/>
      <c r="G605" s="206"/>
      <c r="H605" s="206"/>
      <c r="I605" s="206"/>
      <c r="J605" s="206" t="str">
        <f t="shared" si="168"/>
        <v/>
      </c>
      <c r="K605" s="206" t="str">
        <f t="shared" si="156"/>
        <v/>
      </c>
      <c r="L605" s="206" t="str">
        <f t="shared" si="157"/>
        <v/>
      </c>
      <c r="M605" s="206" t="str">
        <f t="shared" si="158"/>
        <v/>
      </c>
      <c r="N605" s="206" t="str">
        <f t="shared" si="169"/>
        <v/>
      </c>
      <c r="O605" s="206" t="str">
        <f t="shared" si="159"/>
        <v/>
      </c>
      <c r="P605" s="165" t="str">
        <f t="shared" si="160"/>
        <v/>
      </c>
      <c r="Q605" s="207"/>
      <c r="R605" s="141" t="str">
        <f>IF(S605="IN",'BOM_Phan II'!$Y$3,"")</f>
        <v/>
      </c>
      <c r="S605" s="153" t="str">
        <f t="shared" si="161"/>
        <v/>
      </c>
      <c r="T605">
        <f t="shared" si="162"/>
        <v>6</v>
      </c>
      <c r="U605" s="208" t="str">
        <f t="shared" si="170"/>
        <v>KIỆN 9</v>
      </c>
      <c r="V605" s="208" t="str">
        <f t="shared" si="163"/>
        <v/>
      </c>
      <c r="W605" s="240"/>
      <c r="X605" s="240"/>
      <c r="Y605" s="240" t="str">
        <f t="shared" si="164"/>
        <v/>
      </c>
      <c r="Z605" s="240"/>
      <c r="AD605" s="232" t="str">
        <f t="shared" si="165"/>
        <v/>
      </c>
      <c r="AE605" s="204"/>
      <c r="AX605" s="3" t="str">
        <f t="shared" si="155"/>
        <v/>
      </c>
    </row>
    <row r="606" spans="1:50" s="155" customFormat="1" ht="30" hidden="1" customHeight="1">
      <c r="A606" s="141" t="str">
        <f t="shared" si="166"/>
        <v/>
      </c>
      <c r="B606" s="141" t="str">
        <f t="shared" si="167"/>
        <v/>
      </c>
      <c r="C606" s="205" t="str" cm="1">
        <f t="array" ref="C606">IF(D606="","",
    IF(AND(ISNUMBER(D606), D606=INT(D606)),
        $V$6 &amp; " " &amp; (IFERROR(MAX($Y$12:$Y605), 0) + 1),
        IF(ISNUMBER(SEARCH(".", D606)), "", INDEX($C$12:$C606, MATCH(2, 1/($C$12:$C606 &lt;&gt; ""))))
    )
)</f>
        <v/>
      </c>
      <c r="D606" s="206"/>
      <c r="E606" s="206" t="str">
        <f>IF(AA606 = "", "",
    IF(ISNUMBER(SEARCH("Kiện", C606)),
       " GÓI " &amp; COUNTIF($C$13:C606, "*Kiện*") &amp; "/" &amp; COUNTIF($C$13:$C$1000, "*Kiện*") &amp; " " &amp; AA606,
       AA606)
)</f>
        <v/>
      </c>
      <c r="F606" s="206"/>
      <c r="G606" s="206"/>
      <c r="H606" s="206"/>
      <c r="I606" s="206"/>
      <c r="J606" s="206" t="str">
        <f t="shared" si="168"/>
        <v/>
      </c>
      <c r="K606" s="206" t="str">
        <f t="shared" si="156"/>
        <v/>
      </c>
      <c r="L606" s="206" t="str">
        <f t="shared" si="157"/>
        <v/>
      </c>
      <c r="M606" s="206" t="str">
        <f t="shared" si="158"/>
        <v/>
      </c>
      <c r="N606" s="206" t="str">
        <f t="shared" si="169"/>
        <v/>
      </c>
      <c r="O606" s="206" t="str">
        <f t="shared" si="159"/>
        <v/>
      </c>
      <c r="P606" s="165" t="str">
        <f t="shared" si="160"/>
        <v/>
      </c>
      <c r="Q606" s="207"/>
      <c r="R606" s="141" t="str">
        <f>IF(S606="IN",'BOM_Phan II'!$Y$3,"")</f>
        <v/>
      </c>
      <c r="S606" s="153" t="str">
        <f t="shared" si="161"/>
        <v/>
      </c>
      <c r="T606">
        <f t="shared" si="162"/>
        <v>6</v>
      </c>
      <c r="U606" s="208" t="str">
        <f t="shared" si="170"/>
        <v>KIỆN 9</v>
      </c>
      <c r="V606" s="208" t="str">
        <f t="shared" si="163"/>
        <v/>
      </c>
      <c r="W606" s="240"/>
      <c r="X606" s="240"/>
      <c r="Y606" s="240" t="str">
        <f t="shared" si="164"/>
        <v/>
      </c>
      <c r="Z606" s="240"/>
      <c r="AD606" s="232" t="str">
        <f t="shared" si="165"/>
        <v/>
      </c>
      <c r="AE606" s="204"/>
      <c r="AX606" s="3" t="str">
        <f t="shared" si="155"/>
        <v/>
      </c>
    </row>
    <row r="607" spans="1:50" s="155" customFormat="1" ht="30" hidden="1" customHeight="1">
      <c r="A607" s="141" t="str">
        <f t="shared" si="166"/>
        <v/>
      </c>
      <c r="B607" s="141" t="str">
        <f t="shared" si="167"/>
        <v/>
      </c>
      <c r="C607" s="205" t="str" cm="1">
        <f t="array" ref="C607">IF(D607="","",
    IF(AND(ISNUMBER(D607), D607=INT(D607)),
        $V$6 &amp; " " &amp; (IFERROR(MAX($Y$12:$Y606), 0) + 1),
        IF(ISNUMBER(SEARCH(".", D607)), "", INDEX($C$12:$C607, MATCH(2, 1/($C$12:$C607 &lt;&gt; ""))))
    )
)</f>
        <v/>
      </c>
      <c r="D607" s="206"/>
      <c r="E607" s="206" t="str">
        <f>IF(AA607 = "", "",
    IF(ISNUMBER(SEARCH("Kiện", C607)),
       " GÓI " &amp; COUNTIF($C$13:C607, "*Kiện*") &amp; "/" &amp; COUNTIF($C$13:$C$1000, "*Kiện*") &amp; " " &amp; AA607,
       AA607)
)</f>
        <v/>
      </c>
      <c r="F607" s="206"/>
      <c r="G607" s="206"/>
      <c r="H607" s="206"/>
      <c r="I607" s="206"/>
      <c r="J607" s="206" t="str">
        <f t="shared" si="168"/>
        <v/>
      </c>
      <c r="K607" s="206" t="str">
        <f t="shared" si="156"/>
        <v/>
      </c>
      <c r="L607" s="206" t="str">
        <f t="shared" si="157"/>
        <v/>
      </c>
      <c r="M607" s="206" t="str">
        <f t="shared" si="158"/>
        <v/>
      </c>
      <c r="N607" s="206" t="str">
        <f t="shared" si="169"/>
        <v/>
      </c>
      <c r="O607" s="206" t="str">
        <f t="shared" si="159"/>
        <v/>
      </c>
      <c r="P607" s="165" t="str">
        <f t="shared" si="160"/>
        <v/>
      </c>
      <c r="Q607" s="207"/>
      <c r="R607" s="141" t="str">
        <f>IF(S607="IN",'BOM_Phan II'!$Y$3,"")</f>
        <v/>
      </c>
      <c r="S607" s="153" t="str">
        <f t="shared" si="161"/>
        <v/>
      </c>
      <c r="T607">
        <f t="shared" si="162"/>
        <v>6</v>
      </c>
      <c r="U607" s="208" t="str">
        <f t="shared" si="170"/>
        <v>KIỆN 9</v>
      </c>
      <c r="V607" s="208" t="str">
        <f t="shared" si="163"/>
        <v/>
      </c>
      <c r="W607" s="240"/>
      <c r="X607" s="240"/>
      <c r="Y607" s="240" t="str">
        <f t="shared" si="164"/>
        <v/>
      </c>
      <c r="Z607" s="240"/>
      <c r="AD607" s="232" t="str">
        <f t="shared" si="165"/>
        <v/>
      </c>
      <c r="AE607" s="204"/>
      <c r="AX607" s="3" t="str">
        <f t="shared" si="155"/>
        <v/>
      </c>
    </row>
    <row r="608" spans="1:50" s="155" customFormat="1" ht="30" hidden="1" customHeight="1">
      <c r="A608" s="141" t="str">
        <f t="shared" si="166"/>
        <v/>
      </c>
      <c r="B608" s="141" t="str">
        <f t="shared" si="167"/>
        <v/>
      </c>
      <c r="C608" s="205" t="str" cm="1">
        <f t="array" ref="C608">IF(D608="","",
    IF(AND(ISNUMBER(D608), D608=INT(D608)),
        $V$6 &amp; " " &amp; (IFERROR(MAX($Y$12:$Y607), 0) + 1),
        IF(ISNUMBER(SEARCH(".", D608)), "", INDEX($C$12:$C608, MATCH(2, 1/($C$12:$C608 &lt;&gt; ""))))
    )
)</f>
        <v/>
      </c>
      <c r="D608" s="206"/>
      <c r="E608" s="206" t="str">
        <f>IF(AA608 = "", "",
    IF(ISNUMBER(SEARCH("Kiện", C608)),
       " GÓI " &amp; COUNTIF($C$13:C608, "*Kiện*") &amp; "/" &amp; COUNTIF($C$13:$C$1000, "*Kiện*") &amp; " " &amp; AA608,
       AA608)
)</f>
        <v/>
      </c>
      <c r="F608" s="206"/>
      <c r="G608" s="206"/>
      <c r="H608" s="206"/>
      <c r="I608" s="206"/>
      <c r="J608" s="206" t="str">
        <f t="shared" si="168"/>
        <v/>
      </c>
      <c r="K608" s="206" t="str">
        <f t="shared" si="156"/>
        <v/>
      </c>
      <c r="L608" s="206" t="str">
        <f t="shared" si="157"/>
        <v/>
      </c>
      <c r="M608" s="206" t="str">
        <f t="shared" si="158"/>
        <v/>
      </c>
      <c r="N608" s="206" t="str">
        <f t="shared" si="169"/>
        <v/>
      </c>
      <c r="O608" s="206" t="str">
        <f t="shared" si="159"/>
        <v/>
      </c>
      <c r="P608" s="165" t="str">
        <f t="shared" si="160"/>
        <v/>
      </c>
      <c r="Q608" s="207"/>
      <c r="R608" s="141" t="str">
        <f>IF(S608="IN",'BOM_Phan II'!$Y$3,"")</f>
        <v/>
      </c>
      <c r="S608" s="153" t="str">
        <f t="shared" si="161"/>
        <v/>
      </c>
      <c r="T608">
        <f t="shared" si="162"/>
        <v>6</v>
      </c>
      <c r="U608" s="208" t="str">
        <f t="shared" si="170"/>
        <v>KIỆN 9</v>
      </c>
      <c r="V608" s="208" t="str">
        <f t="shared" si="163"/>
        <v/>
      </c>
      <c r="W608" s="240"/>
      <c r="X608" s="240"/>
      <c r="Y608" s="240" t="str">
        <f t="shared" si="164"/>
        <v/>
      </c>
      <c r="Z608" s="240"/>
      <c r="AD608" s="232" t="str">
        <f t="shared" si="165"/>
        <v/>
      </c>
      <c r="AE608" s="204"/>
      <c r="AX608" s="3" t="str">
        <f t="shared" si="155"/>
        <v/>
      </c>
    </row>
    <row r="609" spans="1:50" s="155" customFormat="1" ht="30" hidden="1" customHeight="1">
      <c r="A609" s="141" t="str">
        <f t="shared" si="166"/>
        <v/>
      </c>
      <c r="B609" s="141" t="str">
        <f t="shared" si="167"/>
        <v/>
      </c>
      <c r="C609" s="205" t="str" cm="1">
        <f t="array" ref="C609">IF(D609="","",
    IF(AND(ISNUMBER(D609), D609=INT(D609)),
        $V$6 &amp; " " &amp; (IFERROR(MAX($Y$12:$Y608), 0) + 1),
        IF(ISNUMBER(SEARCH(".", D609)), "", INDEX($C$12:$C609, MATCH(2, 1/($C$12:$C609 &lt;&gt; ""))))
    )
)</f>
        <v/>
      </c>
      <c r="D609" s="206"/>
      <c r="E609" s="206" t="str">
        <f>IF(AA609 = "", "",
    IF(ISNUMBER(SEARCH("Kiện", C609)),
       " GÓI " &amp; COUNTIF($C$13:C609, "*Kiện*") &amp; "/" &amp; COUNTIF($C$13:$C$1000, "*Kiện*") &amp; " " &amp; AA609,
       AA609)
)</f>
        <v/>
      </c>
      <c r="F609" s="206"/>
      <c r="G609" s="206"/>
      <c r="H609" s="206"/>
      <c r="I609" s="206"/>
      <c r="J609" s="206" t="str">
        <f t="shared" si="168"/>
        <v/>
      </c>
      <c r="K609" s="206" t="str">
        <f t="shared" si="156"/>
        <v/>
      </c>
      <c r="L609" s="206" t="str">
        <f t="shared" si="157"/>
        <v/>
      </c>
      <c r="M609" s="206" t="str">
        <f t="shared" si="158"/>
        <v/>
      </c>
      <c r="N609" s="206" t="str">
        <f t="shared" si="169"/>
        <v/>
      </c>
      <c r="O609" s="206" t="str">
        <f t="shared" si="159"/>
        <v/>
      </c>
      <c r="P609" s="165" t="str">
        <f t="shared" si="160"/>
        <v/>
      </c>
      <c r="Q609" s="207"/>
      <c r="R609" s="141" t="str">
        <f>IF(S609="IN",'BOM_Phan II'!$Y$3,"")</f>
        <v/>
      </c>
      <c r="S609" s="153" t="str">
        <f t="shared" si="161"/>
        <v/>
      </c>
      <c r="T609">
        <f t="shared" si="162"/>
        <v>6</v>
      </c>
      <c r="U609" s="208" t="str">
        <f t="shared" si="170"/>
        <v>KIỆN 9</v>
      </c>
      <c r="V609" s="208" t="str">
        <f t="shared" si="163"/>
        <v/>
      </c>
      <c r="W609" s="240"/>
      <c r="X609" s="240"/>
      <c r="Y609" s="240" t="str">
        <f t="shared" si="164"/>
        <v/>
      </c>
      <c r="Z609" s="240"/>
      <c r="AD609" s="232" t="str">
        <f t="shared" si="165"/>
        <v/>
      </c>
      <c r="AE609" s="204"/>
      <c r="AX609" s="3" t="str">
        <f t="shared" si="155"/>
        <v/>
      </c>
    </row>
    <row r="610" spans="1:50" s="155" customFormat="1" ht="30" hidden="1" customHeight="1">
      <c r="A610" s="141" t="str">
        <f t="shared" si="166"/>
        <v/>
      </c>
      <c r="B610" s="141" t="str">
        <f t="shared" si="167"/>
        <v/>
      </c>
      <c r="C610" s="205" t="str" cm="1">
        <f t="array" ref="C610">IF(D610="","",
    IF(AND(ISNUMBER(D610), D610=INT(D610)),
        $V$6 &amp; " " &amp; (IFERROR(MAX($Y$12:$Y609), 0) + 1),
        IF(ISNUMBER(SEARCH(".", D610)), "", INDEX($C$12:$C610, MATCH(2, 1/($C$12:$C610 &lt;&gt; ""))))
    )
)</f>
        <v/>
      </c>
      <c r="D610" s="206"/>
      <c r="E610" s="206" t="str">
        <f>IF(AA610 = "", "",
    IF(ISNUMBER(SEARCH("Kiện", C610)),
       " GÓI " &amp; COUNTIF($C$13:C610, "*Kiện*") &amp; "/" &amp; COUNTIF($C$13:$C$1000, "*Kiện*") &amp; " " &amp; AA610,
       AA610)
)</f>
        <v/>
      </c>
      <c r="F610" s="206"/>
      <c r="G610" s="206"/>
      <c r="H610" s="206"/>
      <c r="I610" s="206"/>
      <c r="J610" s="206" t="str">
        <f t="shared" si="168"/>
        <v/>
      </c>
      <c r="K610" s="206" t="str">
        <f t="shared" si="156"/>
        <v/>
      </c>
      <c r="L610" s="206" t="str">
        <f t="shared" si="157"/>
        <v/>
      </c>
      <c r="M610" s="206" t="str">
        <f t="shared" si="158"/>
        <v/>
      </c>
      <c r="N610" s="206" t="str">
        <f t="shared" si="169"/>
        <v/>
      </c>
      <c r="O610" s="206" t="str">
        <f t="shared" si="159"/>
        <v/>
      </c>
      <c r="P610" s="165" t="str">
        <f t="shared" si="160"/>
        <v/>
      </c>
      <c r="Q610" s="207"/>
      <c r="R610" s="141" t="str">
        <f>IF(S610="IN",'BOM_Phan II'!$Y$3,"")</f>
        <v/>
      </c>
      <c r="S610" s="153" t="str">
        <f t="shared" si="161"/>
        <v/>
      </c>
      <c r="T610">
        <f t="shared" si="162"/>
        <v>6</v>
      </c>
      <c r="U610" s="208" t="str">
        <f t="shared" si="170"/>
        <v>KIỆN 9</v>
      </c>
      <c r="V610" s="208" t="str">
        <f t="shared" si="163"/>
        <v/>
      </c>
      <c r="W610" s="240"/>
      <c r="X610" s="240"/>
      <c r="Y610" s="240" t="str">
        <f t="shared" si="164"/>
        <v/>
      </c>
      <c r="Z610" s="240"/>
      <c r="AD610" s="232" t="str">
        <f t="shared" si="165"/>
        <v/>
      </c>
      <c r="AE610" s="204"/>
      <c r="AX610" s="3" t="str">
        <f t="shared" si="155"/>
        <v/>
      </c>
    </row>
    <row r="611" spans="1:50" s="155" customFormat="1" ht="30" hidden="1" customHeight="1">
      <c r="A611" s="141" t="str">
        <f t="shared" si="166"/>
        <v/>
      </c>
      <c r="B611" s="141" t="str">
        <f t="shared" si="167"/>
        <v/>
      </c>
      <c r="C611" s="205" t="str" cm="1">
        <f t="array" ref="C611">IF(D611="","",
    IF(AND(ISNUMBER(D611), D611=INT(D611)),
        $V$6 &amp; " " &amp; (IFERROR(MAX($Y$12:$Y610), 0) + 1),
        IF(ISNUMBER(SEARCH(".", D611)), "", INDEX($C$12:$C611, MATCH(2, 1/($C$12:$C611 &lt;&gt; ""))))
    )
)</f>
        <v/>
      </c>
      <c r="D611" s="206"/>
      <c r="E611" s="206" t="str">
        <f>IF(AA611 = "", "",
    IF(ISNUMBER(SEARCH("Kiện", C611)),
       " GÓI " &amp; COUNTIF($C$13:C611, "*Kiện*") &amp; "/" &amp; COUNTIF($C$13:$C$1000, "*Kiện*") &amp; " " &amp; AA611,
       AA611)
)</f>
        <v/>
      </c>
      <c r="F611" s="206"/>
      <c r="G611" s="206"/>
      <c r="H611" s="206"/>
      <c r="I611" s="206"/>
      <c r="J611" s="206" t="str">
        <f t="shared" si="168"/>
        <v/>
      </c>
      <c r="K611" s="206" t="str">
        <f t="shared" si="156"/>
        <v/>
      </c>
      <c r="L611" s="206" t="str">
        <f t="shared" si="157"/>
        <v/>
      </c>
      <c r="M611" s="206" t="str">
        <f t="shared" si="158"/>
        <v/>
      </c>
      <c r="N611" s="206" t="str">
        <f t="shared" si="169"/>
        <v/>
      </c>
      <c r="O611" s="206" t="str">
        <f t="shared" si="159"/>
        <v/>
      </c>
      <c r="P611" s="165" t="str">
        <f t="shared" si="160"/>
        <v/>
      </c>
      <c r="Q611" s="207"/>
      <c r="R611" s="141" t="str">
        <f>IF(S611="IN",'BOM_Phan II'!$Y$3,"")</f>
        <v/>
      </c>
      <c r="S611" s="153" t="str">
        <f t="shared" si="161"/>
        <v/>
      </c>
      <c r="T611">
        <f t="shared" si="162"/>
        <v>6</v>
      </c>
      <c r="U611" s="208" t="str">
        <f t="shared" si="170"/>
        <v>KIỆN 9</v>
      </c>
      <c r="V611" s="208" t="str">
        <f t="shared" si="163"/>
        <v/>
      </c>
      <c r="W611" s="240"/>
      <c r="X611" s="240"/>
      <c r="Y611" s="240" t="str">
        <f t="shared" si="164"/>
        <v/>
      </c>
      <c r="Z611" s="240"/>
      <c r="AD611" s="232" t="str">
        <f t="shared" si="165"/>
        <v/>
      </c>
      <c r="AE611" s="204"/>
      <c r="AX611" s="3" t="str">
        <f t="shared" si="155"/>
        <v/>
      </c>
    </row>
    <row r="612" spans="1:50" s="155" customFormat="1" ht="30" hidden="1" customHeight="1">
      <c r="A612" s="141" t="str">
        <f t="shared" si="166"/>
        <v/>
      </c>
      <c r="B612" s="141" t="str">
        <f t="shared" si="167"/>
        <v/>
      </c>
      <c r="C612" s="205" t="str" cm="1">
        <f t="array" ref="C612">IF(D612="","",
    IF(AND(ISNUMBER(D612), D612=INT(D612)),
        $V$6 &amp; " " &amp; (IFERROR(MAX($Y$12:$Y611), 0) + 1),
        IF(ISNUMBER(SEARCH(".", D612)), "", INDEX($C$12:$C612, MATCH(2, 1/($C$12:$C612 &lt;&gt; ""))))
    )
)</f>
        <v/>
      </c>
      <c r="D612" s="206"/>
      <c r="E612" s="206" t="str">
        <f>IF(AA612 = "", "",
    IF(ISNUMBER(SEARCH("Kiện", C612)),
       " GÓI " &amp; COUNTIF($C$13:C612, "*Kiện*") &amp; "/" &amp; COUNTIF($C$13:$C$1000, "*Kiện*") &amp; " " &amp; AA612,
       AA612)
)</f>
        <v/>
      </c>
      <c r="F612" s="206"/>
      <c r="G612" s="206"/>
      <c r="H612" s="206"/>
      <c r="I612" s="206"/>
      <c r="J612" s="206" t="str">
        <f t="shared" si="168"/>
        <v/>
      </c>
      <c r="K612" s="206" t="str">
        <f t="shared" si="156"/>
        <v/>
      </c>
      <c r="L612" s="206" t="str">
        <f t="shared" si="157"/>
        <v/>
      </c>
      <c r="M612" s="206" t="str">
        <f t="shared" si="158"/>
        <v/>
      </c>
      <c r="N612" s="206" t="str">
        <f t="shared" si="169"/>
        <v/>
      </c>
      <c r="O612" s="206" t="str">
        <f t="shared" si="159"/>
        <v/>
      </c>
      <c r="P612" s="165" t="str">
        <f t="shared" si="160"/>
        <v/>
      </c>
      <c r="Q612" s="207"/>
      <c r="R612" s="141" t="str">
        <f>IF(S612="IN",'BOM_Phan II'!$Y$3,"")</f>
        <v/>
      </c>
      <c r="S612" s="153" t="str">
        <f t="shared" si="161"/>
        <v/>
      </c>
      <c r="T612">
        <f t="shared" si="162"/>
        <v>6</v>
      </c>
      <c r="U612" s="208" t="str">
        <f t="shared" si="170"/>
        <v>KIỆN 9</v>
      </c>
      <c r="V612" s="208" t="str">
        <f t="shared" si="163"/>
        <v/>
      </c>
      <c r="W612" s="240"/>
      <c r="X612" s="240"/>
      <c r="Y612" s="240" t="str">
        <f t="shared" si="164"/>
        <v/>
      </c>
      <c r="Z612" s="240"/>
      <c r="AD612" s="232" t="str">
        <f t="shared" si="165"/>
        <v/>
      </c>
      <c r="AE612" s="204"/>
      <c r="AX612" s="3" t="str">
        <f t="shared" si="155"/>
        <v/>
      </c>
    </row>
    <row r="613" spans="1:50" s="155" customFormat="1" ht="30" hidden="1" customHeight="1">
      <c r="A613" s="141" t="str">
        <f t="shared" si="166"/>
        <v/>
      </c>
      <c r="B613" s="141" t="str">
        <f t="shared" si="167"/>
        <v/>
      </c>
      <c r="C613" s="205" t="str" cm="1">
        <f t="array" ref="C613">IF(D613="","",
    IF(AND(ISNUMBER(D613), D613=INT(D613)),
        $V$6 &amp; " " &amp; (IFERROR(MAX($Y$12:$Y612), 0) + 1),
        IF(ISNUMBER(SEARCH(".", D613)), "", INDEX($C$12:$C613, MATCH(2, 1/($C$12:$C613 &lt;&gt; ""))))
    )
)</f>
        <v/>
      </c>
      <c r="D613" s="206"/>
      <c r="E613" s="206" t="str">
        <f>IF(AA613 = "", "",
    IF(ISNUMBER(SEARCH("Kiện", C613)),
       " GÓI " &amp; COUNTIF($C$13:C613, "*Kiện*") &amp; "/" &amp; COUNTIF($C$13:$C$1000, "*Kiện*") &amp; " " &amp; AA613,
       AA613)
)</f>
        <v/>
      </c>
      <c r="F613" s="206"/>
      <c r="G613" s="206"/>
      <c r="H613" s="206"/>
      <c r="I613" s="206"/>
      <c r="J613" s="206" t="str">
        <f t="shared" si="168"/>
        <v/>
      </c>
      <c r="K613" s="206" t="str">
        <f t="shared" si="156"/>
        <v/>
      </c>
      <c r="L613" s="206" t="str">
        <f t="shared" si="157"/>
        <v/>
      </c>
      <c r="M613" s="206" t="str">
        <f t="shared" si="158"/>
        <v/>
      </c>
      <c r="N613" s="206" t="str">
        <f t="shared" si="169"/>
        <v/>
      </c>
      <c r="O613" s="206" t="str">
        <f t="shared" si="159"/>
        <v/>
      </c>
      <c r="P613" s="165" t="str">
        <f t="shared" si="160"/>
        <v/>
      </c>
      <c r="Q613" s="207"/>
      <c r="R613" s="141" t="str">
        <f>IF(S613="IN",'BOM_Phan II'!$Y$3,"")</f>
        <v/>
      </c>
      <c r="S613" s="153" t="str">
        <f t="shared" si="161"/>
        <v/>
      </c>
      <c r="T613">
        <f t="shared" si="162"/>
        <v>6</v>
      </c>
      <c r="U613" s="208" t="str">
        <f t="shared" si="170"/>
        <v>KIỆN 9</v>
      </c>
      <c r="V613" s="208" t="str">
        <f t="shared" si="163"/>
        <v/>
      </c>
      <c r="W613" s="240"/>
      <c r="X613" s="240"/>
      <c r="Y613" s="240" t="str">
        <f t="shared" si="164"/>
        <v/>
      </c>
      <c r="Z613" s="240"/>
      <c r="AD613" s="232" t="str">
        <f t="shared" si="165"/>
        <v/>
      </c>
      <c r="AE613" s="204"/>
      <c r="AX613" s="3" t="str">
        <f t="shared" si="155"/>
        <v/>
      </c>
    </row>
    <row r="614" spans="1:50" s="155" customFormat="1" ht="30" hidden="1" customHeight="1">
      <c r="A614" s="141" t="str">
        <f t="shared" si="166"/>
        <v/>
      </c>
      <c r="B614" s="141" t="str">
        <f t="shared" si="167"/>
        <v/>
      </c>
      <c r="C614" s="205" t="str" cm="1">
        <f t="array" ref="C614">IF(D614="","",
    IF(AND(ISNUMBER(D614), D614=INT(D614)),
        $V$6 &amp; " " &amp; (IFERROR(MAX($Y$12:$Y613), 0) + 1),
        IF(ISNUMBER(SEARCH(".", D614)), "", INDEX($C$12:$C614, MATCH(2, 1/($C$12:$C614 &lt;&gt; ""))))
    )
)</f>
        <v/>
      </c>
      <c r="D614" s="206"/>
      <c r="E614" s="206" t="str">
        <f>IF(AA614 = "", "",
    IF(ISNUMBER(SEARCH("Kiện", C614)),
       " GÓI " &amp; COUNTIF($C$13:C614, "*Kiện*") &amp; "/" &amp; COUNTIF($C$13:$C$1000, "*Kiện*") &amp; " " &amp; AA614,
       AA614)
)</f>
        <v/>
      </c>
      <c r="F614" s="206"/>
      <c r="G614" s="206"/>
      <c r="H614" s="206"/>
      <c r="I614" s="206"/>
      <c r="J614" s="206" t="str">
        <f t="shared" si="168"/>
        <v/>
      </c>
      <c r="K614" s="206" t="str">
        <f t="shared" si="156"/>
        <v/>
      </c>
      <c r="L614" s="206" t="str">
        <f t="shared" si="157"/>
        <v/>
      </c>
      <c r="M614" s="206" t="str">
        <f t="shared" si="158"/>
        <v/>
      </c>
      <c r="N614" s="206" t="str">
        <f t="shared" si="169"/>
        <v/>
      </c>
      <c r="O614" s="206" t="str">
        <f t="shared" si="159"/>
        <v/>
      </c>
      <c r="P614" s="165" t="str">
        <f t="shared" si="160"/>
        <v/>
      </c>
      <c r="Q614" s="207"/>
      <c r="R614" s="141" t="str">
        <f>IF(S614="IN",'BOM_Phan II'!$Y$3,"")</f>
        <v/>
      </c>
      <c r="S614" s="153" t="str">
        <f t="shared" si="161"/>
        <v/>
      </c>
      <c r="T614">
        <f t="shared" si="162"/>
        <v>6</v>
      </c>
      <c r="U614" s="208" t="str">
        <f t="shared" si="170"/>
        <v>KIỆN 9</v>
      </c>
      <c r="V614" s="208" t="str">
        <f t="shared" si="163"/>
        <v/>
      </c>
      <c r="W614" s="240"/>
      <c r="X614" s="240"/>
      <c r="Y614" s="240" t="str">
        <f t="shared" si="164"/>
        <v/>
      </c>
      <c r="Z614" s="240"/>
      <c r="AD614" s="232" t="str">
        <f t="shared" si="165"/>
        <v/>
      </c>
      <c r="AE614" s="204"/>
      <c r="AX614" s="3" t="str">
        <f t="shared" si="155"/>
        <v/>
      </c>
    </row>
    <row r="615" spans="1:50" s="155" customFormat="1" ht="30" hidden="1" customHeight="1">
      <c r="A615" s="141" t="str">
        <f t="shared" si="166"/>
        <v/>
      </c>
      <c r="B615" s="141" t="str">
        <f t="shared" si="167"/>
        <v/>
      </c>
      <c r="C615" s="205" t="str" cm="1">
        <f t="array" ref="C615">IF(D615="","",
    IF(AND(ISNUMBER(D615), D615=INT(D615)),
        $V$6 &amp; " " &amp; (IFERROR(MAX($Y$12:$Y614), 0) + 1),
        IF(ISNUMBER(SEARCH(".", D615)), "", INDEX($C$12:$C615, MATCH(2, 1/($C$12:$C615 &lt;&gt; ""))))
    )
)</f>
        <v/>
      </c>
      <c r="D615" s="206"/>
      <c r="E615" s="206" t="str">
        <f>IF(AA615 = "", "",
    IF(ISNUMBER(SEARCH("Kiện", C615)),
       " GÓI " &amp; COUNTIF($C$13:C615, "*Kiện*") &amp; "/" &amp; COUNTIF($C$13:$C$1000, "*Kiện*") &amp; " " &amp; AA615,
       AA615)
)</f>
        <v/>
      </c>
      <c r="F615" s="206"/>
      <c r="G615" s="206"/>
      <c r="H615" s="206"/>
      <c r="I615" s="206"/>
      <c r="J615" s="206" t="str">
        <f t="shared" si="168"/>
        <v/>
      </c>
      <c r="K615" s="206" t="str">
        <f t="shared" si="156"/>
        <v/>
      </c>
      <c r="L615" s="206" t="str">
        <f t="shared" si="157"/>
        <v/>
      </c>
      <c r="M615" s="206" t="str">
        <f t="shared" si="158"/>
        <v/>
      </c>
      <c r="N615" s="206" t="str">
        <f t="shared" si="169"/>
        <v/>
      </c>
      <c r="O615" s="206" t="str">
        <f t="shared" si="159"/>
        <v/>
      </c>
      <c r="P615" s="165" t="str">
        <f t="shared" si="160"/>
        <v/>
      </c>
      <c r="Q615" s="207"/>
      <c r="R615" s="141" t="str">
        <f>IF(S615="IN",'BOM_Phan II'!$Y$3,"")</f>
        <v/>
      </c>
      <c r="S615" s="153" t="str">
        <f t="shared" si="161"/>
        <v/>
      </c>
      <c r="T615">
        <f t="shared" si="162"/>
        <v>6</v>
      </c>
      <c r="U615" s="208" t="str">
        <f t="shared" si="170"/>
        <v>KIỆN 9</v>
      </c>
      <c r="V615" s="208" t="str">
        <f t="shared" si="163"/>
        <v/>
      </c>
      <c r="W615" s="240"/>
      <c r="X615" s="240"/>
      <c r="Y615" s="240" t="str">
        <f t="shared" si="164"/>
        <v/>
      </c>
      <c r="Z615" s="240"/>
      <c r="AD615" s="232" t="str">
        <f t="shared" si="165"/>
        <v/>
      </c>
      <c r="AE615" s="204"/>
      <c r="AX615" s="3" t="str">
        <f t="shared" si="155"/>
        <v/>
      </c>
    </row>
    <row r="616" spans="1:50" s="155" customFormat="1" ht="30" hidden="1" customHeight="1">
      <c r="A616" s="141" t="str">
        <f t="shared" si="166"/>
        <v/>
      </c>
      <c r="B616" s="141" t="str">
        <f t="shared" si="167"/>
        <v/>
      </c>
      <c r="C616" s="205" t="str" cm="1">
        <f t="array" ref="C616">IF(D616="","",
    IF(AND(ISNUMBER(D616), D616=INT(D616)),
        $V$6 &amp; " " &amp; (IFERROR(MAX($Y$12:$Y615), 0) + 1),
        IF(ISNUMBER(SEARCH(".", D616)), "", INDEX($C$12:$C616, MATCH(2, 1/($C$12:$C616 &lt;&gt; ""))))
    )
)</f>
        <v/>
      </c>
      <c r="D616" s="206"/>
      <c r="E616" s="206" t="str">
        <f>IF(AA616 = "", "",
    IF(ISNUMBER(SEARCH("Kiện", C616)),
       " GÓI " &amp; COUNTIF($C$13:C616, "*Kiện*") &amp; "/" &amp; COUNTIF($C$13:$C$1000, "*Kiện*") &amp; " " &amp; AA616,
       AA616)
)</f>
        <v/>
      </c>
      <c r="F616" s="206"/>
      <c r="G616" s="206"/>
      <c r="H616" s="206"/>
      <c r="I616" s="206"/>
      <c r="J616" s="206" t="str">
        <f t="shared" si="168"/>
        <v/>
      </c>
      <c r="K616" s="206" t="str">
        <f t="shared" si="156"/>
        <v/>
      </c>
      <c r="L616" s="206" t="str">
        <f t="shared" si="157"/>
        <v/>
      </c>
      <c r="M616" s="206" t="str">
        <f t="shared" si="158"/>
        <v/>
      </c>
      <c r="N616" s="206" t="str">
        <f t="shared" si="169"/>
        <v/>
      </c>
      <c r="O616" s="206" t="str">
        <f t="shared" si="159"/>
        <v/>
      </c>
      <c r="P616" s="165" t="str">
        <f t="shared" si="160"/>
        <v/>
      </c>
      <c r="Q616" s="207"/>
      <c r="R616" s="141" t="str">
        <f>IF(S616="IN",'BOM_Phan II'!$Y$3,"")</f>
        <v/>
      </c>
      <c r="S616" s="153" t="str">
        <f t="shared" si="161"/>
        <v/>
      </c>
      <c r="T616">
        <f t="shared" si="162"/>
        <v>6</v>
      </c>
      <c r="U616" s="208" t="str">
        <f t="shared" si="170"/>
        <v>KIỆN 9</v>
      </c>
      <c r="V616" s="208" t="str">
        <f t="shared" si="163"/>
        <v/>
      </c>
      <c r="W616" s="240"/>
      <c r="X616" s="240"/>
      <c r="Y616" s="240" t="str">
        <f t="shared" si="164"/>
        <v/>
      </c>
      <c r="Z616" s="240"/>
      <c r="AD616" s="232" t="str">
        <f t="shared" si="165"/>
        <v/>
      </c>
      <c r="AE616" s="204"/>
      <c r="AX616" s="3" t="str">
        <f t="shared" si="155"/>
        <v/>
      </c>
    </row>
    <row r="617" spans="1:50" s="155" customFormat="1" ht="30" hidden="1" customHeight="1">
      <c r="A617" s="141" t="str">
        <f t="shared" si="166"/>
        <v/>
      </c>
      <c r="B617" s="141" t="str">
        <f t="shared" si="167"/>
        <v/>
      </c>
      <c r="C617" s="205" t="str" cm="1">
        <f t="array" ref="C617">IF(D617="","",
    IF(AND(ISNUMBER(D617), D617=INT(D617)),
        $V$6 &amp; " " &amp; (IFERROR(MAX($Y$12:$Y616), 0) + 1),
        IF(ISNUMBER(SEARCH(".", D617)), "", INDEX($C$12:$C617, MATCH(2, 1/($C$12:$C617 &lt;&gt; ""))))
    )
)</f>
        <v/>
      </c>
      <c r="D617" s="206"/>
      <c r="E617" s="206" t="str">
        <f>IF(AA617 = "", "",
    IF(ISNUMBER(SEARCH("Kiện", C617)),
       " GÓI " &amp; COUNTIF($C$13:C617, "*Kiện*") &amp; "/" &amp; COUNTIF($C$13:$C$1000, "*Kiện*") &amp; " " &amp; AA617,
       AA617)
)</f>
        <v/>
      </c>
      <c r="F617" s="206"/>
      <c r="G617" s="206"/>
      <c r="H617" s="206"/>
      <c r="I617" s="206"/>
      <c r="J617" s="206" t="str">
        <f t="shared" si="168"/>
        <v/>
      </c>
      <c r="K617" s="206" t="str">
        <f t="shared" si="156"/>
        <v/>
      </c>
      <c r="L617" s="206" t="str">
        <f t="shared" si="157"/>
        <v/>
      </c>
      <c r="M617" s="206" t="str">
        <f t="shared" si="158"/>
        <v/>
      </c>
      <c r="N617" s="206" t="str">
        <f t="shared" si="169"/>
        <v/>
      </c>
      <c r="O617" s="206" t="str">
        <f t="shared" si="159"/>
        <v/>
      </c>
      <c r="P617" s="165" t="str">
        <f t="shared" si="160"/>
        <v/>
      </c>
      <c r="Q617" s="207"/>
      <c r="R617" s="141" t="str">
        <f>IF(S617="IN",'BOM_Phan II'!$Y$3,"")</f>
        <v/>
      </c>
      <c r="S617" s="153" t="str">
        <f t="shared" si="161"/>
        <v/>
      </c>
      <c r="T617">
        <f t="shared" si="162"/>
        <v>6</v>
      </c>
      <c r="U617" s="208" t="str">
        <f t="shared" si="170"/>
        <v>KIỆN 9</v>
      </c>
      <c r="V617" s="208" t="str">
        <f t="shared" si="163"/>
        <v/>
      </c>
      <c r="W617" s="240"/>
      <c r="X617" s="240"/>
      <c r="Y617" s="240" t="str">
        <f t="shared" si="164"/>
        <v/>
      </c>
      <c r="Z617" s="240"/>
      <c r="AD617" s="232" t="str">
        <f t="shared" si="165"/>
        <v/>
      </c>
      <c r="AE617" s="204"/>
      <c r="AX617" s="3" t="str">
        <f t="shared" si="155"/>
        <v/>
      </c>
    </row>
    <row r="618" spans="1:50" s="155" customFormat="1" ht="30" hidden="1" customHeight="1">
      <c r="A618" s="141" t="str">
        <f t="shared" si="166"/>
        <v/>
      </c>
      <c r="B618" s="141" t="str">
        <f t="shared" si="167"/>
        <v/>
      </c>
      <c r="C618" s="205" t="str" cm="1">
        <f t="array" ref="C618">IF(D618="","",
    IF(AND(ISNUMBER(D618), D618=INT(D618)),
        $V$6 &amp; " " &amp; (IFERROR(MAX($Y$12:$Y617), 0) + 1),
        IF(ISNUMBER(SEARCH(".", D618)), "", INDEX($C$12:$C618, MATCH(2, 1/($C$12:$C618 &lt;&gt; ""))))
    )
)</f>
        <v/>
      </c>
      <c r="D618" s="206"/>
      <c r="E618" s="206" t="str">
        <f>IF(AA618 = "", "",
    IF(ISNUMBER(SEARCH("Kiện", C618)),
       " GÓI " &amp; COUNTIF($C$13:C618, "*Kiện*") &amp; "/" &amp; COUNTIF($C$13:$C$1000, "*Kiện*") &amp; " " &amp; AA618,
       AA618)
)</f>
        <v/>
      </c>
      <c r="F618" s="206"/>
      <c r="G618" s="206"/>
      <c r="H618" s="206"/>
      <c r="I618" s="206"/>
      <c r="J618" s="206" t="str">
        <f t="shared" si="168"/>
        <v/>
      </c>
      <c r="K618" s="206" t="str">
        <f t="shared" si="156"/>
        <v/>
      </c>
      <c r="L618" s="206" t="str">
        <f t="shared" si="157"/>
        <v/>
      </c>
      <c r="M618" s="206" t="str">
        <f t="shared" si="158"/>
        <v/>
      </c>
      <c r="N618" s="206" t="str">
        <f t="shared" si="169"/>
        <v/>
      </c>
      <c r="O618" s="206" t="str">
        <f t="shared" si="159"/>
        <v/>
      </c>
      <c r="P618" s="165" t="str">
        <f t="shared" si="160"/>
        <v/>
      </c>
      <c r="Q618" s="207"/>
      <c r="R618" s="141" t="str">
        <f>IF(S618="IN",'BOM_Phan II'!$Y$3,"")</f>
        <v/>
      </c>
      <c r="S618" s="153" t="str">
        <f t="shared" si="161"/>
        <v/>
      </c>
      <c r="T618">
        <f t="shared" si="162"/>
        <v>6</v>
      </c>
      <c r="U618" s="208" t="str">
        <f t="shared" si="170"/>
        <v>KIỆN 9</v>
      </c>
      <c r="V618" s="208" t="str">
        <f t="shared" si="163"/>
        <v/>
      </c>
      <c r="W618" s="240"/>
      <c r="X618" s="240"/>
      <c r="Y618" s="240" t="str">
        <f t="shared" si="164"/>
        <v/>
      </c>
      <c r="Z618" s="240"/>
      <c r="AD618" s="232" t="str">
        <f t="shared" si="165"/>
        <v/>
      </c>
      <c r="AE618" s="204"/>
      <c r="AX618" s="3" t="str">
        <f t="shared" si="155"/>
        <v/>
      </c>
    </row>
    <row r="619" spans="1:50" s="155" customFormat="1" ht="30" hidden="1" customHeight="1">
      <c r="A619" s="141" t="str">
        <f t="shared" si="166"/>
        <v/>
      </c>
      <c r="B619" s="141" t="str">
        <f t="shared" si="167"/>
        <v/>
      </c>
      <c r="C619" s="205" t="str" cm="1">
        <f t="array" ref="C619">IF(D619="","",
    IF(AND(ISNUMBER(D619), D619=INT(D619)),
        $V$6 &amp; " " &amp; (IFERROR(MAX($Y$12:$Y618), 0) + 1),
        IF(ISNUMBER(SEARCH(".", D619)), "", INDEX($C$12:$C619, MATCH(2, 1/($C$12:$C619 &lt;&gt; ""))))
    )
)</f>
        <v/>
      </c>
      <c r="D619" s="206"/>
      <c r="E619" s="206" t="str">
        <f>IF(AA619 = "", "",
    IF(ISNUMBER(SEARCH("Kiện", C619)),
       " GÓI " &amp; COUNTIF($C$13:C619, "*Kiện*") &amp; "/" &amp; COUNTIF($C$13:$C$1000, "*Kiện*") &amp; " " &amp; AA619,
       AA619)
)</f>
        <v/>
      </c>
      <c r="F619" s="206"/>
      <c r="G619" s="206"/>
      <c r="H619" s="206"/>
      <c r="I619" s="206"/>
      <c r="J619" s="206" t="str">
        <f t="shared" si="168"/>
        <v/>
      </c>
      <c r="K619" s="206" t="str">
        <f t="shared" si="156"/>
        <v/>
      </c>
      <c r="L619" s="206" t="str">
        <f t="shared" si="157"/>
        <v/>
      </c>
      <c r="M619" s="206" t="str">
        <f t="shared" si="158"/>
        <v/>
      </c>
      <c r="N619" s="206" t="str">
        <f t="shared" si="169"/>
        <v/>
      </c>
      <c r="O619" s="206" t="str">
        <f t="shared" si="159"/>
        <v/>
      </c>
      <c r="P619" s="165" t="str">
        <f t="shared" si="160"/>
        <v/>
      </c>
      <c r="Q619" s="207"/>
      <c r="R619" s="141" t="str">
        <f>IF(S619="IN",'BOM_Phan II'!$Y$3,"")</f>
        <v/>
      </c>
      <c r="S619" s="153" t="str">
        <f t="shared" si="161"/>
        <v/>
      </c>
      <c r="T619">
        <f t="shared" si="162"/>
        <v>6</v>
      </c>
      <c r="U619" s="208" t="str">
        <f t="shared" si="170"/>
        <v>KIỆN 9</v>
      </c>
      <c r="V619" s="208" t="str">
        <f t="shared" si="163"/>
        <v/>
      </c>
      <c r="W619" s="240"/>
      <c r="X619" s="240"/>
      <c r="Y619" s="240" t="str">
        <f t="shared" si="164"/>
        <v/>
      </c>
      <c r="Z619" s="240"/>
      <c r="AD619" s="232" t="str">
        <f t="shared" si="165"/>
        <v/>
      </c>
      <c r="AE619" s="204"/>
      <c r="AX619" s="3" t="str">
        <f t="shared" si="155"/>
        <v/>
      </c>
    </row>
    <row r="620" spans="1:50" s="155" customFormat="1" ht="30" hidden="1" customHeight="1">
      <c r="A620" s="141" t="str">
        <f t="shared" si="166"/>
        <v/>
      </c>
      <c r="B620" s="141" t="str">
        <f t="shared" si="167"/>
        <v/>
      </c>
      <c r="C620" s="205" t="str" cm="1">
        <f t="array" ref="C620">IF(D620="","",
    IF(AND(ISNUMBER(D620), D620=INT(D620)),
        $V$6 &amp; " " &amp; (IFERROR(MAX($Y$12:$Y619), 0) + 1),
        IF(ISNUMBER(SEARCH(".", D620)), "", INDEX($C$12:$C620, MATCH(2, 1/($C$12:$C620 &lt;&gt; ""))))
    )
)</f>
        <v/>
      </c>
      <c r="D620" s="206"/>
      <c r="E620" s="206" t="str">
        <f>IF(AA620 = "", "",
    IF(ISNUMBER(SEARCH("Kiện", C620)),
       " GÓI " &amp; COUNTIF($C$13:C620, "*Kiện*") &amp; "/" &amp; COUNTIF($C$13:$C$1000, "*Kiện*") &amp; " " &amp; AA620,
       AA620)
)</f>
        <v/>
      </c>
      <c r="F620" s="206"/>
      <c r="G620" s="206"/>
      <c r="H620" s="206"/>
      <c r="I620" s="206"/>
      <c r="J620" s="206" t="str">
        <f t="shared" si="168"/>
        <v/>
      </c>
      <c r="K620" s="206" t="str">
        <f t="shared" si="156"/>
        <v/>
      </c>
      <c r="L620" s="206" t="str">
        <f t="shared" si="157"/>
        <v/>
      </c>
      <c r="M620" s="206" t="str">
        <f t="shared" si="158"/>
        <v/>
      </c>
      <c r="N620" s="206" t="str">
        <f t="shared" si="169"/>
        <v/>
      </c>
      <c r="O620" s="206" t="str">
        <f t="shared" si="159"/>
        <v/>
      </c>
      <c r="P620" s="165" t="str">
        <f t="shared" si="160"/>
        <v/>
      </c>
      <c r="Q620" s="207"/>
      <c r="R620" s="141" t="str">
        <f>IF(S620="IN",'BOM_Phan II'!$Y$3,"")</f>
        <v/>
      </c>
      <c r="S620" s="153" t="str">
        <f t="shared" si="161"/>
        <v/>
      </c>
      <c r="T620">
        <f t="shared" si="162"/>
        <v>6</v>
      </c>
      <c r="U620" s="208" t="str">
        <f t="shared" si="170"/>
        <v>KIỆN 9</v>
      </c>
      <c r="V620" s="208" t="str">
        <f t="shared" si="163"/>
        <v/>
      </c>
      <c r="W620" s="240"/>
      <c r="X620" s="240"/>
      <c r="Y620" s="240" t="str">
        <f t="shared" si="164"/>
        <v/>
      </c>
      <c r="Z620" s="240"/>
      <c r="AD620" s="232" t="str">
        <f t="shared" si="165"/>
        <v/>
      </c>
      <c r="AE620" s="204"/>
      <c r="AX620" s="3" t="str">
        <f t="shared" si="155"/>
        <v/>
      </c>
    </row>
    <row r="621" spans="1:50" s="155" customFormat="1" ht="30" hidden="1" customHeight="1">
      <c r="A621" s="141" t="str">
        <f t="shared" si="166"/>
        <v/>
      </c>
      <c r="B621" s="141" t="str">
        <f t="shared" si="167"/>
        <v/>
      </c>
      <c r="C621" s="205" t="str" cm="1">
        <f t="array" ref="C621">IF(D621="","",
    IF(AND(ISNUMBER(D621), D621=INT(D621)),
        $V$6 &amp; " " &amp; (IFERROR(MAX($Y$12:$Y620), 0) + 1),
        IF(ISNUMBER(SEARCH(".", D621)), "", INDEX($C$12:$C621, MATCH(2, 1/($C$12:$C621 &lt;&gt; ""))))
    )
)</f>
        <v/>
      </c>
      <c r="D621" s="206"/>
      <c r="E621" s="206" t="str">
        <f>IF(AA621 = "", "",
    IF(ISNUMBER(SEARCH("Kiện", C621)),
       " GÓI " &amp; COUNTIF($C$13:C621, "*Kiện*") &amp; "/" &amp; COUNTIF($C$13:$C$1000, "*Kiện*") &amp; " " &amp; AA621,
       AA621)
)</f>
        <v/>
      </c>
      <c r="F621" s="206"/>
      <c r="G621" s="206"/>
      <c r="H621" s="206"/>
      <c r="I621" s="206"/>
      <c r="J621" s="206" t="str">
        <f t="shared" si="168"/>
        <v/>
      </c>
      <c r="K621" s="206" t="str">
        <f t="shared" si="156"/>
        <v/>
      </c>
      <c r="L621" s="206" t="str">
        <f t="shared" si="157"/>
        <v/>
      </c>
      <c r="M621" s="206" t="str">
        <f t="shared" si="158"/>
        <v/>
      </c>
      <c r="N621" s="206" t="str">
        <f t="shared" si="169"/>
        <v/>
      </c>
      <c r="O621" s="206" t="str">
        <f t="shared" si="159"/>
        <v/>
      </c>
      <c r="P621" s="165" t="str">
        <f t="shared" si="160"/>
        <v/>
      </c>
      <c r="Q621" s="207"/>
      <c r="R621" s="141" t="str">
        <f>IF(S621="IN",'BOM_Phan II'!$Y$3,"")</f>
        <v/>
      </c>
      <c r="S621" s="153" t="str">
        <f t="shared" si="161"/>
        <v/>
      </c>
      <c r="T621">
        <f t="shared" si="162"/>
        <v>6</v>
      </c>
      <c r="U621" s="208" t="str">
        <f t="shared" si="170"/>
        <v>KIỆN 9</v>
      </c>
      <c r="V621" s="208" t="str">
        <f t="shared" si="163"/>
        <v/>
      </c>
      <c r="W621" s="240"/>
      <c r="X621" s="240"/>
      <c r="Y621" s="240" t="str">
        <f t="shared" si="164"/>
        <v/>
      </c>
      <c r="Z621" s="240"/>
      <c r="AD621" s="232" t="str">
        <f t="shared" si="165"/>
        <v/>
      </c>
      <c r="AE621" s="204"/>
      <c r="AX621" s="3" t="str">
        <f t="shared" si="155"/>
        <v/>
      </c>
    </row>
    <row r="622" spans="1:50" s="155" customFormat="1" ht="30" hidden="1" customHeight="1">
      <c r="A622" s="141" t="str">
        <f t="shared" si="166"/>
        <v/>
      </c>
      <c r="B622" s="141" t="str">
        <f t="shared" si="167"/>
        <v/>
      </c>
      <c r="C622" s="205" t="str" cm="1">
        <f t="array" ref="C622">IF(D622="","",
    IF(AND(ISNUMBER(D622), D622=INT(D622)),
        $V$6 &amp; " " &amp; (IFERROR(MAX($Y$12:$Y621), 0) + 1),
        IF(ISNUMBER(SEARCH(".", D622)), "", INDEX($C$12:$C622, MATCH(2, 1/($C$12:$C622 &lt;&gt; ""))))
    )
)</f>
        <v/>
      </c>
      <c r="D622" s="206"/>
      <c r="E622" s="206" t="str">
        <f>IF(AA622 = "", "",
    IF(ISNUMBER(SEARCH("Kiện", C622)),
       " GÓI " &amp; COUNTIF($C$13:C622, "*Kiện*") &amp; "/" &amp; COUNTIF($C$13:$C$1000, "*Kiện*") &amp; " " &amp; AA622,
       AA622)
)</f>
        <v/>
      </c>
      <c r="F622" s="206"/>
      <c r="G622" s="206"/>
      <c r="H622" s="206"/>
      <c r="I622" s="206"/>
      <c r="J622" s="206" t="str">
        <f t="shared" si="168"/>
        <v/>
      </c>
      <c r="K622" s="206" t="str">
        <f t="shared" si="156"/>
        <v/>
      </c>
      <c r="L622" s="206" t="str">
        <f t="shared" si="157"/>
        <v/>
      </c>
      <c r="M622" s="206" t="str">
        <f t="shared" si="158"/>
        <v/>
      </c>
      <c r="N622" s="206" t="str">
        <f t="shared" si="169"/>
        <v/>
      </c>
      <c r="O622" s="206" t="str">
        <f t="shared" si="159"/>
        <v/>
      </c>
      <c r="P622" s="165" t="str">
        <f t="shared" si="160"/>
        <v/>
      </c>
      <c r="Q622" s="207"/>
      <c r="R622" s="141" t="str">
        <f>IF(S622="IN",'BOM_Phan II'!$Y$3,"")</f>
        <v/>
      </c>
      <c r="S622" s="153" t="str">
        <f t="shared" si="161"/>
        <v/>
      </c>
      <c r="T622">
        <f t="shared" si="162"/>
        <v>6</v>
      </c>
      <c r="U622" s="208" t="str">
        <f t="shared" si="170"/>
        <v>KIỆN 9</v>
      </c>
      <c r="V622" s="208" t="str">
        <f t="shared" si="163"/>
        <v/>
      </c>
      <c r="W622" s="240"/>
      <c r="X622" s="240"/>
      <c r="Y622" s="240" t="str">
        <f t="shared" si="164"/>
        <v/>
      </c>
      <c r="Z622" s="240"/>
      <c r="AD622" s="232" t="str">
        <f t="shared" si="165"/>
        <v/>
      </c>
      <c r="AE622" s="204"/>
      <c r="AX622" s="3" t="str">
        <f t="shared" si="155"/>
        <v/>
      </c>
    </row>
    <row r="623" spans="1:50" s="155" customFormat="1" ht="30" hidden="1" customHeight="1">
      <c r="A623" s="141" t="str">
        <f t="shared" si="166"/>
        <v/>
      </c>
      <c r="B623" s="141" t="str">
        <f t="shared" si="167"/>
        <v/>
      </c>
      <c r="C623" s="205" t="str" cm="1">
        <f t="array" ref="C623">IF(D623="","",
    IF(AND(ISNUMBER(D623), D623=INT(D623)),
        $V$6 &amp; " " &amp; (IFERROR(MAX($Y$12:$Y622), 0) + 1),
        IF(ISNUMBER(SEARCH(".", D623)), "", INDEX($C$12:$C623, MATCH(2, 1/($C$12:$C623 &lt;&gt; ""))))
    )
)</f>
        <v/>
      </c>
      <c r="D623" s="206"/>
      <c r="E623" s="206" t="str">
        <f>IF(AA623 = "", "",
    IF(ISNUMBER(SEARCH("Kiện", C623)),
       " GÓI " &amp; COUNTIF($C$13:C623, "*Kiện*") &amp; "/" &amp; COUNTIF($C$13:$C$1000, "*Kiện*") &amp; " " &amp; AA623,
       AA623)
)</f>
        <v/>
      </c>
      <c r="F623" s="206"/>
      <c r="G623" s="206"/>
      <c r="H623" s="206"/>
      <c r="I623" s="206"/>
      <c r="J623" s="206" t="str">
        <f t="shared" si="168"/>
        <v/>
      </c>
      <c r="K623" s="206" t="str">
        <f t="shared" si="156"/>
        <v/>
      </c>
      <c r="L623" s="206" t="str">
        <f t="shared" si="157"/>
        <v/>
      </c>
      <c r="M623" s="206" t="str">
        <f t="shared" si="158"/>
        <v/>
      </c>
      <c r="N623" s="206" t="str">
        <f t="shared" si="169"/>
        <v/>
      </c>
      <c r="O623" s="206" t="str">
        <f t="shared" si="159"/>
        <v/>
      </c>
      <c r="P623" s="165" t="str">
        <f t="shared" si="160"/>
        <v/>
      </c>
      <c r="Q623" s="207"/>
      <c r="R623" s="141" t="str">
        <f>IF(S623="IN",'BOM_Phan II'!$Y$3,"")</f>
        <v/>
      </c>
      <c r="S623" s="153" t="str">
        <f t="shared" si="161"/>
        <v/>
      </c>
      <c r="T623">
        <f t="shared" si="162"/>
        <v>6</v>
      </c>
      <c r="U623" s="208" t="str">
        <f t="shared" si="170"/>
        <v>KIỆN 9</v>
      </c>
      <c r="V623" s="208" t="str">
        <f t="shared" si="163"/>
        <v/>
      </c>
      <c r="W623" s="240"/>
      <c r="X623" s="240"/>
      <c r="Y623" s="240" t="str">
        <f t="shared" si="164"/>
        <v/>
      </c>
      <c r="Z623" s="240"/>
      <c r="AD623" s="232" t="str">
        <f t="shared" si="165"/>
        <v/>
      </c>
      <c r="AE623" s="204"/>
      <c r="AX623" s="3" t="str">
        <f t="shared" si="155"/>
        <v/>
      </c>
    </row>
    <row r="624" spans="1:50" s="155" customFormat="1" ht="30" hidden="1" customHeight="1">
      <c r="A624" s="141" t="str">
        <f t="shared" si="166"/>
        <v/>
      </c>
      <c r="B624" s="141" t="str">
        <f t="shared" si="167"/>
        <v/>
      </c>
      <c r="C624" s="205" t="str" cm="1">
        <f t="array" ref="C624">IF(D624="","",
    IF(AND(ISNUMBER(D624), D624=INT(D624)),
        $V$6 &amp; " " &amp; (IFERROR(MAX($Y$12:$Y623), 0) + 1),
        IF(ISNUMBER(SEARCH(".", D624)), "", INDEX($C$12:$C624, MATCH(2, 1/($C$12:$C624 &lt;&gt; ""))))
    )
)</f>
        <v/>
      </c>
      <c r="D624" s="206"/>
      <c r="E624" s="206" t="str">
        <f>IF(AA624 = "", "",
    IF(ISNUMBER(SEARCH("Kiện", C624)),
       " GÓI " &amp; COUNTIF($C$13:C624, "*Kiện*") &amp; "/" &amp; COUNTIF($C$13:$C$1000, "*Kiện*") &amp; " " &amp; AA624,
       AA624)
)</f>
        <v/>
      </c>
      <c r="F624" s="206"/>
      <c r="G624" s="206"/>
      <c r="H624" s="206"/>
      <c r="I624" s="206"/>
      <c r="J624" s="206" t="str">
        <f t="shared" si="168"/>
        <v/>
      </c>
      <c r="K624" s="206" t="str">
        <f t="shared" si="156"/>
        <v/>
      </c>
      <c r="L624" s="206" t="str">
        <f t="shared" si="157"/>
        <v/>
      </c>
      <c r="M624" s="206" t="str">
        <f t="shared" si="158"/>
        <v/>
      </c>
      <c r="N624" s="206" t="str">
        <f t="shared" si="169"/>
        <v/>
      </c>
      <c r="O624" s="206" t="str">
        <f t="shared" si="159"/>
        <v/>
      </c>
      <c r="P624" s="165" t="str">
        <f t="shared" si="160"/>
        <v/>
      </c>
      <c r="Q624" s="207"/>
      <c r="R624" s="141" t="str">
        <f>IF(S624="IN",'BOM_Phan II'!$Y$3,"")</f>
        <v/>
      </c>
      <c r="S624" s="153" t="str">
        <f t="shared" si="161"/>
        <v/>
      </c>
      <c r="T624">
        <f t="shared" si="162"/>
        <v>6</v>
      </c>
      <c r="U624" s="208" t="str">
        <f t="shared" si="170"/>
        <v>KIỆN 9</v>
      </c>
      <c r="V624" s="208" t="str">
        <f t="shared" si="163"/>
        <v/>
      </c>
      <c r="W624" s="240"/>
      <c r="X624" s="240"/>
      <c r="Y624" s="240" t="str">
        <f t="shared" si="164"/>
        <v/>
      </c>
      <c r="Z624" s="240"/>
      <c r="AD624" s="232" t="str">
        <f t="shared" si="165"/>
        <v/>
      </c>
      <c r="AE624" s="204"/>
      <c r="AX624" s="3" t="str">
        <f t="shared" si="155"/>
        <v/>
      </c>
    </row>
    <row r="625" spans="1:50" s="155" customFormat="1" ht="30" hidden="1" customHeight="1">
      <c r="A625" s="141" t="str">
        <f t="shared" si="166"/>
        <v/>
      </c>
      <c r="B625" s="141" t="str">
        <f t="shared" si="167"/>
        <v/>
      </c>
      <c r="C625" s="205" t="str" cm="1">
        <f t="array" ref="C625">IF(D625="","",
    IF(AND(ISNUMBER(D625), D625=INT(D625)),
        $V$6 &amp; " " &amp; (IFERROR(MAX($Y$12:$Y624), 0) + 1),
        IF(ISNUMBER(SEARCH(".", D625)), "", INDEX($C$12:$C625, MATCH(2, 1/($C$12:$C625 &lt;&gt; ""))))
    )
)</f>
        <v/>
      </c>
      <c r="D625" s="206"/>
      <c r="E625" s="206" t="str">
        <f>IF(AA625 = "", "",
    IF(ISNUMBER(SEARCH("Kiện", C625)),
       " GÓI " &amp; COUNTIF($C$13:C625, "*Kiện*") &amp; "/" &amp; COUNTIF($C$13:$C$1000, "*Kiện*") &amp; " " &amp; AA625,
       AA625)
)</f>
        <v/>
      </c>
      <c r="F625" s="206"/>
      <c r="G625" s="206"/>
      <c r="H625" s="206"/>
      <c r="I625" s="206"/>
      <c r="J625" s="206" t="str">
        <f t="shared" si="168"/>
        <v/>
      </c>
      <c r="K625" s="206" t="str">
        <f t="shared" si="156"/>
        <v/>
      </c>
      <c r="L625" s="206" t="str">
        <f t="shared" si="157"/>
        <v/>
      </c>
      <c r="M625" s="206" t="str">
        <f t="shared" si="158"/>
        <v/>
      </c>
      <c r="N625" s="206" t="str">
        <f t="shared" si="169"/>
        <v/>
      </c>
      <c r="O625" s="206" t="str">
        <f t="shared" si="159"/>
        <v/>
      </c>
      <c r="P625" s="165" t="str">
        <f t="shared" si="160"/>
        <v/>
      </c>
      <c r="Q625" s="207"/>
      <c r="R625" s="141" t="str">
        <f>IF(S625="IN",'BOM_Phan II'!$Y$3,"")</f>
        <v/>
      </c>
      <c r="S625" s="153" t="str">
        <f t="shared" si="161"/>
        <v/>
      </c>
      <c r="T625">
        <f t="shared" si="162"/>
        <v>6</v>
      </c>
      <c r="U625" s="208" t="str">
        <f t="shared" si="170"/>
        <v>KIỆN 9</v>
      </c>
      <c r="V625" s="208" t="str">
        <f t="shared" si="163"/>
        <v/>
      </c>
      <c r="W625" s="240"/>
      <c r="X625" s="240"/>
      <c r="Y625" s="240" t="str">
        <f t="shared" si="164"/>
        <v/>
      </c>
      <c r="Z625" s="240"/>
      <c r="AD625" s="232" t="str">
        <f t="shared" si="165"/>
        <v/>
      </c>
      <c r="AE625" s="204"/>
      <c r="AX625" s="3" t="str">
        <f t="shared" si="155"/>
        <v/>
      </c>
    </row>
    <row r="626" spans="1:50" s="155" customFormat="1" ht="30" hidden="1" customHeight="1">
      <c r="A626" s="141" t="str">
        <f t="shared" si="166"/>
        <v/>
      </c>
      <c r="B626" s="141" t="str">
        <f t="shared" si="167"/>
        <v/>
      </c>
      <c r="C626" s="205" t="str" cm="1">
        <f t="array" ref="C626">IF(D626="","",
    IF(AND(ISNUMBER(D626), D626=INT(D626)),
        $V$6 &amp; " " &amp; (IFERROR(MAX($Y$12:$Y625), 0) + 1),
        IF(ISNUMBER(SEARCH(".", D626)), "", INDEX($C$12:$C626, MATCH(2, 1/($C$12:$C626 &lt;&gt; ""))))
    )
)</f>
        <v/>
      </c>
      <c r="D626" s="206"/>
      <c r="E626" s="206" t="str">
        <f>IF(AA626 = "", "",
    IF(ISNUMBER(SEARCH("Kiện", C626)),
       " GÓI " &amp; COUNTIF($C$13:C626, "*Kiện*") &amp; "/" &amp; COUNTIF($C$13:$C$1000, "*Kiện*") &amp; " " &amp; AA626,
       AA626)
)</f>
        <v/>
      </c>
      <c r="F626" s="206"/>
      <c r="G626" s="206"/>
      <c r="H626" s="206"/>
      <c r="I626" s="206"/>
      <c r="J626" s="206" t="str">
        <f t="shared" si="168"/>
        <v/>
      </c>
      <c r="K626" s="206" t="str">
        <f t="shared" si="156"/>
        <v/>
      </c>
      <c r="L626" s="206" t="str">
        <f t="shared" si="157"/>
        <v/>
      </c>
      <c r="M626" s="206" t="str">
        <f t="shared" si="158"/>
        <v/>
      </c>
      <c r="N626" s="206" t="str">
        <f t="shared" si="169"/>
        <v/>
      </c>
      <c r="O626" s="206" t="str">
        <f t="shared" si="159"/>
        <v/>
      </c>
      <c r="P626" s="165" t="str">
        <f t="shared" si="160"/>
        <v/>
      </c>
      <c r="Q626" s="207"/>
      <c r="R626" s="141" t="str">
        <f>IF(S626="IN",'BOM_Phan II'!$Y$3,"")</f>
        <v/>
      </c>
      <c r="S626" s="153" t="str">
        <f t="shared" si="161"/>
        <v/>
      </c>
      <c r="T626">
        <f t="shared" si="162"/>
        <v>6</v>
      </c>
      <c r="U626" s="208" t="str">
        <f t="shared" si="170"/>
        <v>KIỆN 9</v>
      </c>
      <c r="V626" s="208" t="str">
        <f t="shared" si="163"/>
        <v/>
      </c>
      <c r="W626" s="240"/>
      <c r="X626" s="240"/>
      <c r="Y626" s="240" t="str">
        <f t="shared" si="164"/>
        <v/>
      </c>
      <c r="Z626" s="240"/>
      <c r="AD626" s="232" t="str">
        <f t="shared" si="165"/>
        <v/>
      </c>
      <c r="AE626" s="204"/>
      <c r="AX626" s="3" t="str">
        <f t="shared" si="155"/>
        <v/>
      </c>
    </row>
    <row r="627" spans="1:50" s="155" customFormat="1" ht="30" hidden="1" customHeight="1">
      <c r="A627" s="141" t="str">
        <f t="shared" si="166"/>
        <v/>
      </c>
      <c r="B627" s="141" t="str">
        <f t="shared" si="167"/>
        <v/>
      </c>
      <c r="C627" s="205" t="str" cm="1">
        <f t="array" ref="C627">IF(D627="","",
    IF(AND(ISNUMBER(D627), D627=INT(D627)),
        $V$6 &amp; " " &amp; (IFERROR(MAX($Y$12:$Y626), 0) + 1),
        IF(ISNUMBER(SEARCH(".", D627)), "", INDEX($C$12:$C627, MATCH(2, 1/($C$12:$C627 &lt;&gt; ""))))
    )
)</f>
        <v/>
      </c>
      <c r="D627" s="206"/>
      <c r="E627" s="206" t="str">
        <f>IF(AA627 = "", "",
    IF(ISNUMBER(SEARCH("Kiện", C627)),
       " GÓI " &amp; COUNTIF($C$13:C627, "*Kiện*") &amp; "/" &amp; COUNTIF($C$13:$C$1000, "*Kiện*") &amp; " " &amp; AA627,
       AA627)
)</f>
        <v/>
      </c>
      <c r="F627" s="206"/>
      <c r="G627" s="206"/>
      <c r="H627" s="206"/>
      <c r="I627" s="206"/>
      <c r="J627" s="206" t="str">
        <f t="shared" si="168"/>
        <v/>
      </c>
      <c r="K627" s="206" t="str">
        <f t="shared" si="156"/>
        <v/>
      </c>
      <c r="L627" s="206" t="str">
        <f t="shared" si="157"/>
        <v/>
      </c>
      <c r="M627" s="206" t="str">
        <f t="shared" si="158"/>
        <v/>
      </c>
      <c r="N627" s="206" t="str">
        <f t="shared" si="169"/>
        <v/>
      </c>
      <c r="O627" s="206" t="str">
        <f t="shared" si="159"/>
        <v/>
      </c>
      <c r="P627" s="165" t="str">
        <f t="shared" si="160"/>
        <v/>
      </c>
      <c r="Q627" s="207"/>
      <c r="R627" s="141" t="str">
        <f>IF(S627="IN",'BOM_Phan II'!$Y$3,"")</f>
        <v/>
      </c>
      <c r="S627" s="153" t="str">
        <f t="shared" si="161"/>
        <v/>
      </c>
      <c r="T627">
        <f t="shared" si="162"/>
        <v>6</v>
      </c>
      <c r="U627" s="208" t="str">
        <f t="shared" si="170"/>
        <v>KIỆN 9</v>
      </c>
      <c r="V627" s="208" t="str">
        <f t="shared" si="163"/>
        <v/>
      </c>
      <c r="W627" s="240"/>
      <c r="X627" s="240"/>
      <c r="Y627" s="240" t="str">
        <f t="shared" si="164"/>
        <v/>
      </c>
      <c r="Z627" s="240"/>
      <c r="AD627" s="232" t="str">
        <f t="shared" si="165"/>
        <v/>
      </c>
      <c r="AE627" s="204"/>
      <c r="AX627" s="3" t="str">
        <f t="shared" si="155"/>
        <v/>
      </c>
    </row>
    <row r="628" spans="1:50" s="155" customFormat="1" ht="30" hidden="1" customHeight="1">
      <c r="A628" s="141" t="str">
        <f t="shared" si="166"/>
        <v/>
      </c>
      <c r="B628" s="141" t="str">
        <f t="shared" si="167"/>
        <v/>
      </c>
      <c r="C628" s="205" t="str" cm="1">
        <f t="array" ref="C628">IF(D628="","",
    IF(AND(ISNUMBER(D628), D628=INT(D628)),
        $V$6 &amp; " " &amp; (IFERROR(MAX($Y$12:$Y627), 0) + 1),
        IF(ISNUMBER(SEARCH(".", D628)), "", INDEX($C$12:$C628, MATCH(2, 1/($C$12:$C628 &lt;&gt; ""))))
    )
)</f>
        <v/>
      </c>
      <c r="D628" s="206"/>
      <c r="E628" s="206" t="str">
        <f>IF(AA628 = "", "",
    IF(ISNUMBER(SEARCH("Kiện", C628)),
       " GÓI " &amp; COUNTIF($C$13:C628, "*Kiện*") &amp; "/" &amp; COUNTIF($C$13:$C$1000, "*Kiện*") &amp; " " &amp; AA628,
       AA628)
)</f>
        <v/>
      </c>
      <c r="F628" s="206"/>
      <c r="G628" s="206"/>
      <c r="H628" s="206"/>
      <c r="I628" s="206"/>
      <c r="J628" s="206" t="str">
        <f t="shared" si="168"/>
        <v/>
      </c>
      <c r="K628" s="206" t="str">
        <f t="shared" si="156"/>
        <v/>
      </c>
      <c r="L628" s="206" t="str">
        <f t="shared" si="157"/>
        <v/>
      </c>
      <c r="M628" s="206" t="str">
        <f t="shared" si="158"/>
        <v/>
      </c>
      <c r="N628" s="206" t="str">
        <f t="shared" si="169"/>
        <v/>
      </c>
      <c r="O628" s="206" t="str">
        <f t="shared" si="159"/>
        <v/>
      </c>
      <c r="P628" s="165" t="str">
        <f t="shared" si="160"/>
        <v/>
      </c>
      <c r="Q628" s="207"/>
      <c r="R628" s="141" t="str">
        <f>IF(S628="IN",'BOM_Phan II'!$Y$3,"")</f>
        <v/>
      </c>
      <c r="S628" s="153" t="str">
        <f t="shared" si="161"/>
        <v/>
      </c>
      <c r="T628">
        <f t="shared" si="162"/>
        <v>6</v>
      </c>
      <c r="U628" s="208" t="str">
        <f t="shared" si="170"/>
        <v>KIỆN 9</v>
      </c>
      <c r="V628" s="208" t="str">
        <f t="shared" si="163"/>
        <v/>
      </c>
      <c r="W628" s="240"/>
      <c r="X628" s="240"/>
      <c r="Y628" s="240" t="str">
        <f t="shared" si="164"/>
        <v/>
      </c>
      <c r="Z628" s="240"/>
      <c r="AD628" s="232" t="str">
        <f t="shared" si="165"/>
        <v/>
      </c>
      <c r="AE628" s="204"/>
      <c r="AX628" s="3" t="str">
        <f t="shared" si="155"/>
        <v/>
      </c>
    </row>
    <row r="629" spans="1:50" s="155" customFormat="1" ht="30" hidden="1" customHeight="1">
      <c r="A629" s="141" t="str">
        <f t="shared" si="166"/>
        <v/>
      </c>
      <c r="B629" s="141" t="str">
        <f t="shared" si="167"/>
        <v/>
      </c>
      <c r="C629" s="205" t="str" cm="1">
        <f t="array" ref="C629">IF(D629="","",
    IF(AND(ISNUMBER(D629), D629=INT(D629)),
        $V$6 &amp; " " &amp; (IFERROR(MAX($Y$12:$Y628), 0) + 1),
        IF(ISNUMBER(SEARCH(".", D629)), "", INDEX($C$12:$C629, MATCH(2, 1/($C$12:$C629 &lt;&gt; ""))))
    )
)</f>
        <v/>
      </c>
      <c r="D629" s="206"/>
      <c r="E629" s="206" t="str">
        <f>IF(AA629 = "", "",
    IF(ISNUMBER(SEARCH("Kiện", C629)),
       " GÓI " &amp; COUNTIF($C$13:C629, "*Kiện*") &amp; "/" &amp; COUNTIF($C$13:$C$1000, "*Kiện*") &amp; " " &amp; AA629,
       AA629)
)</f>
        <v/>
      </c>
      <c r="F629" s="206"/>
      <c r="G629" s="206"/>
      <c r="H629" s="206"/>
      <c r="I629" s="206"/>
      <c r="J629" s="206" t="str">
        <f t="shared" si="168"/>
        <v/>
      </c>
      <c r="K629" s="206" t="str">
        <f t="shared" si="156"/>
        <v/>
      </c>
      <c r="L629" s="206" t="str">
        <f t="shared" si="157"/>
        <v/>
      </c>
      <c r="M629" s="206" t="str">
        <f t="shared" si="158"/>
        <v/>
      </c>
      <c r="N629" s="206" t="str">
        <f t="shared" si="169"/>
        <v/>
      </c>
      <c r="O629" s="206" t="str">
        <f t="shared" si="159"/>
        <v/>
      </c>
      <c r="P629" s="165" t="str">
        <f t="shared" si="160"/>
        <v/>
      </c>
      <c r="Q629" s="207"/>
      <c r="R629" s="141" t="str">
        <f>IF(S629="IN",'BOM_Phan II'!$Y$3,"")</f>
        <v/>
      </c>
      <c r="S629" s="153" t="str">
        <f t="shared" si="161"/>
        <v/>
      </c>
      <c r="T629">
        <f t="shared" si="162"/>
        <v>6</v>
      </c>
      <c r="U629" s="208" t="str">
        <f t="shared" si="170"/>
        <v>KIỆN 9</v>
      </c>
      <c r="V629" s="208" t="str">
        <f t="shared" si="163"/>
        <v/>
      </c>
      <c r="W629" s="240"/>
      <c r="X629" s="240"/>
      <c r="Y629" s="240" t="str">
        <f t="shared" si="164"/>
        <v/>
      </c>
      <c r="Z629" s="240"/>
      <c r="AD629" s="232" t="str">
        <f t="shared" si="165"/>
        <v/>
      </c>
      <c r="AE629" s="204"/>
      <c r="AX629" s="3" t="str">
        <f t="shared" si="155"/>
        <v/>
      </c>
    </row>
    <row r="630" spans="1:50" s="155" customFormat="1" ht="30" hidden="1" customHeight="1">
      <c r="A630" s="141" t="str">
        <f t="shared" si="166"/>
        <v/>
      </c>
      <c r="B630" s="141" t="str">
        <f t="shared" si="167"/>
        <v/>
      </c>
      <c r="C630" s="205" t="str" cm="1">
        <f t="array" ref="C630">IF(D630="","",
    IF(AND(ISNUMBER(D630), D630=INT(D630)),
        $V$6 &amp; " " &amp; (IFERROR(MAX($Y$12:$Y629), 0) + 1),
        IF(ISNUMBER(SEARCH(".", D630)), "", INDEX($C$12:$C630, MATCH(2, 1/($C$12:$C630 &lt;&gt; ""))))
    )
)</f>
        <v/>
      </c>
      <c r="D630" s="206"/>
      <c r="E630" s="206" t="str">
        <f>IF(AA630 = "", "",
    IF(ISNUMBER(SEARCH("Kiện", C630)),
       " GÓI " &amp; COUNTIF($C$13:C630, "*Kiện*") &amp; "/" &amp; COUNTIF($C$13:$C$1000, "*Kiện*") &amp; " " &amp; AA630,
       AA630)
)</f>
        <v/>
      </c>
      <c r="F630" s="206"/>
      <c r="G630" s="206"/>
      <c r="H630" s="206"/>
      <c r="I630" s="206"/>
      <c r="J630" s="206" t="str">
        <f t="shared" si="168"/>
        <v/>
      </c>
      <c r="K630" s="206" t="str">
        <f t="shared" si="156"/>
        <v/>
      </c>
      <c r="L630" s="206" t="str">
        <f t="shared" si="157"/>
        <v/>
      </c>
      <c r="M630" s="206" t="str">
        <f t="shared" si="158"/>
        <v/>
      </c>
      <c r="N630" s="206" t="str">
        <f t="shared" si="169"/>
        <v/>
      </c>
      <c r="O630" s="206" t="str">
        <f t="shared" si="159"/>
        <v/>
      </c>
      <c r="P630" s="165" t="str">
        <f t="shared" si="160"/>
        <v/>
      </c>
      <c r="Q630" s="207"/>
      <c r="R630" s="141" t="str">
        <f>IF(S630="IN",'BOM_Phan II'!$Y$3,"")</f>
        <v/>
      </c>
      <c r="S630" s="153" t="str">
        <f t="shared" si="161"/>
        <v/>
      </c>
      <c r="T630">
        <f t="shared" si="162"/>
        <v>6</v>
      </c>
      <c r="U630" s="208" t="str">
        <f t="shared" si="170"/>
        <v>KIỆN 9</v>
      </c>
      <c r="V630" s="208" t="str">
        <f t="shared" si="163"/>
        <v/>
      </c>
      <c r="W630" s="240"/>
      <c r="X630" s="240"/>
      <c r="Y630" s="240" t="str">
        <f t="shared" si="164"/>
        <v/>
      </c>
      <c r="Z630" s="240"/>
      <c r="AD630" s="232" t="str">
        <f t="shared" si="165"/>
        <v/>
      </c>
      <c r="AE630" s="204"/>
      <c r="AX630" s="3" t="str">
        <f t="shared" si="155"/>
        <v/>
      </c>
    </row>
    <row r="631" spans="1:50" s="155" customFormat="1" ht="30" hidden="1" customHeight="1">
      <c r="A631" s="141" t="str">
        <f t="shared" si="166"/>
        <v/>
      </c>
      <c r="B631" s="141" t="str">
        <f t="shared" si="167"/>
        <v/>
      </c>
      <c r="C631" s="205" t="str" cm="1">
        <f t="array" ref="C631">IF(D631="","",
    IF(AND(ISNUMBER(D631), D631=INT(D631)),
        $V$6 &amp; " " &amp; (IFERROR(MAX($Y$12:$Y630), 0) + 1),
        IF(ISNUMBER(SEARCH(".", D631)), "", INDEX($C$12:$C631, MATCH(2, 1/($C$12:$C631 &lt;&gt; ""))))
    )
)</f>
        <v/>
      </c>
      <c r="D631" s="206"/>
      <c r="E631" s="206" t="str">
        <f>IF(AA631 = "", "",
    IF(ISNUMBER(SEARCH("Kiện", C631)),
       " GÓI " &amp; COUNTIF($C$13:C631, "*Kiện*") &amp; "/" &amp; COUNTIF($C$13:$C$1000, "*Kiện*") &amp; " " &amp; AA631,
       AA631)
)</f>
        <v/>
      </c>
      <c r="F631" s="206"/>
      <c r="G631" s="206"/>
      <c r="H631" s="206"/>
      <c r="I631" s="206"/>
      <c r="J631" s="206" t="str">
        <f t="shared" si="168"/>
        <v/>
      </c>
      <c r="K631" s="206" t="str">
        <f t="shared" si="156"/>
        <v/>
      </c>
      <c r="L631" s="206" t="str">
        <f t="shared" si="157"/>
        <v/>
      </c>
      <c r="M631" s="206" t="str">
        <f t="shared" si="158"/>
        <v/>
      </c>
      <c r="N631" s="206" t="str">
        <f t="shared" si="169"/>
        <v/>
      </c>
      <c r="O631" s="206" t="str">
        <f t="shared" si="159"/>
        <v/>
      </c>
      <c r="P631" s="165" t="str">
        <f t="shared" si="160"/>
        <v/>
      </c>
      <c r="Q631" s="207"/>
      <c r="R631" s="141" t="str">
        <f>IF(S631="IN",'BOM_Phan II'!$Y$3,"")</f>
        <v/>
      </c>
      <c r="S631" s="153" t="str">
        <f t="shared" si="161"/>
        <v/>
      </c>
      <c r="T631">
        <f t="shared" si="162"/>
        <v>6</v>
      </c>
      <c r="U631" s="208" t="str">
        <f t="shared" si="170"/>
        <v>KIỆN 9</v>
      </c>
      <c r="V631" s="208" t="str">
        <f t="shared" si="163"/>
        <v/>
      </c>
      <c r="W631" s="240"/>
      <c r="X631" s="240"/>
      <c r="Y631" s="240" t="str">
        <f t="shared" si="164"/>
        <v/>
      </c>
      <c r="Z631" s="240"/>
      <c r="AD631" s="232" t="str">
        <f t="shared" si="165"/>
        <v/>
      </c>
      <c r="AE631" s="204"/>
      <c r="AX631" s="3" t="str">
        <f t="shared" si="155"/>
        <v/>
      </c>
    </row>
    <row r="632" spans="1:50" s="155" customFormat="1" ht="30" hidden="1" customHeight="1">
      <c r="A632" s="141" t="str">
        <f t="shared" si="166"/>
        <v/>
      </c>
      <c r="B632" s="141" t="str">
        <f t="shared" si="167"/>
        <v/>
      </c>
      <c r="C632" s="205" t="str" cm="1">
        <f t="array" ref="C632">IF(D632="","",
    IF(AND(ISNUMBER(D632), D632=INT(D632)),
        $V$6 &amp; " " &amp; (IFERROR(MAX($Y$12:$Y631), 0) + 1),
        IF(ISNUMBER(SEARCH(".", D632)), "", INDEX($C$12:$C632, MATCH(2, 1/($C$12:$C632 &lt;&gt; ""))))
    )
)</f>
        <v/>
      </c>
      <c r="D632" s="206"/>
      <c r="E632" s="206" t="str">
        <f>IF(AA632 = "", "",
    IF(ISNUMBER(SEARCH("Kiện", C632)),
       " GÓI " &amp; COUNTIF($C$13:C632, "*Kiện*") &amp; "/" &amp; COUNTIF($C$13:$C$1000, "*Kiện*") &amp; " " &amp; AA632,
       AA632)
)</f>
        <v/>
      </c>
      <c r="F632" s="206"/>
      <c r="G632" s="206"/>
      <c r="H632" s="206"/>
      <c r="I632" s="206"/>
      <c r="J632" s="206" t="str">
        <f t="shared" si="168"/>
        <v/>
      </c>
      <c r="K632" s="206" t="str">
        <f t="shared" si="156"/>
        <v/>
      </c>
      <c r="L632" s="206" t="str">
        <f t="shared" si="157"/>
        <v/>
      </c>
      <c r="M632" s="206" t="str">
        <f t="shared" si="158"/>
        <v/>
      </c>
      <c r="N632" s="206" t="str">
        <f t="shared" si="169"/>
        <v/>
      </c>
      <c r="O632" s="206" t="str">
        <f t="shared" si="159"/>
        <v/>
      </c>
      <c r="P632" s="165" t="str">
        <f t="shared" si="160"/>
        <v/>
      </c>
      <c r="Q632" s="207"/>
      <c r="R632" s="141" t="str">
        <f>IF(S632="IN",'BOM_Phan II'!$Y$3,"")</f>
        <v/>
      </c>
      <c r="S632" s="153" t="str">
        <f t="shared" si="161"/>
        <v/>
      </c>
      <c r="T632">
        <f t="shared" si="162"/>
        <v>6</v>
      </c>
      <c r="U632" s="208" t="str">
        <f t="shared" si="170"/>
        <v>KIỆN 9</v>
      </c>
      <c r="V632" s="208" t="str">
        <f t="shared" si="163"/>
        <v/>
      </c>
      <c r="W632" s="240"/>
      <c r="X632" s="240"/>
      <c r="Y632" s="240" t="str">
        <f t="shared" si="164"/>
        <v/>
      </c>
      <c r="Z632" s="240"/>
      <c r="AD632" s="232" t="str">
        <f t="shared" si="165"/>
        <v/>
      </c>
      <c r="AE632" s="204"/>
      <c r="AX632" s="3" t="str">
        <f t="shared" si="155"/>
        <v/>
      </c>
    </row>
    <row r="633" spans="1:50" s="155" customFormat="1" ht="30" hidden="1" customHeight="1">
      <c r="A633" s="141" t="str">
        <f t="shared" si="166"/>
        <v/>
      </c>
      <c r="B633" s="141" t="str">
        <f t="shared" si="167"/>
        <v/>
      </c>
      <c r="C633" s="205" t="str" cm="1">
        <f t="array" ref="C633">IF(D633="","",
    IF(AND(ISNUMBER(D633), D633=INT(D633)),
        $V$6 &amp; " " &amp; (IFERROR(MAX($Y$12:$Y632), 0) + 1),
        IF(ISNUMBER(SEARCH(".", D633)), "", INDEX($C$12:$C633, MATCH(2, 1/($C$12:$C633 &lt;&gt; ""))))
    )
)</f>
        <v/>
      </c>
      <c r="D633" s="206"/>
      <c r="E633" s="206" t="str">
        <f>IF(AA633 = "", "",
    IF(ISNUMBER(SEARCH("Kiện", C633)),
       " GÓI " &amp; COUNTIF($C$13:C633, "*Kiện*") &amp; "/" &amp; COUNTIF($C$13:$C$1000, "*Kiện*") &amp; " " &amp; AA633,
       AA633)
)</f>
        <v/>
      </c>
      <c r="F633" s="206"/>
      <c r="G633" s="206"/>
      <c r="H633" s="206"/>
      <c r="I633" s="206"/>
      <c r="J633" s="206" t="str">
        <f t="shared" si="168"/>
        <v/>
      </c>
      <c r="K633" s="206" t="str">
        <f t="shared" si="156"/>
        <v/>
      </c>
      <c r="L633" s="206" t="str">
        <f t="shared" si="157"/>
        <v/>
      </c>
      <c r="M633" s="206" t="str">
        <f t="shared" si="158"/>
        <v/>
      </c>
      <c r="N633" s="206" t="str">
        <f t="shared" si="169"/>
        <v/>
      </c>
      <c r="O633" s="206" t="str">
        <f t="shared" si="159"/>
        <v/>
      </c>
      <c r="P633" s="165" t="str">
        <f t="shared" si="160"/>
        <v/>
      </c>
      <c r="Q633" s="207"/>
      <c r="R633" s="141" t="str">
        <f>IF(S633="IN",'BOM_Phan II'!$Y$3,"")</f>
        <v/>
      </c>
      <c r="S633" s="153" t="str">
        <f t="shared" si="161"/>
        <v/>
      </c>
      <c r="T633">
        <f t="shared" si="162"/>
        <v>6</v>
      </c>
      <c r="U633" s="208" t="str">
        <f t="shared" si="170"/>
        <v>KIỆN 9</v>
      </c>
      <c r="V633" s="208" t="str">
        <f t="shared" si="163"/>
        <v/>
      </c>
      <c r="W633" s="240"/>
      <c r="X633" s="240"/>
      <c r="Y633" s="240" t="str">
        <f t="shared" si="164"/>
        <v/>
      </c>
      <c r="Z633" s="240"/>
      <c r="AD633" s="232" t="str">
        <f t="shared" si="165"/>
        <v/>
      </c>
      <c r="AE633" s="204"/>
      <c r="AX633" s="3" t="str">
        <f t="shared" si="155"/>
        <v/>
      </c>
    </row>
    <row r="634" spans="1:50" s="155" customFormat="1" ht="30" hidden="1" customHeight="1">
      <c r="A634" s="141" t="str">
        <f t="shared" si="166"/>
        <v/>
      </c>
      <c r="B634" s="141" t="str">
        <f t="shared" si="167"/>
        <v/>
      </c>
      <c r="C634" s="205" t="str" cm="1">
        <f t="array" ref="C634">IF(D634="","",
    IF(AND(ISNUMBER(D634), D634=INT(D634)),
        $V$6 &amp; " " &amp; (IFERROR(MAX($Y$12:$Y633), 0) + 1),
        IF(ISNUMBER(SEARCH(".", D634)), "", INDEX($C$12:$C634, MATCH(2, 1/($C$12:$C634 &lt;&gt; ""))))
    )
)</f>
        <v/>
      </c>
      <c r="D634" s="206"/>
      <c r="E634" s="206" t="str">
        <f>IF(AA634 = "", "",
    IF(ISNUMBER(SEARCH("Kiện", C634)),
       " GÓI " &amp; COUNTIF($C$13:C634, "*Kiện*") &amp; "/" &amp; COUNTIF($C$13:$C$1000, "*Kiện*") &amp; " " &amp; AA634,
       AA634)
)</f>
        <v/>
      </c>
      <c r="F634" s="206"/>
      <c r="G634" s="206"/>
      <c r="H634" s="206"/>
      <c r="I634" s="206"/>
      <c r="J634" s="206" t="str">
        <f t="shared" si="168"/>
        <v/>
      </c>
      <c r="K634" s="206" t="str">
        <f t="shared" si="156"/>
        <v/>
      </c>
      <c r="L634" s="206" t="str">
        <f t="shared" si="157"/>
        <v/>
      </c>
      <c r="M634" s="206" t="str">
        <f t="shared" si="158"/>
        <v/>
      </c>
      <c r="N634" s="206" t="str">
        <f t="shared" si="169"/>
        <v/>
      </c>
      <c r="O634" s="206" t="str">
        <f t="shared" si="159"/>
        <v/>
      </c>
      <c r="P634" s="165" t="str">
        <f t="shared" si="160"/>
        <v/>
      </c>
      <c r="Q634" s="207"/>
      <c r="R634" s="141" t="str">
        <f>IF(S634="IN",'BOM_Phan II'!$Y$3,"")</f>
        <v/>
      </c>
      <c r="S634" s="153" t="str">
        <f t="shared" si="161"/>
        <v/>
      </c>
      <c r="T634">
        <f t="shared" si="162"/>
        <v>6</v>
      </c>
      <c r="U634" s="208" t="str">
        <f t="shared" si="170"/>
        <v>KIỆN 9</v>
      </c>
      <c r="V634" s="208" t="str">
        <f t="shared" si="163"/>
        <v/>
      </c>
      <c r="W634" s="240"/>
      <c r="X634" s="240"/>
      <c r="Y634" s="240" t="str">
        <f t="shared" si="164"/>
        <v/>
      </c>
      <c r="Z634" s="240"/>
      <c r="AD634" s="232" t="str">
        <f t="shared" si="165"/>
        <v/>
      </c>
      <c r="AE634" s="204"/>
      <c r="AX634" s="3" t="str">
        <f t="shared" si="155"/>
        <v/>
      </c>
    </row>
    <row r="635" spans="1:50" s="155" customFormat="1" ht="30" hidden="1" customHeight="1">
      <c r="A635" s="141" t="str">
        <f t="shared" si="166"/>
        <v/>
      </c>
      <c r="B635" s="141" t="str">
        <f t="shared" si="167"/>
        <v/>
      </c>
      <c r="C635" s="205" t="str" cm="1">
        <f t="array" ref="C635">IF(D635="","",
    IF(AND(ISNUMBER(D635), D635=INT(D635)),
        $V$6 &amp; " " &amp; (IFERROR(MAX($Y$12:$Y634), 0) + 1),
        IF(ISNUMBER(SEARCH(".", D635)), "", INDEX($C$12:$C635, MATCH(2, 1/($C$12:$C635 &lt;&gt; ""))))
    )
)</f>
        <v/>
      </c>
      <c r="D635" s="206"/>
      <c r="E635" s="206" t="str">
        <f>IF(AA635 = "", "",
    IF(ISNUMBER(SEARCH("Kiện", C635)),
       " GÓI " &amp; COUNTIF($C$13:C635, "*Kiện*") &amp; "/" &amp; COUNTIF($C$13:$C$1000, "*Kiện*") &amp; " " &amp; AA635,
       AA635)
)</f>
        <v/>
      </c>
      <c r="F635" s="206"/>
      <c r="G635" s="206"/>
      <c r="H635" s="206"/>
      <c r="I635" s="206"/>
      <c r="J635" s="206" t="str">
        <f t="shared" si="168"/>
        <v/>
      </c>
      <c r="K635" s="206" t="str">
        <f t="shared" si="156"/>
        <v/>
      </c>
      <c r="L635" s="206" t="str">
        <f t="shared" si="157"/>
        <v/>
      </c>
      <c r="M635" s="206" t="str">
        <f t="shared" si="158"/>
        <v/>
      </c>
      <c r="N635" s="206" t="str">
        <f t="shared" si="169"/>
        <v/>
      </c>
      <c r="O635" s="206" t="str">
        <f t="shared" si="159"/>
        <v/>
      </c>
      <c r="P635" s="165" t="str">
        <f t="shared" si="160"/>
        <v/>
      </c>
      <c r="Q635" s="207"/>
      <c r="R635" s="141" t="str">
        <f>IF(S635="IN",'BOM_Phan II'!$Y$3,"")</f>
        <v/>
      </c>
      <c r="S635" s="153" t="str">
        <f t="shared" si="161"/>
        <v/>
      </c>
      <c r="T635">
        <f t="shared" si="162"/>
        <v>6</v>
      </c>
      <c r="U635" s="208" t="str">
        <f t="shared" si="170"/>
        <v>KIỆN 9</v>
      </c>
      <c r="V635" s="208" t="str">
        <f t="shared" si="163"/>
        <v/>
      </c>
      <c r="W635" s="240"/>
      <c r="X635" s="240"/>
      <c r="Y635" s="240" t="str">
        <f t="shared" si="164"/>
        <v/>
      </c>
      <c r="Z635" s="240"/>
      <c r="AD635" s="232" t="str">
        <f t="shared" si="165"/>
        <v/>
      </c>
      <c r="AE635" s="204"/>
      <c r="AX635" s="3" t="str">
        <f t="shared" si="155"/>
        <v/>
      </c>
    </row>
    <row r="636" spans="1:50" s="155" customFormat="1" ht="30" hidden="1" customHeight="1">
      <c r="A636" s="141" t="str">
        <f t="shared" si="166"/>
        <v/>
      </c>
      <c r="B636" s="141" t="str">
        <f t="shared" si="167"/>
        <v/>
      </c>
      <c r="C636" s="205" t="str" cm="1">
        <f t="array" ref="C636">IF(D636="","",
    IF(AND(ISNUMBER(D636), D636=INT(D636)),
        $V$6 &amp; " " &amp; (IFERROR(MAX($Y$12:$Y635), 0) + 1),
        IF(ISNUMBER(SEARCH(".", D636)), "", INDEX($C$12:$C636, MATCH(2, 1/($C$12:$C636 &lt;&gt; ""))))
    )
)</f>
        <v/>
      </c>
      <c r="D636" s="206"/>
      <c r="E636" s="206" t="str">
        <f>IF(AA636 = "", "",
    IF(ISNUMBER(SEARCH("Kiện", C636)),
       " GÓI " &amp; COUNTIF($C$13:C636, "*Kiện*") &amp; "/" &amp; COUNTIF($C$13:$C$1000, "*Kiện*") &amp; " " &amp; AA636,
       AA636)
)</f>
        <v/>
      </c>
      <c r="F636" s="206"/>
      <c r="G636" s="206"/>
      <c r="H636" s="206"/>
      <c r="I636" s="206"/>
      <c r="J636" s="206" t="str">
        <f t="shared" si="168"/>
        <v/>
      </c>
      <c r="K636" s="206" t="str">
        <f t="shared" si="156"/>
        <v/>
      </c>
      <c r="L636" s="206" t="str">
        <f t="shared" si="157"/>
        <v/>
      </c>
      <c r="M636" s="206" t="str">
        <f t="shared" si="158"/>
        <v/>
      </c>
      <c r="N636" s="206" t="str">
        <f t="shared" si="169"/>
        <v/>
      </c>
      <c r="O636" s="206" t="str">
        <f t="shared" si="159"/>
        <v/>
      </c>
      <c r="P636" s="165" t="str">
        <f t="shared" si="160"/>
        <v/>
      </c>
      <c r="Q636" s="207"/>
      <c r="R636" s="141" t="str">
        <f>IF(S636="IN",'BOM_Phan II'!$Y$3,"")</f>
        <v/>
      </c>
      <c r="S636" s="153" t="str">
        <f t="shared" si="161"/>
        <v/>
      </c>
      <c r="T636">
        <f t="shared" si="162"/>
        <v>6</v>
      </c>
      <c r="U636" s="208" t="str">
        <f t="shared" si="170"/>
        <v>KIỆN 9</v>
      </c>
      <c r="V636" s="208" t="str">
        <f t="shared" si="163"/>
        <v/>
      </c>
      <c r="W636" s="240"/>
      <c r="X636" s="240"/>
      <c r="Y636" s="240" t="str">
        <f t="shared" si="164"/>
        <v/>
      </c>
      <c r="Z636" s="240"/>
      <c r="AD636" s="232" t="str">
        <f t="shared" si="165"/>
        <v/>
      </c>
      <c r="AE636" s="204"/>
      <c r="AX636" s="3" t="str">
        <f t="shared" si="155"/>
        <v/>
      </c>
    </row>
    <row r="637" spans="1:50" s="155" customFormat="1" ht="30" hidden="1" customHeight="1">
      <c r="A637" s="141" t="str">
        <f t="shared" si="166"/>
        <v/>
      </c>
      <c r="B637" s="141" t="str">
        <f t="shared" si="167"/>
        <v/>
      </c>
      <c r="C637" s="205" t="str" cm="1">
        <f t="array" ref="C637">IF(D637="","",
    IF(AND(ISNUMBER(D637), D637=INT(D637)),
        $V$6 &amp; " " &amp; (IFERROR(MAX($Y$12:$Y636), 0) + 1),
        IF(ISNUMBER(SEARCH(".", D637)), "", INDEX($C$12:$C637, MATCH(2, 1/($C$12:$C637 &lt;&gt; ""))))
    )
)</f>
        <v/>
      </c>
      <c r="D637" s="206"/>
      <c r="E637" s="206" t="str">
        <f>IF(AA637 = "", "",
    IF(ISNUMBER(SEARCH("Kiện", C637)),
       " GÓI " &amp; COUNTIF($C$13:C637, "*Kiện*") &amp; "/" &amp; COUNTIF($C$13:$C$1000, "*Kiện*") &amp; " " &amp; AA637,
       AA637)
)</f>
        <v/>
      </c>
      <c r="F637" s="206"/>
      <c r="G637" s="206"/>
      <c r="H637" s="206"/>
      <c r="I637" s="206"/>
      <c r="J637" s="206" t="str">
        <f t="shared" si="168"/>
        <v/>
      </c>
      <c r="K637" s="206" t="str">
        <f t="shared" si="156"/>
        <v/>
      </c>
      <c r="L637" s="206" t="str">
        <f t="shared" si="157"/>
        <v/>
      </c>
      <c r="M637" s="206" t="str">
        <f t="shared" si="158"/>
        <v/>
      </c>
      <c r="N637" s="206" t="str">
        <f t="shared" si="169"/>
        <v/>
      </c>
      <c r="O637" s="206" t="str">
        <f t="shared" si="159"/>
        <v/>
      </c>
      <c r="P637" s="165" t="str">
        <f t="shared" si="160"/>
        <v/>
      </c>
      <c r="Q637" s="207"/>
      <c r="R637" s="141" t="str">
        <f>IF(S637="IN",'BOM_Phan II'!$Y$3,"")</f>
        <v/>
      </c>
      <c r="S637" s="153" t="str">
        <f t="shared" si="161"/>
        <v/>
      </c>
      <c r="T637">
        <f t="shared" si="162"/>
        <v>6</v>
      </c>
      <c r="U637" s="208" t="str">
        <f t="shared" si="170"/>
        <v>KIỆN 9</v>
      </c>
      <c r="V637" s="208" t="str">
        <f t="shared" si="163"/>
        <v/>
      </c>
      <c r="W637" s="240"/>
      <c r="X637" s="240"/>
      <c r="Y637" s="240" t="str">
        <f t="shared" si="164"/>
        <v/>
      </c>
      <c r="Z637" s="240"/>
      <c r="AD637" s="232" t="str">
        <f t="shared" si="165"/>
        <v/>
      </c>
      <c r="AE637" s="204"/>
      <c r="AX637" s="3" t="str">
        <f t="shared" si="155"/>
        <v/>
      </c>
    </row>
    <row r="638" spans="1:50" s="155" customFormat="1" ht="30" hidden="1" customHeight="1">
      <c r="A638" s="141" t="str">
        <f t="shared" si="166"/>
        <v/>
      </c>
      <c r="B638" s="141" t="str">
        <f t="shared" si="167"/>
        <v/>
      </c>
      <c r="C638" s="205" t="str" cm="1">
        <f t="array" ref="C638">IF(D638="","",
    IF(AND(ISNUMBER(D638), D638=INT(D638)),
        $V$6 &amp; " " &amp; (IFERROR(MAX($Y$12:$Y637), 0) + 1),
        IF(ISNUMBER(SEARCH(".", D638)), "", INDEX($C$12:$C638, MATCH(2, 1/($C$12:$C638 &lt;&gt; ""))))
    )
)</f>
        <v/>
      </c>
      <c r="D638" s="206"/>
      <c r="E638" s="206" t="str">
        <f>IF(AA638 = "", "",
    IF(ISNUMBER(SEARCH("Kiện", C638)),
       " GÓI " &amp; COUNTIF($C$13:C638, "*Kiện*") &amp; "/" &amp; COUNTIF($C$13:$C$1000, "*Kiện*") &amp; " " &amp; AA638,
       AA638)
)</f>
        <v/>
      </c>
      <c r="F638" s="206"/>
      <c r="G638" s="206"/>
      <c r="H638" s="206"/>
      <c r="I638" s="206"/>
      <c r="J638" s="206" t="str">
        <f t="shared" si="168"/>
        <v/>
      </c>
      <c r="K638" s="206" t="str">
        <f t="shared" si="156"/>
        <v/>
      </c>
      <c r="L638" s="206" t="str">
        <f t="shared" si="157"/>
        <v/>
      </c>
      <c r="M638" s="206" t="str">
        <f t="shared" si="158"/>
        <v/>
      </c>
      <c r="N638" s="206" t="str">
        <f t="shared" si="169"/>
        <v/>
      </c>
      <c r="O638" s="206" t="str">
        <f t="shared" si="159"/>
        <v/>
      </c>
      <c r="P638" s="165" t="str">
        <f t="shared" si="160"/>
        <v/>
      </c>
      <c r="Q638" s="207"/>
      <c r="R638" s="141" t="str">
        <f>IF(S638="IN",'BOM_Phan II'!$Y$3,"")</f>
        <v/>
      </c>
      <c r="S638" s="153" t="str">
        <f t="shared" si="161"/>
        <v/>
      </c>
      <c r="T638">
        <f t="shared" si="162"/>
        <v>6</v>
      </c>
      <c r="U638" s="208" t="str">
        <f t="shared" si="170"/>
        <v>KIỆN 9</v>
      </c>
      <c r="V638" s="208" t="str">
        <f t="shared" si="163"/>
        <v/>
      </c>
      <c r="W638" s="240"/>
      <c r="X638" s="240"/>
      <c r="Y638" s="240" t="str">
        <f t="shared" si="164"/>
        <v/>
      </c>
      <c r="Z638" s="240"/>
      <c r="AD638" s="232" t="str">
        <f t="shared" si="165"/>
        <v/>
      </c>
      <c r="AE638" s="204"/>
      <c r="AX638" s="3" t="str">
        <f t="shared" si="155"/>
        <v/>
      </c>
    </row>
    <row r="639" spans="1:50" s="155" customFormat="1" ht="30" hidden="1" customHeight="1">
      <c r="A639" s="141" t="str">
        <f t="shared" si="166"/>
        <v/>
      </c>
      <c r="B639" s="141" t="str">
        <f t="shared" si="167"/>
        <v/>
      </c>
      <c r="C639" s="205" t="str" cm="1">
        <f t="array" ref="C639">IF(D639="","",
    IF(AND(ISNUMBER(D639), D639=INT(D639)),
        $V$6 &amp; " " &amp; (IFERROR(MAX($Y$12:$Y638), 0) + 1),
        IF(ISNUMBER(SEARCH(".", D639)), "", INDEX($C$12:$C639, MATCH(2, 1/($C$12:$C639 &lt;&gt; ""))))
    )
)</f>
        <v/>
      </c>
      <c r="D639" s="206"/>
      <c r="E639" s="206" t="str">
        <f>IF(AA639 = "", "",
    IF(ISNUMBER(SEARCH("Kiện", C639)),
       " GÓI " &amp; COUNTIF($C$13:C639, "*Kiện*") &amp; "/" &amp; COUNTIF($C$13:$C$1000, "*Kiện*") &amp; " " &amp; AA639,
       AA639)
)</f>
        <v/>
      </c>
      <c r="F639" s="206"/>
      <c r="G639" s="206"/>
      <c r="H639" s="206"/>
      <c r="I639" s="206"/>
      <c r="J639" s="206" t="str">
        <f t="shared" si="168"/>
        <v/>
      </c>
      <c r="K639" s="206" t="str">
        <f t="shared" si="156"/>
        <v/>
      </c>
      <c r="L639" s="206" t="str">
        <f t="shared" si="157"/>
        <v/>
      </c>
      <c r="M639" s="206" t="str">
        <f t="shared" si="158"/>
        <v/>
      </c>
      <c r="N639" s="206" t="str">
        <f t="shared" si="169"/>
        <v/>
      </c>
      <c r="O639" s="206" t="str">
        <f t="shared" si="159"/>
        <v/>
      </c>
      <c r="P639" s="165" t="str">
        <f t="shared" si="160"/>
        <v/>
      </c>
      <c r="Q639" s="207"/>
      <c r="R639" s="141" t="str">
        <f>IF(S639="IN",'BOM_Phan II'!$Y$3,"")</f>
        <v/>
      </c>
      <c r="S639" s="153" t="str">
        <f t="shared" si="161"/>
        <v/>
      </c>
      <c r="T639">
        <f t="shared" si="162"/>
        <v>6</v>
      </c>
      <c r="U639" s="208" t="str">
        <f t="shared" si="170"/>
        <v>KIỆN 9</v>
      </c>
      <c r="V639" s="208" t="str">
        <f t="shared" si="163"/>
        <v/>
      </c>
      <c r="W639" s="240"/>
      <c r="X639" s="240"/>
      <c r="Y639" s="240" t="str">
        <f t="shared" si="164"/>
        <v/>
      </c>
      <c r="Z639" s="240"/>
      <c r="AD639" s="232" t="str">
        <f t="shared" si="165"/>
        <v/>
      </c>
      <c r="AE639" s="204"/>
      <c r="AX639" s="3" t="str">
        <f t="shared" si="155"/>
        <v/>
      </c>
    </row>
    <row r="640" spans="1:50" s="155" customFormat="1" ht="30" hidden="1" customHeight="1">
      <c r="A640" s="141" t="str">
        <f t="shared" si="166"/>
        <v/>
      </c>
      <c r="B640" s="141" t="str">
        <f t="shared" si="167"/>
        <v/>
      </c>
      <c r="C640" s="205" t="str" cm="1">
        <f t="array" ref="C640">IF(D640="","",
    IF(AND(ISNUMBER(D640), D640=INT(D640)),
        $V$6 &amp; " " &amp; (IFERROR(MAX($Y$12:$Y639), 0) + 1),
        IF(ISNUMBER(SEARCH(".", D640)), "", INDEX($C$12:$C640, MATCH(2, 1/($C$12:$C640 &lt;&gt; ""))))
    )
)</f>
        <v/>
      </c>
      <c r="D640" s="206"/>
      <c r="E640" s="206" t="str">
        <f>IF(AA640 = "", "",
    IF(ISNUMBER(SEARCH("Kiện", C640)),
       " GÓI " &amp; COUNTIF($C$13:C640, "*Kiện*") &amp; "/" &amp; COUNTIF($C$13:$C$1000, "*Kiện*") &amp; " " &amp; AA640,
       AA640)
)</f>
        <v/>
      </c>
      <c r="F640" s="206"/>
      <c r="G640" s="206"/>
      <c r="H640" s="206"/>
      <c r="I640" s="206"/>
      <c r="J640" s="206" t="str">
        <f t="shared" si="168"/>
        <v/>
      </c>
      <c r="K640" s="206" t="str">
        <f t="shared" si="156"/>
        <v/>
      </c>
      <c r="L640" s="206" t="str">
        <f t="shared" si="157"/>
        <v/>
      </c>
      <c r="M640" s="206" t="str">
        <f t="shared" si="158"/>
        <v/>
      </c>
      <c r="N640" s="206" t="str">
        <f t="shared" si="169"/>
        <v/>
      </c>
      <c r="O640" s="206" t="str">
        <f t="shared" si="159"/>
        <v/>
      </c>
      <c r="P640" s="165" t="str">
        <f t="shared" si="160"/>
        <v/>
      </c>
      <c r="Q640" s="207"/>
      <c r="R640" s="141" t="str">
        <f>IF(S640="IN",'BOM_Phan II'!$Y$3,"")</f>
        <v/>
      </c>
      <c r="S640" s="153" t="str">
        <f t="shared" si="161"/>
        <v/>
      </c>
      <c r="T640">
        <f t="shared" si="162"/>
        <v>6</v>
      </c>
      <c r="U640" s="208" t="str">
        <f t="shared" si="170"/>
        <v>KIỆN 9</v>
      </c>
      <c r="V640" s="208" t="str">
        <f t="shared" si="163"/>
        <v/>
      </c>
      <c r="W640" s="240"/>
      <c r="X640" s="240"/>
      <c r="Y640" s="240" t="str">
        <f t="shared" si="164"/>
        <v/>
      </c>
      <c r="Z640" s="240"/>
      <c r="AD640" s="232" t="str">
        <f t="shared" si="165"/>
        <v/>
      </c>
      <c r="AE640" s="204"/>
      <c r="AX640" s="3" t="str">
        <f t="shared" si="155"/>
        <v/>
      </c>
    </row>
    <row r="641" spans="1:50" s="155" customFormat="1" ht="30" hidden="1" customHeight="1">
      <c r="A641" s="141" t="str">
        <f t="shared" si="166"/>
        <v/>
      </c>
      <c r="B641" s="141" t="str">
        <f t="shared" si="167"/>
        <v/>
      </c>
      <c r="C641" s="205" t="str" cm="1">
        <f t="array" ref="C641">IF(D641="","",
    IF(AND(ISNUMBER(D641), D641=INT(D641)),
        $V$6 &amp; " " &amp; (IFERROR(MAX($Y$12:$Y640), 0) + 1),
        IF(ISNUMBER(SEARCH(".", D641)), "", INDEX($C$12:$C641, MATCH(2, 1/($C$12:$C641 &lt;&gt; ""))))
    )
)</f>
        <v/>
      </c>
      <c r="D641" s="206"/>
      <c r="E641" s="206" t="str">
        <f>IF(AA641 = "", "",
    IF(ISNUMBER(SEARCH("Kiện", C641)),
       " GÓI " &amp; COUNTIF($C$13:C641, "*Kiện*") &amp; "/" &amp; COUNTIF($C$13:$C$1000, "*Kiện*") &amp; " " &amp; AA641,
       AA641)
)</f>
        <v/>
      </c>
      <c r="F641" s="206"/>
      <c r="G641" s="206"/>
      <c r="H641" s="206"/>
      <c r="I641" s="206"/>
      <c r="J641" s="206" t="str">
        <f t="shared" si="168"/>
        <v/>
      </c>
      <c r="K641" s="206" t="str">
        <f t="shared" si="156"/>
        <v/>
      </c>
      <c r="L641" s="206" t="str">
        <f t="shared" si="157"/>
        <v/>
      </c>
      <c r="M641" s="206" t="str">
        <f t="shared" si="158"/>
        <v/>
      </c>
      <c r="N641" s="206" t="str">
        <f t="shared" si="169"/>
        <v/>
      </c>
      <c r="O641" s="206" t="str">
        <f t="shared" si="159"/>
        <v/>
      </c>
      <c r="P641" s="165" t="str">
        <f t="shared" si="160"/>
        <v/>
      </c>
      <c r="Q641" s="207"/>
      <c r="R641" s="141" t="str">
        <f>IF(S641="IN",'BOM_Phan II'!$Y$3,"")</f>
        <v/>
      </c>
      <c r="S641" s="153" t="str">
        <f t="shared" si="161"/>
        <v/>
      </c>
      <c r="T641">
        <f t="shared" si="162"/>
        <v>6</v>
      </c>
      <c r="U641" s="208" t="str">
        <f t="shared" si="170"/>
        <v>KIỆN 9</v>
      </c>
      <c r="V641" s="208" t="str">
        <f t="shared" si="163"/>
        <v/>
      </c>
      <c r="W641" s="240"/>
      <c r="X641" s="240"/>
      <c r="Y641" s="240" t="str">
        <f t="shared" si="164"/>
        <v/>
      </c>
      <c r="Z641" s="240"/>
      <c r="AD641" s="232" t="str">
        <f t="shared" si="165"/>
        <v/>
      </c>
      <c r="AE641" s="204"/>
      <c r="AX641" s="3" t="str">
        <f t="shared" si="155"/>
        <v/>
      </c>
    </row>
    <row r="642" spans="1:50" s="155" customFormat="1" ht="30" hidden="1" customHeight="1">
      <c r="A642" s="141" t="str">
        <f t="shared" si="166"/>
        <v/>
      </c>
      <c r="B642" s="141" t="str">
        <f t="shared" si="167"/>
        <v/>
      </c>
      <c r="C642" s="205" t="str" cm="1">
        <f t="array" ref="C642">IF(D642="","",
    IF(AND(ISNUMBER(D642), D642=INT(D642)),
        $V$6 &amp; " " &amp; (IFERROR(MAX($Y$12:$Y641), 0) + 1),
        IF(ISNUMBER(SEARCH(".", D642)), "", INDEX($C$12:$C642, MATCH(2, 1/($C$12:$C642 &lt;&gt; ""))))
    )
)</f>
        <v/>
      </c>
      <c r="D642" s="206"/>
      <c r="E642" s="206" t="str">
        <f>IF(AA642 = "", "",
    IF(ISNUMBER(SEARCH("Kiện", C642)),
       " GÓI " &amp; COUNTIF($C$13:C642, "*Kiện*") &amp; "/" &amp; COUNTIF($C$13:$C$1000, "*Kiện*") &amp; " " &amp; AA642,
       AA642)
)</f>
        <v/>
      </c>
      <c r="F642" s="206"/>
      <c r="G642" s="206"/>
      <c r="H642" s="206"/>
      <c r="I642" s="206"/>
      <c r="J642" s="206" t="str">
        <f t="shared" si="168"/>
        <v/>
      </c>
      <c r="K642" s="206" t="str">
        <f t="shared" si="156"/>
        <v/>
      </c>
      <c r="L642" s="206" t="str">
        <f t="shared" si="157"/>
        <v/>
      </c>
      <c r="M642" s="206" t="str">
        <f t="shared" si="158"/>
        <v/>
      </c>
      <c r="N642" s="206" t="str">
        <f t="shared" si="169"/>
        <v/>
      </c>
      <c r="O642" s="206" t="str">
        <f t="shared" si="159"/>
        <v/>
      </c>
      <c r="P642" s="165" t="str">
        <f t="shared" si="160"/>
        <v/>
      </c>
      <c r="Q642" s="207"/>
      <c r="R642" s="141" t="str">
        <f>IF(S642="IN",'BOM_Phan II'!$Y$3,"")</f>
        <v/>
      </c>
      <c r="S642" s="153" t="str">
        <f t="shared" si="161"/>
        <v/>
      </c>
      <c r="T642">
        <f t="shared" si="162"/>
        <v>6</v>
      </c>
      <c r="U642" s="208" t="str">
        <f t="shared" si="170"/>
        <v>KIỆN 9</v>
      </c>
      <c r="V642" s="208" t="str">
        <f t="shared" si="163"/>
        <v/>
      </c>
      <c r="W642" s="240"/>
      <c r="X642" s="240"/>
      <c r="Y642" s="240" t="str">
        <f t="shared" si="164"/>
        <v/>
      </c>
      <c r="Z642" s="240"/>
      <c r="AD642" s="232" t="str">
        <f t="shared" si="165"/>
        <v/>
      </c>
      <c r="AE642" s="204"/>
      <c r="AX642" s="3" t="str">
        <f t="shared" si="155"/>
        <v/>
      </c>
    </row>
    <row r="643" spans="1:50" s="155" customFormat="1" ht="30" hidden="1" customHeight="1">
      <c r="A643" s="141" t="str">
        <f t="shared" si="166"/>
        <v/>
      </c>
      <c r="B643" s="141" t="str">
        <f t="shared" si="167"/>
        <v/>
      </c>
      <c r="C643" s="205" t="str" cm="1">
        <f t="array" ref="C643">IF(D643="","",
    IF(AND(ISNUMBER(D643), D643=INT(D643)),
        $V$6 &amp; " " &amp; (IFERROR(MAX($Y$12:$Y642), 0) + 1),
        IF(ISNUMBER(SEARCH(".", D643)), "", INDEX($C$12:$C643, MATCH(2, 1/($C$12:$C643 &lt;&gt; ""))))
    )
)</f>
        <v/>
      </c>
      <c r="D643" s="206"/>
      <c r="E643" s="206" t="str">
        <f>IF(AA643 = "", "",
    IF(ISNUMBER(SEARCH("Kiện", C643)),
       " GÓI " &amp; COUNTIF($C$13:C643, "*Kiện*") &amp; "/" &amp; COUNTIF($C$13:$C$1000, "*Kiện*") &amp; " " &amp; AA643,
       AA643)
)</f>
        <v/>
      </c>
      <c r="F643" s="206"/>
      <c r="G643" s="206"/>
      <c r="H643" s="206"/>
      <c r="I643" s="206"/>
      <c r="J643" s="206" t="str">
        <f t="shared" si="168"/>
        <v/>
      </c>
      <c r="K643" s="206" t="str">
        <f t="shared" si="156"/>
        <v/>
      </c>
      <c r="L643" s="206" t="str">
        <f t="shared" si="157"/>
        <v/>
      </c>
      <c r="M643" s="206" t="str">
        <f t="shared" si="158"/>
        <v/>
      </c>
      <c r="N643" s="206" t="str">
        <f t="shared" si="169"/>
        <v/>
      </c>
      <c r="O643" s="206" t="str">
        <f t="shared" si="159"/>
        <v/>
      </c>
      <c r="P643" s="165" t="str">
        <f t="shared" si="160"/>
        <v/>
      </c>
      <c r="Q643" s="207"/>
      <c r="R643" s="141" t="str">
        <f>IF(S643="IN",'BOM_Phan II'!$Y$3,"")</f>
        <v/>
      </c>
      <c r="S643" s="153" t="str">
        <f t="shared" si="161"/>
        <v/>
      </c>
      <c r="T643">
        <f t="shared" si="162"/>
        <v>6</v>
      </c>
      <c r="U643" s="208" t="str">
        <f t="shared" si="170"/>
        <v>KIỆN 9</v>
      </c>
      <c r="V643" s="208" t="str">
        <f t="shared" si="163"/>
        <v/>
      </c>
      <c r="W643" s="240"/>
      <c r="X643" s="240"/>
      <c r="Y643" s="240" t="str">
        <f t="shared" si="164"/>
        <v/>
      </c>
      <c r="Z643" s="240"/>
      <c r="AD643" s="232" t="str">
        <f t="shared" si="165"/>
        <v/>
      </c>
      <c r="AE643" s="204"/>
      <c r="AX643" s="3" t="str">
        <f t="shared" si="155"/>
        <v/>
      </c>
    </row>
    <row r="644" spans="1:50" s="155" customFormat="1" ht="30" hidden="1" customHeight="1">
      <c r="A644" s="141" t="str">
        <f t="shared" si="166"/>
        <v/>
      </c>
      <c r="B644" s="141" t="str">
        <f t="shared" si="167"/>
        <v/>
      </c>
      <c r="C644" s="205" t="str" cm="1">
        <f t="array" ref="C644">IF(D644="","",
    IF(AND(ISNUMBER(D644), D644=INT(D644)),
        $V$6 &amp; " " &amp; (IFERROR(MAX($Y$12:$Y643), 0) + 1),
        IF(ISNUMBER(SEARCH(".", D644)), "", INDEX($C$12:$C644, MATCH(2, 1/($C$12:$C644 &lt;&gt; ""))))
    )
)</f>
        <v/>
      </c>
      <c r="D644" s="206"/>
      <c r="E644" s="206" t="str">
        <f>IF(AA644 = "", "",
    IF(ISNUMBER(SEARCH("Kiện", C644)),
       " GÓI " &amp; COUNTIF($C$13:C644, "*Kiện*") &amp; "/" &amp; COUNTIF($C$13:$C$1000, "*Kiện*") &amp; " " &amp; AA644,
       AA644)
)</f>
        <v/>
      </c>
      <c r="F644" s="206"/>
      <c r="G644" s="206"/>
      <c r="H644" s="206"/>
      <c r="I644" s="206"/>
      <c r="J644" s="206" t="str">
        <f t="shared" si="168"/>
        <v/>
      </c>
      <c r="K644" s="206" t="str">
        <f t="shared" si="156"/>
        <v/>
      </c>
      <c r="L644" s="206" t="str">
        <f t="shared" si="157"/>
        <v/>
      </c>
      <c r="M644" s="206" t="str">
        <f t="shared" si="158"/>
        <v/>
      </c>
      <c r="N644" s="206" t="str">
        <f t="shared" si="169"/>
        <v/>
      </c>
      <c r="O644" s="206" t="str">
        <f t="shared" si="159"/>
        <v/>
      </c>
      <c r="P644" s="165" t="str">
        <f t="shared" si="160"/>
        <v/>
      </c>
      <c r="Q644" s="207"/>
      <c r="R644" s="141" t="str">
        <f>IF(S644="IN",'BOM_Phan II'!$Y$3,"")</f>
        <v/>
      </c>
      <c r="S644" s="153" t="str">
        <f t="shared" si="161"/>
        <v/>
      </c>
      <c r="T644">
        <f t="shared" si="162"/>
        <v>6</v>
      </c>
      <c r="U644" s="208" t="str">
        <f t="shared" si="170"/>
        <v>KIỆN 9</v>
      </c>
      <c r="V644" s="208" t="str">
        <f t="shared" si="163"/>
        <v/>
      </c>
      <c r="W644" s="240"/>
      <c r="X644" s="240"/>
      <c r="Y644" s="240" t="str">
        <f t="shared" si="164"/>
        <v/>
      </c>
      <c r="Z644" s="240"/>
      <c r="AD644" s="232" t="str">
        <f t="shared" si="165"/>
        <v/>
      </c>
      <c r="AE644" s="204"/>
      <c r="AX644" s="3" t="str">
        <f t="shared" si="155"/>
        <v/>
      </c>
    </row>
    <row r="645" spans="1:50" s="155" customFormat="1" ht="30" hidden="1" customHeight="1">
      <c r="A645" s="141" t="str">
        <f t="shared" si="166"/>
        <v/>
      </c>
      <c r="B645" s="141" t="str">
        <f t="shared" si="167"/>
        <v/>
      </c>
      <c r="C645" s="205" t="str" cm="1">
        <f t="array" ref="C645">IF(D645="","",
    IF(AND(ISNUMBER(D645), D645=INT(D645)),
        $V$6 &amp; " " &amp; (IFERROR(MAX($Y$12:$Y644), 0) + 1),
        IF(ISNUMBER(SEARCH(".", D645)), "", INDEX($C$12:$C645, MATCH(2, 1/($C$12:$C645 &lt;&gt; ""))))
    )
)</f>
        <v/>
      </c>
      <c r="D645" s="206"/>
      <c r="E645" s="206" t="str">
        <f>IF(AA645 = "", "",
    IF(ISNUMBER(SEARCH("Kiện", C645)),
       " GÓI " &amp; COUNTIF($C$13:C645, "*Kiện*") &amp; "/" &amp; COUNTIF($C$13:$C$1000, "*Kiện*") &amp; " " &amp; AA645,
       AA645)
)</f>
        <v/>
      </c>
      <c r="F645" s="206"/>
      <c r="G645" s="206"/>
      <c r="H645" s="206"/>
      <c r="I645" s="206"/>
      <c r="J645" s="206" t="str">
        <f t="shared" si="168"/>
        <v/>
      </c>
      <c r="K645" s="206" t="str">
        <f t="shared" si="156"/>
        <v/>
      </c>
      <c r="L645" s="206" t="str">
        <f t="shared" si="157"/>
        <v/>
      </c>
      <c r="M645" s="206" t="str">
        <f t="shared" si="158"/>
        <v/>
      </c>
      <c r="N645" s="206" t="str">
        <f t="shared" si="169"/>
        <v/>
      </c>
      <c r="O645" s="206" t="str">
        <f t="shared" si="159"/>
        <v/>
      </c>
      <c r="P645" s="165" t="str">
        <f t="shared" si="160"/>
        <v/>
      </c>
      <c r="Q645" s="207"/>
      <c r="R645" s="141" t="str">
        <f>IF(S645="IN",'BOM_Phan II'!$Y$3,"")</f>
        <v/>
      </c>
      <c r="S645" s="153" t="str">
        <f t="shared" si="161"/>
        <v/>
      </c>
      <c r="T645">
        <f t="shared" si="162"/>
        <v>6</v>
      </c>
      <c r="U645" s="208" t="str">
        <f t="shared" si="170"/>
        <v>KIỆN 9</v>
      </c>
      <c r="V645" s="208" t="str">
        <f t="shared" si="163"/>
        <v/>
      </c>
      <c r="W645" s="240"/>
      <c r="X645" s="240"/>
      <c r="Y645" s="240" t="str">
        <f t="shared" si="164"/>
        <v/>
      </c>
      <c r="Z645" s="240"/>
      <c r="AD645" s="232" t="str">
        <f t="shared" si="165"/>
        <v/>
      </c>
      <c r="AE645" s="204"/>
      <c r="AX645" s="3" t="str">
        <f t="shared" si="155"/>
        <v/>
      </c>
    </row>
    <row r="646" spans="1:50" s="155" customFormat="1" ht="30" hidden="1" customHeight="1">
      <c r="A646" s="141" t="str">
        <f t="shared" si="166"/>
        <v/>
      </c>
      <c r="B646" s="141" t="str">
        <f t="shared" si="167"/>
        <v/>
      </c>
      <c r="C646" s="205" t="str" cm="1">
        <f t="array" ref="C646">IF(D646="","",
    IF(AND(ISNUMBER(D646), D646=INT(D646)),
        $V$6 &amp; " " &amp; (IFERROR(MAX($Y$12:$Y645), 0) + 1),
        IF(ISNUMBER(SEARCH(".", D646)), "", INDEX($C$12:$C646, MATCH(2, 1/($C$12:$C646 &lt;&gt; ""))))
    )
)</f>
        <v/>
      </c>
      <c r="D646" s="206"/>
      <c r="E646" s="206" t="str">
        <f>IF(AA646 = "", "",
    IF(ISNUMBER(SEARCH("Kiện", C646)),
       " GÓI " &amp; COUNTIF($C$13:C646, "*Kiện*") &amp; "/" &amp; COUNTIF($C$13:$C$1000, "*Kiện*") &amp; " " &amp; AA646,
       AA646)
)</f>
        <v/>
      </c>
      <c r="F646" s="206"/>
      <c r="G646" s="206"/>
      <c r="H646" s="206"/>
      <c r="I646" s="206"/>
      <c r="J646" s="206" t="str">
        <f t="shared" si="168"/>
        <v/>
      </c>
      <c r="K646" s="206" t="str">
        <f t="shared" si="156"/>
        <v/>
      </c>
      <c r="L646" s="206" t="str">
        <f t="shared" si="157"/>
        <v/>
      </c>
      <c r="M646" s="206" t="str">
        <f t="shared" si="158"/>
        <v/>
      </c>
      <c r="N646" s="206" t="str">
        <f t="shared" si="169"/>
        <v/>
      </c>
      <c r="O646" s="206" t="str">
        <f t="shared" si="159"/>
        <v/>
      </c>
      <c r="P646" s="165" t="str">
        <f t="shared" si="160"/>
        <v/>
      </c>
      <c r="Q646" s="207"/>
      <c r="R646" s="141" t="str">
        <f>IF(S646="IN",'BOM_Phan II'!$Y$3,"")</f>
        <v/>
      </c>
      <c r="S646" s="153" t="str">
        <f t="shared" si="161"/>
        <v/>
      </c>
      <c r="T646">
        <f t="shared" si="162"/>
        <v>6</v>
      </c>
      <c r="U646" s="208" t="str">
        <f t="shared" si="170"/>
        <v>KIỆN 9</v>
      </c>
      <c r="V646" s="208" t="str">
        <f t="shared" si="163"/>
        <v/>
      </c>
      <c r="W646" s="240"/>
      <c r="X646" s="240"/>
      <c r="Y646" s="240" t="str">
        <f t="shared" si="164"/>
        <v/>
      </c>
      <c r="Z646" s="240"/>
      <c r="AD646" s="232" t="str">
        <f t="shared" si="165"/>
        <v/>
      </c>
      <c r="AE646" s="204"/>
      <c r="AX646" s="3" t="str">
        <f t="shared" si="155"/>
        <v/>
      </c>
    </row>
    <row r="647" spans="1:50" s="155" customFormat="1" ht="30" hidden="1" customHeight="1">
      <c r="A647" s="141" t="str">
        <f t="shared" si="166"/>
        <v/>
      </c>
      <c r="B647" s="141" t="str">
        <f t="shared" si="167"/>
        <v/>
      </c>
      <c r="C647" s="205" t="str" cm="1">
        <f t="array" ref="C647">IF(D647="","",
    IF(AND(ISNUMBER(D647), D647=INT(D647)),
        $V$6 &amp; " " &amp; (IFERROR(MAX($Y$12:$Y646), 0) + 1),
        IF(ISNUMBER(SEARCH(".", D647)), "", INDEX($C$12:$C647, MATCH(2, 1/($C$12:$C647 &lt;&gt; ""))))
    )
)</f>
        <v/>
      </c>
      <c r="D647" s="206"/>
      <c r="E647" s="206" t="str">
        <f>IF(AA647 = "", "",
    IF(ISNUMBER(SEARCH("Kiện", C647)),
       " GÓI " &amp; COUNTIF($C$13:C647, "*Kiện*") &amp; "/" &amp; COUNTIF($C$13:$C$1000, "*Kiện*") &amp; " " &amp; AA647,
       AA647)
)</f>
        <v/>
      </c>
      <c r="F647" s="206"/>
      <c r="G647" s="206"/>
      <c r="H647" s="206"/>
      <c r="I647" s="206"/>
      <c r="J647" s="206" t="str">
        <f t="shared" si="168"/>
        <v/>
      </c>
      <c r="K647" s="206" t="str">
        <f t="shared" si="156"/>
        <v/>
      </c>
      <c r="L647" s="206" t="str">
        <f t="shared" si="157"/>
        <v/>
      </c>
      <c r="M647" s="206" t="str">
        <f t="shared" si="158"/>
        <v/>
      </c>
      <c r="N647" s="206" t="str">
        <f t="shared" si="169"/>
        <v/>
      </c>
      <c r="O647" s="206" t="str">
        <f t="shared" si="159"/>
        <v/>
      </c>
      <c r="P647" s="165" t="str">
        <f t="shared" si="160"/>
        <v/>
      </c>
      <c r="Q647" s="207"/>
      <c r="R647" s="141" t="str">
        <f>IF(S647="IN",'BOM_Phan II'!$Y$3,"")</f>
        <v/>
      </c>
      <c r="S647" s="153" t="str">
        <f t="shared" si="161"/>
        <v/>
      </c>
      <c r="T647">
        <f t="shared" si="162"/>
        <v>6</v>
      </c>
      <c r="U647" s="208" t="str">
        <f t="shared" si="170"/>
        <v>KIỆN 9</v>
      </c>
      <c r="V647" s="208" t="str">
        <f t="shared" si="163"/>
        <v/>
      </c>
      <c r="W647" s="240"/>
      <c r="X647" s="240"/>
      <c r="Y647" s="240" t="str">
        <f t="shared" si="164"/>
        <v/>
      </c>
      <c r="Z647" s="240"/>
      <c r="AD647" s="232" t="str">
        <f t="shared" si="165"/>
        <v/>
      </c>
      <c r="AE647" s="204"/>
      <c r="AX647" s="3" t="str">
        <f t="shared" si="155"/>
        <v/>
      </c>
    </row>
    <row r="648" spans="1:50" s="155" customFormat="1" ht="30" hidden="1" customHeight="1">
      <c r="A648" s="141" t="str">
        <f t="shared" si="166"/>
        <v/>
      </c>
      <c r="B648" s="141" t="str">
        <f t="shared" si="167"/>
        <v/>
      </c>
      <c r="C648" s="205" t="str" cm="1">
        <f t="array" ref="C648">IF(D648="","",
    IF(AND(ISNUMBER(D648), D648=INT(D648)),
        $V$6 &amp; " " &amp; (IFERROR(MAX($Y$12:$Y647), 0) + 1),
        IF(ISNUMBER(SEARCH(".", D648)), "", INDEX($C$12:$C648, MATCH(2, 1/($C$12:$C648 &lt;&gt; ""))))
    )
)</f>
        <v/>
      </c>
      <c r="D648" s="206"/>
      <c r="E648" s="206" t="str">
        <f>IF(AA648 = "", "",
    IF(ISNUMBER(SEARCH("Kiện", C648)),
       " GÓI " &amp; COUNTIF($C$13:C648, "*Kiện*") &amp; "/" &amp; COUNTIF($C$13:$C$1000, "*Kiện*") &amp; " " &amp; AA648,
       AA648)
)</f>
        <v/>
      </c>
      <c r="F648" s="206"/>
      <c r="G648" s="206"/>
      <c r="H648" s="206"/>
      <c r="I648" s="206"/>
      <c r="J648" s="206" t="str">
        <f t="shared" si="168"/>
        <v/>
      </c>
      <c r="K648" s="206" t="str">
        <f t="shared" si="156"/>
        <v/>
      </c>
      <c r="L648" s="206" t="str">
        <f t="shared" si="157"/>
        <v/>
      </c>
      <c r="M648" s="206" t="str">
        <f t="shared" si="158"/>
        <v/>
      </c>
      <c r="N648" s="206" t="str">
        <f t="shared" si="169"/>
        <v/>
      </c>
      <c r="O648" s="206" t="str">
        <f t="shared" si="159"/>
        <v/>
      </c>
      <c r="P648" s="165" t="str">
        <f t="shared" si="160"/>
        <v/>
      </c>
      <c r="Q648" s="207"/>
      <c r="R648" s="141" t="str">
        <f>IF(S648="IN",'BOM_Phan II'!$Y$3,"")</f>
        <v/>
      </c>
      <c r="S648" s="153" t="str">
        <f t="shared" si="161"/>
        <v/>
      </c>
      <c r="T648">
        <f t="shared" si="162"/>
        <v>6</v>
      </c>
      <c r="U648" s="208" t="str">
        <f t="shared" si="170"/>
        <v>KIỆN 9</v>
      </c>
      <c r="V648" s="208" t="str">
        <f t="shared" si="163"/>
        <v/>
      </c>
      <c r="W648" s="240"/>
      <c r="X648" s="240"/>
      <c r="Y648" s="240" t="str">
        <f t="shared" si="164"/>
        <v/>
      </c>
      <c r="Z648" s="240"/>
      <c r="AD648" s="232" t="str">
        <f t="shared" si="165"/>
        <v/>
      </c>
      <c r="AE648" s="204"/>
      <c r="AX648" s="3" t="str">
        <f t="shared" si="155"/>
        <v/>
      </c>
    </row>
    <row r="649" spans="1:50" s="155" customFormat="1" ht="30" hidden="1" customHeight="1">
      <c r="A649" s="141" t="str">
        <f t="shared" si="166"/>
        <v/>
      </c>
      <c r="B649" s="141" t="str">
        <f t="shared" si="167"/>
        <v/>
      </c>
      <c r="C649" s="205" t="str" cm="1">
        <f t="array" ref="C649">IF(D649="","",
    IF(AND(ISNUMBER(D649), D649=INT(D649)),
        $V$6 &amp; " " &amp; (IFERROR(MAX($Y$12:$Y648), 0) + 1),
        IF(ISNUMBER(SEARCH(".", D649)), "", INDEX($C$12:$C649, MATCH(2, 1/($C$12:$C649 &lt;&gt; ""))))
    )
)</f>
        <v/>
      </c>
      <c r="D649" s="206"/>
      <c r="E649" s="206" t="str">
        <f>IF(AA649 = "", "",
    IF(ISNUMBER(SEARCH("Kiện", C649)),
       " GÓI " &amp; COUNTIF($C$13:C649, "*Kiện*") &amp; "/" &amp; COUNTIF($C$13:$C$1000, "*Kiện*") &amp; " " &amp; AA649,
       AA649)
)</f>
        <v/>
      </c>
      <c r="F649" s="206"/>
      <c r="G649" s="206"/>
      <c r="H649" s="206"/>
      <c r="I649" s="206"/>
      <c r="J649" s="206" t="str">
        <f t="shared" si="168"/>
        <v/>
      </c>
      <c r="K649" s="206" t="str">
        <f t="shared" si="156"/>
        <v/>
      </c>
      <c r="L649" s="206" t="str">
        <f t="shared" si="157"/>
        <v/>
      </c>
      <c r="M649" s="206" t="str">
        <f t="shared" si="158"/>
        <v/>
      </c>
      <c r="N649" s="206" t="str">
        <f t="shared" si="169"/>
        <v/>
      </c>
      <c r="O649" s="206" t="str">
        <f t="shared" si="159"/>
        <v/>
      </c>
      <c r="P649" s="165" t="str">
        <f t="shared" si="160"/>
        <v/>
      </c>
      <c r="Q649" s="207"/>
      <c r="R649" s="141" t="str">
        <f>IF(S649="IN",'BOM_Phan II'!$Y$3,"")</f>
        <v/>
      </c>
      <c r="S649" s="153" t="str">
        <f t="shared" si="161"/>
        <v/>
      </c>
      <c r="T649">
        <f t="shared" si="162"/>
        <v>6</v>
      </c>
      <c r="U649" s="208" t="str">
        <f t="shared" si="170"/>
        <v>KIỆN 9</v>
      </c>
      <c r="V649" s="208" t="str">
        <f t="shared" si="163"/>
        <v/>
      </c>
      <c r="W649" s="240"/>
      <c r="X649" s="240"/>
      <c r="Y649" s="240" t="str">
        <f t="shared" si="164"/>
        <v/>
      </c>
      <c r="Z649" s="240"/>
      <c r="AD649" s="232" t="str">
        <f t="shared" si="165"/>
        <v/>
      </c>
      <c r="AE649" s="204"/>
      <c r="AX649" s="3" t="str">
        <f t="shared" si="155"/>
        <v/>
      </c>
    </row>
    <row r="650" spans="1:50" s="155" customFormat="1" ht="30" hidden="1" customHeight="1">
      <c r="A650" s="141" t="str">
        <f t="shared" si="166"/>
        <v/>
      </c>
      <c r="B650" s="141" t="str">
        <f t="shared" si="167"/>
        <v/>
      </c>
      <c r="C650" s="205" t="str" cm="1">
        <f t="array" ref="C650">IF(D650="","",
    IF(AND(ISNUMBER(D650), D650=INT(D650)),
        $V$6 &amp; " " &amp; (IFERROR(MAX($Y$12:$Y649), 0) + 1),
        IF(ISNUMBER(SEARCH(".", D650)), "", INDEX($C$12:$C650, MATCH(2, 1/($C$12:$C650 &lt;&gt; ""))))
    )
)</f>
        <v/>
      </c>
      <c r="D650" s="206"/>
      <c r="E650" s="206" t="str">
        <f>IF(AA650 = "", "",
    IF(ISNUMBER(SEARCH("Kiện", C650)),
       " GÓI " &amp; COUNTIF($C$13:C650, "*Kiện*") &amp; "/" &amp; COUNTIF($C$13:$C$1000, "*Kiện*") &amp; " " &amp; AA650,
       AA650)
)</f>
        <v/>
      </c>
      <c r="F650" s="206"/>
      <c r="G650" s="206"/>
      <c r="H650" s="206"/>
      <c r="I650" s="206"/>
      <c r="J650" s="206" t="str">
        <f t="shared" si="168"/>
        <v/>
      </c>
      <c r="K650" s="206" t="str">
        <f t="shared" si="156"/>
        <v/>
      </c>
      <c r="L650" s="206" t="str">
        <f t="shared" si="157"/>
        <v/>
      </c>
      <c r="M650" s="206" t="str">
        <f t="shared" si="158"/>
        <v/>
      </c>
      <c r="N650" s="206" t="str">
        <f t="shared" si="169"/>
        <v/>
      </c>
      <c r="O650" s="206" t="str">
        <f t="shared" si="159"/>
        <v/>
      </c>
      <c r="P650" s="165" t="str">
        <f t="shared" si="160"/>
        <v/>
      </c>
      <c r="Q650" s="207"/>
      <c r="R650" s="141" t="str">
        <f>IF(S650="IN",'BOM_Phan II'!$Y$3,"")</f>
        <v/>
      </c>
      <c r="S650" s="153" t="str">
        <f t="shared" si="161"/>
        <v/>
      </c>
      <c r="T650">
        <f t="shared" si="162"/>
        <v>6</v>
      </c>
      <c r="U650" s="208" t="str">
        <f t="shared" si="170"/>
        <v>KIỆN 9</v>
      </c>
      <c r="V650" s="208" t="str">
        <f t="shared" si="163"/>
        <v/>
      </c>
      <c r="W650" s="240"/>
      <c r="X650" s="240"/>
      <c r="Y650" s="240" t="str">
        <f t="shared" si="164"/>
        <v/>
      </c>
      <c r="Z650" s="240"/>
      <c r="AD650" s="232" t="str">
        <f t="shared" si="165"/>
        <v/>
      </c>
      <c r="AE650" s="204"/>
      <c r="AX650" s="3" t="str">
        <f t="shared" si="155"/>
        <v/>
      </c>
    </row>
    <row r="651" spans="1:50" s="155" customFormat="1" ht="30" hidden="1" customHeight="1">
      <c r="A651" s="141" t="str">
        <f t="shared" si="166"/>
        <v/>
      </c>
      <c r="B651" s="141" t="str">
        <f t="shared" si="167"/>
        <v/>
      </c>
      <c r="C651" s="205" t="str" cm="1">
        <f t="array" ref="C651">IF(D651="","",
    IF(AND(ISNUMBER(D651), D651=INT(D651)),
        $V$6 &amp; " " &amp; (IFERROR(MAX($Y$12:$Y650), 0) + 1),
        IF(ISNUMBER(SEARCH(".", D651)), "", INDEX($C$12:$C651, MATCH(2, 1/($C$12:$C651 &lt;&gt; ""))))
    )
)</f>
        <v/>
      </c>
      <c r="D651" s="206"/>
      <c r="E651" s="206" t="str">
        <f>IF(AA651 = "", "",
    IF(ISNUMBER(SEARCH("Kiện", C651)),
       " GÓI " &amp; COUNTIF($C$13:C651, "*Kiện*") &amp; "/" &amp; COUNTIF($C$13:$C$1000, "*Kiện*") &amp; " " &amp; AA651,
       AA651)
)</f>
        <v/>
      </c>
      <c r="F651" s="206"/>
      <c r="G651" s="206"/>
      <c r="H651" s="206"/>
      <c r="I651" s="206"/>
      <c r="J651" s="206" t="str">
        <f t="shared" si="168"/>
        <v/>
      </c>
      <c r="K651" s="206" t="str">
        <f t="shared" si="156"/>
        <v/>
      </c>
      <c r="L651" s="206" t="str">
        <f t="shared" si="157"/>
        <v/>
      </c>
      <c r="M651" s="206" t="str">
        <f t="shared" si="158"/>
        <v/>
      </c>
      <c r="N651" s="206" t="str">
        <f t="shared" si="169"/>
        <v/>
      </c>
      <c r="O651" s="206" t="str">
        <f t="shared" si="159"/>
        <v/>
      </c>
      <c r="P651" s="165" t="str">
        <f t="shared" si="160"/>
        <v/>
      </c>
      <c r="Q651" s="207"/>
      <c r="R651" s="141" t="str">
        <f>IF(S651="IN",'BOM_Phan II'!$Y$3,"")</f>
        <v/>
      </c>
      <c r="S651" s="153" t="str">
        <f t="shared" si="161"/>
        <v/>
      </c>
      <c r="T651">
        <f t="shared" si="162"/>
        <v>6</v>
      </c>
      <c r="U651" s="208" t="str">
        <f t="shared" si="170"/>
        <v>KIỆN 9</v>
      </c>
      <c r="V651" s="208" t="str">
        <f t="shared" si="163"/>
        <v/>
      </c>
      <c r="W651" s="240"/>
      <c r="X651" s="240"/>
      <c r="Y651" s="240" t="str">
        <f t="shared" si="164"/>
        <v/>
      </c>
      <c r="Z651" s="240"/>
      <c r="AD651" s="232" t="str">
        <f t="shared" si="165"/>
        <v/>
      </c>
      <c r="AE651" s="204"/>
      <c r="AX651" s="3" t="str">
        <f t="shared" si="155"/>
        <v/>
      </c>
    </row>
    <row r="652" spans="1:50" s="155" customFormat="1" ht="30" hidden="1" customHeight="1">
      <c r="A652" s="141" t="str">
        <f t="shared" si="166"/>
        <v/>
      </c>
      <c r="B652" s="141" t="str">
        <f t="shared" si="167"/>
        <v/>
      </c>
      <c r="C652" s="205" t="str" cm="1">
        <f t="array" ref="C652">IF(D652="","",
    IF(AND(ISNUMBER(D652), D652=INT(D652)),
        $V$6 &amp; " " &amp; (IFERROR(MAX($Y$12:$Y651), 0) + 1),
        IF(ISNUMBER(SEARCH(".", D652)), "", INDEX($C$12:$C652, MATCH(2, 1/($C$12:$C652 &lt;&gt; ""))))
    )
)</f>
        <v/>
      </c>
      <c r="D652" s="206"/>
      <c r="E652" s="206" t="str">
        <f>IF(AA652 = "", "",
    IF(ISNUMBER(SEARCH("Kiện", C652)),
       " GÓI " &amp; COUNTIF($C$13:C652, "*Kiện*") &amp; "/" &amp; COUNTIF($C$13:$C$1000, "*Kiện*") &amp; " " &amp; AA652,
       AA652)
)</f>
        <v/>
      </c>
      <c r="F652" s="206"/>
      <c r="G652" s="206"/>
      <c r="H652" s="206"/>
      <c r="I652" s="206"/>
      <c r="J652" s="206" t="str">
        <f t="shared" si="168"/>
        <v/>
      </c>
      <c r="K652" s="206" t="str">
        <f t="shared" si="156"/>
        <v/>
      </c>
      <c r="L652" s="206" t="str">
        <f t="shared" si="157"/>
        <v/>
      </c>
      <c r="M652" s="206" t="str">
        <f t="shared" si="158"/>
        <v/>
      </c>
      <c r="N652" s="206" t="str">
        <f t="shared" si="169"/>
        <v/>
      </c>
      <c r="O652" s="206" t="str">
        <f t="shared" si="159"/>
        <v/>
      </c>
      <c r="P652" s="165" t="str">
        <f t="shared" si="160"/>
        <v/>
      </c>
      <c r="Q652" s="207"/>
      <c r="R652" s="141" t="str">
        <f>IF(S652="IN",'BOM_Phan II'!$Y$3,"")</f>
        <v/>
      </c>
      <c r="S652" s="153" t="str">
        <f t="shared" si="161"/>
        <v/>
      </c>
      <c r="T652">
        <f t="shared" si="162"/>
        <v>6</v>
      </c>
      <c r="U652" s="208" t="str">
        <f t="shared" si="170"/>
        <v>KIỆN 9</v>
      </c>
      <c r="V652" s="208" t="str">
        <f t="shared" si="163"/>
        <v/>
      </c>
      <c r="W652" s="240"/>
      <c r="X652" s="240"/>
      <c r="Y652" s="240" t="str">
        <f t="shared" si="164"/>
        <v/>
      </c>
      <c r="Z652" s="240"/>
      <c r="AD652" s="232" t="str">
        <f t="shared" si="165"/>
        <v/>
      </c>
      <c r="AE652" s="204"/>
      <c r="AX652" s="3" t="str">
        <f t="shared" ref="AX652:AX715" si="171">+S652</f>
        <v/>
      </c>
    </row>
    <row r="653" spans="1:50" s="155" customFormat="1" ht="30" hidden="1" customHeight="1">
      <c r="A653" s="141" t="str">
        <f t="shared" si="166"/>
        <v/>
      </c>
      <c r="B653" s="141" t="str">
        <f t="shared" si="167"/>
        <v/>
      </c>
      <c r="C653" s="205" t="str" cm="1">
        <f t="array" ref="C653">IF(D653="","",
    IF(AND(ISNUMBER(D653), D653=INT(D653)),
        $V$6 &amp; " " &amp; (IFERROR(MAX($Y$12:$Y652), 0) + 1),
        IF(ISNUMBER(SEARCH(".", D653)), "", INDEX($C$12:$C653, MATCH(2, 1/($C$12:$C653 &lt;&gt; ""))))
    )
)</f>
        <v/>
      </c>
      <c r="D653" s="206"/>
      <c r="E653" s="206" t="str">
        <f>IF(AA653 = "", "",
    IF(ISNUMBER(SEARCH("Kiện", C653)),
       " GÓI " &amp; COUNTIF($C$13:C653, "*Kiện*") &amp; "/" &amp; COUNTIF($C$13:$C$1000, "*Kiện*") &amp; " " &amp; AA653,
       AA653)
)</f>
        <v/>
      </c>
      <c r="F653" s="206"/>
      <c r="G653" s="206"/>
      <c r="H653" s="206"/>
      <c r="I653" s="206"/>
      <c r="J653" s="206" t="str">
        <f t="shared" si="168"/>
        <v/>
      </c>
      <c r="K653" s="206" t="str">
        <f t="shared" si="156"/>
        <v/>
      </c>
      <c r="L653" s="206" t="str">
        <f t="shared" si="157"/>
        <v/>
      </c>
      <c r="M653" s="206" t="str">
        <f t="shared" si="158"/>
        <v/>
      </c>
      <c r="N653" s="206" t="str">
        <f t="shared" si="169"/>
        <v/>
      </c>
      <c r="O653" s="206" t="str">
        <f t="shared" si="159"/>
        <v/>
      </c>
      <c r="P653" s="165" t="str">
        <f t="shared" si="160"/>
        <v/>
      </c>
      <c r="Q653" s="207"/>
      <c r="R653" s="141" t="str">
        <f>IF(S653="IN",'BOM_Phan II'!$Y$3,"")</f>
        <v/>
      </c>
      <c r="S653" s="153" t="str">
        <f t="shared" si="161"/>
        <v/>
      </c>
      <c r="T653">
        <f t="shared" si="162"/>
        <v>6</v>
      </c>
      <c r="U653" s="208" t="str">
        <f t="shared" si="170"/>
        <v>KIỆN 9</v>
      </c>
      <c r="V653" s="208" t="str">
        <f t="shared" si="163"/>
        <v/>
      </c>
      <c r="W653" s="240"/>
      <c r="X653" s="240"/>
      <c r="Y653" s="240" t="str">
        <f t="shared" si="164"/>
        <v/>
      </c>
      <c r="Z653" s="240"/>
      <c r="AD653" s="232" t="str">
        <f t="shared" si="165"/>
        <v/>
      </c>
      <c r="AE653" s="204"/>
      <c r="AX653" s="3" t="str">
        <f t="shared" si="171"/>
        <v/>
      </c>
    </row>
    <row r="654" spans="1:50" s="155" customFormat="1" ht="30" hidden="1" customHeight="1">
      <c r="A654" s="141" t="str">
        <f t="shared" si="166"/>
        <v/>
      </c>
      <c r="B654" s="141" t="str">
        <f t="shared" si="167"/>
        <v/>
      </c>
      <c r="C654" s="205" t="str" cm="1">
        <f t="array" ref="C654">IF(D654="","",
    IF(AND(ISNUMBER(D654), D654=INT(D654)),
        $V$6 &amp; " " &amp; (IFERROR(MAX($Y$12:$Y653), 0) + 1),
        IF(ISNUMBER(SEARCH(".", D654)), "", INDEX($C$12:$C654, MATCH(2, 1/($C$12:$C654 &lt;&gt; ""))))
    )
)</f>
        <v/>
      </c>
      <c r="D654" s="206"/>
      <c r="E654" s="206" t="str">
        <f>IF(AA654 = "", "",
    IF(ISNUMBER(SEARCH("Kiện", C654)),
       " GÓI " &amp; COUNTIF($C$13:C654, "*Kiện*") &amp; "/" &amp; COUNTIF($C$13:$C$1000, "*Kiện*") &amp; " " &amp; AA654,
       AA654)
)</f>
        <v/>
      </c>
      <c r="F654" s="206"/>
      <c r="G654" s="206"/>
      <c r="H654" s="206"/>
      <c r="I654" s="206"/>
      <c r="J654" s="206" t="str">
        <f t="shared" si="168"/>
        <v/>
      </c>
      <c r="K654" s="206" t="str">
        <f t="shared" ref="K654:K717" si="172">IFERROR(IF($C654&lt;&gt;"",IF($T$13=1,F654+20,IF($T$13=2,F654+20,IF($T$13=3,F654+50,IF($T$13=4,F654+40,IF($T$13=5,F654+50,IF($T$13=51,F654+50,IF($T$13=6,F654+50,IF($T$13=7,F654+50,"")))))))),""),"")</f>
        <v/>
      </c>
      <c r="L654" s="206" t="str">
        <f t="shared" ref="L654:L717" si="173">IFERROR(IF($C654&lt;&gt;"",IF($T$13=1,G654+20,IF($T$13=2,G654+20,IF($T$13=3,G654+50,IF($T$13=4,G654+40,IF($T$13=5,G654+50,IF($T$13=51,G654+50,IF($T$13=6,G654+50,IF($T$13=7,G654+50,"")))))))),""),"")</f>
        <v/>
      </c>
      <c r="M654" s="206" t="str">
        <f t="shared" ref="M654:M717" si="174">IFERROR(IF($C654&lt;&gt;"",IF($T$13=1,H654+20,IF($T$13=2,H654+20,IF($T$13=3,H654+70,IF($T$13=4,H654+40,IF($T$13=5,H654+50,IF($T$13=51,H654+150,IF($T$13=6,H654+50,IF($T$13=7,H654+50,"")))))))),""),"")</f>
        <v/>
      </c>
      <c r="N654" s="206" t="str">
        <f t="shared" si="169"/>
        <v/>
      </c>
      <c r="O654" s="206" t="str">
        <f t="shared" ref="O654:O717" si="175">IF(C654&lt;&gt;"",$O$12,"")</f>
        <v/>
      </c>
      <c r="P654" s="165" t="str">
        <f t="shared" ref="P654:P717" si="176">IFERROR(IF(C654&lt;&gt;"",SUMIFS($V$13:$V$969,$U$13:$U$969,C654)*$S$6,V654*$S$6),"")</f>
        <v/>
      </c>
      <c r="Q654" s="207"/>
      <c r="R654" s="141" t="str">
        <f>IF(S654="IN",'BOM_Phan II'!$Y$3,"")</f>
        <v/>
      </c>
      <c r="S654" s="153" t="str">
        <f t="shared" ref="S654:S717" si="177">IF(OR(E654&lt;&gt;"",D654&lt;&gt;""),"IN","")</f>
        <v/>
      </c>
      <c r="T654">
        <f t="shared" ref="T654:T717" si="178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654" s="208" t="str">
        <f t="shared" si="170"/>
        <v>KIỆN 9</v>
      </c>
      <c r="V654" s="208" t="str">
        <f t="shared" ref="V654:V717" si="179">IFERROR(IF(AND(C654="", OR($W654="1", $W654="2")), IF(I654="", "", F654*G654*H654*I654/10^9), ""), "")</f>
        <v/>
      </c>
      <c r="W654" s="240"/>
      <c r="X654" s="240"/>
      <c r="Y654" s="240" t="str">
        <f t="shared" ref="Y654:Y717" si="180">IFERROR(VALUE(RIGHT(C654,LEN(C654)-5)),"")</f>
        <v/>
      </c>
      <c r="Z654" s="240"/>
      <c r="AD654" s="232" t="str">
        <f t="shared" ref="AD654:AD717" si="181">IFERROR(VALUE(RIGHT(C654,LEN(C654)-5)),"")</f>
        <v/>
      </c>
      <c r="AE654" s="204"/>
      <c r="AX654" s="3" t="str">
        <f t="shared" si="171"/>
        <v/>
      </c>
    </row>
    <row r="655" spans="1:50" s="155" customFormat="1" ht="30" hidden="1" customHeight="1">
      <c r="A655" s="141" t="str">
        <f t="shared" si="166"/>
        <v/>
      </c>
      <c r="B655" s="141" t="str">
        <f t="shared" si="167"/>
        <v/>
      </c>
      <c r="C655" s="205" t="str" cm="1">
        <f t="array" ref="C655">IF(D655="","",
    IF(AND(ISNUMBER(D655), D655=INT(D655)),
        $V$6 &amp; " " &amp; (IFERROR(MAX($Y$12:$Y654), 0) + 1),
        IF(ISNUMBER(SEARCH(".", D655)), "", INDEX($C$12:$C655, MATCH(2, 1/($C$12:$C655 &lt;&gt; ""))))
    )
)</f>
        <v/>
      </c>
      <c r="D655" s="206"/>
      <c r="E655" s="206" t="str">
        <f>IF(AA655 = "", "",
    IF(ISNUMBER(SEARCH("Kiện", C655)),
       " GÓI " &amp; COUNTIF($C$13:C655, "*Kiện*") &amp; "/" &amp; COUNTIF($C$13:$C$1000, "*Kiện*") &amp; " " &amp; AA655,
       AA655)
)</f>
        <v/>
      </c>
      <c r="F655" s="206"/>
      <c r="G655" s="206"/>
      <c r="H655" s="206"/>
      <c r="I655" s="206"/>
      <c r="J655" s="206" t="str">
        <f t="shared" si="168"/>
        <v/>
      </c>
      <c r="K655" s="206" t="str">
        <f t="shared" si="172"/>
        <v/>
      </c>
      <c r="L655" s="206" t="str">
        <f t="shared" si="173"/>
        <v/>
      </c>
      <c r="M655" s="206" t="str">
        <f t="shared" si="174"/>
        <v/>
      </c>
      <c r="N655" s="206" t="str">
        <f t="shared" si="169"/>
        <v/>
      </c>
      <c r="O655" s="206" t="str">
        <f t="shared" si="175"/>
        <v/>
      </c>
      <c r="P655" s="165" t="str">
        <f t="shared" si="176"/>
        <v/>
      </c>
      <c r="Q655" s="207"/>
      <c r="R655" s="141" t="str">
        <f>IF(S655="IN",'BOM_Phan II'!$Y$3,"")</f>
        <v/>
      </c>
      <c r="S655" s="153" t="str">
        <f t="shared" si="177"/>
        <v/>
      </c>
      <c r="T655">
        <f t="shared" si="178"/>
        <v>6</v>
      </c>
      <c r="U655" s="208" t="str">
        <f t="shared" si="170"/>
        <v>KIỆN 9</v>
      </c>
      <c r="V655" s="208" t="str">
        <f t="shared" si="179"/>
        <v/>
      </c>
      <c r="W655" s="240"/>
      <c r="X655" s="240"/>
      <c r="Y655" s="240" t="str">
        <f t="shared" si="180"/>
        <v/>
      </c>
      <c r="Z655" s="240"/>
      <c r="AD655" s="232" t="str">
        <f t="shared" si="181"/>
        <v/>
      </c>
      <c r="AE655" s="204"/>
      <c r="AX655" s="3" t="str">
        <f t="shared" si="171"/>
        <v/>
      </c>
    </row>
    <row r="656" spans="1:50" s="155" customFormat="1" ht="30" hidden="1" customHeight="1">
      <c r="A656" s="141" t="str">
        <f t="shared" ref="A656:A719" si="182">IF(S656="IN",$E$6,"")</f>
        <v/>
      </c>
      <c r="B656" s="141" t="str">
        <f t="shared" ref="B656:B719" si="183">IF(S656="IN","Muc "&amp;$E$7,"")</f>
        <v/>
      </c>
      <c r="C656" s="205" t="str" cm="1">
        <f t="array" ref="C656">IF(D656="","",
    IF(AND(ISNUMBER(D656), D656=INT(D656)),
        $V$6 &amp; " " &amp; (IFERROR(MAX($Y$12:$Y655), 0) + 1),
        IF(ISNUMBER(SEARCH(".", D656)), "", INDEX($C$12:$C656, MATCH(2, 1/($C$12:$C656 &lt;&gt; ""))))
    )
)</f>
        <v/>
      </c>
      <c r="D656" s="206"/>
      <c r="E656" s="206" t="str">
        <f>IF(AA656 = "", "",
    IF(ISNUMBER(SEARCH("Kiện", C656)),
       " GÓI " &amp; COUNTIF($C$13:C656, "*Kiện*") &amp; "/" &amp; COUNTIF($C$13:$C$1000, "*Kiện*") &amp; " " &amp; AA656,
       AA656)
)</f>
        <v/>
      </c>
      <c r="F656" s="206"/>
      <c r="G656" s="206"/>
      <c r="H656" s="206"/>
      <c r="I656" s="206"/>
      <c r="J656" s="206" t="str">
        <f t="shared" ref="J656:J719" si="184">IF(C656&lt;&gt;"",C656&amp;"_"&amp;$E$6,"")</f>
        <v/>
      </c>
      <c r="K656" s="206" t="str">
        <f t="shared" si="172"/>
        <v/>
      </c>
      <c r="L656" s="206" t="str">
        <f t="shared" si="173"/>
        <v/>
      </c>
      <c r="M656" s="206" t="str">
        <f t="shared" si="174"/>
        <v/>
      </c>
      <c r="N656" s="206" t="str">
        <f t="shared" ref="N656:N719" si="185">IF(C656&lt;&gt;"",I656,"")</f>
        <v/>
      </c>
      <c r="O656" s="206" t="str">
        <f t="shared" si="175"/>
        <v/>
      </c>
      <c r="P656" s="165" t="str">
        <f t="shared" si="176"/>
        <v/>
      </c>
      <c r="Q656" s="207"/>
      <c r="R656" s="141" t="str">
        <f>IF(S656="IN",'BOM_Phan II'!$Y$3,"")</f>
        <v/>
      </c>
      <c r="S656" s="153" t="str">
        <f t="shared" si="177"/>
        <v/>
      </c>
      <c r="T656">
        <f t="shared" si="178"/>
        <v>6</v>
      </c>
      <c r="U656" s="208" t="str">
        <f t="shared" ref="U656:U719" si="186">IF(C656="",U655,C656)</f>
        <v>KIỆN 9</v>
      </c>
      <c r="V656" s="208" t="str">
        <f t="shared" si="179"/>
        <v/>
      </c>
      <c r="W656" s="240"/>
      <c r="X656" s="240"/>
      <c r="Y656" s="240" t="str">
        <f t="shared" si="180"/>
        <v/>
      </c>
      <c r="Z656" s="240"/>
      <c r="AD656" s="232" t="str">
        <f t="shared" si="181"/>
        <v/>
      </c>
      <c r="AE656" s="204"/>
      <c r="AX656" s="3" t="str">
        <f t="shared" si="171"/>
        <v/>
      </c>
    </row>
    <row r="657" spans="1:50" s="155" customFormat="1" ht="30" hidden="1" customHeight="1">
      <c r="A657" s="141" t="str">
        <f t="shared" si="182"/>
        <v/>
      </c>
      <c r="B657" s="141" t="str">
        <f t="shared" si="183"/>
        <v/>
      </c>
      <c r="C657" s="205" t="str" cm="1">
        <f t="array" ref="C657">IF(D657="","",
    IF(AND(ISNUMBER(D657), D657=INT(D657)),
        $V$6 &amp; " " &amp; (IFERROR(MAX($Y$12:$Y656), 0) + 1),
        IF(ISNUMBER(SEARCH(".", D657)), "", INDEX($C$12:$C657, MATCH(2, 1/($C$12:$C657 &lt;&gt; ""))))
    )
)</f>
        <v/>
      </c>
      <c r="D657" s="206"/>
      <c r="E657" s="206" t="str">
        <f>IF(AA657 = "", "",
    IF(ISNUMBER(SEARCH("Kiện", C657)),
       " GÓI " &amp; COUNTIF($C$13:C657, "*Kiện*") &amp; "/" &amp; COUNTIF($C$13:$C$1000, "*Kiện*") &amp; " " &amp; AA657,
       AA657)
)</f>
        <v/>
      </c>
      <c r="F657" s="206"/>
      <c r="G657" s="206"/>
      <c r="H657" s="206"/>
      <c r="I657" s="206"/>
      <c r="J657" s="206" t="str">
        <f t="shared" si="184"/>
        <v/>
      </c>
      <c r="K657" s="206" t="str">
        <f t="shared" si="172"/>
        <v/>
      </c>
      <c r="L657" s="206" t="str">
        <f t="shared" si="173"/>
        <v/>
      </c>
      <c r="M657" s="206" t="str">
        <f t="shared" si="174"/>
        <v/>
      </c>
      <c r="N657" s="206" t="str">
        <f t="shared" si="185"/>
        <v/>
      </c>
      <c r="O657" s="206" t="str">
        <f t="shared" si="175"/>
        <v/>
      </c>
      <c r="P657" s="165" t="str">
        <f t="shared" si="176"/>
        <v/>
      </c>
      <c r="Q657" s="207"/>
      <c r="R657" s="141" t="str">
        <f>IF(S657="IN",'BOM_Phan II'!$Y$3,"")</f>
        <v/>
      </c>
      <c r="S657" s="153" t="str">
        <f t="shared" si="177"/>
        <v/>
      </c>
      <c r="T657">
        <f t="shared" si="178"/>
        <v>6</v>
      </c>
      <c r="U657" s="208" t="str">
        <f t="shared" si="186"/>
        <v>KIỆN 9</v>
      </c>
      <c r="V657" s="208" t="str">
        <f t="shared" si="179"/>
        <v/>
      </c>
      <c r="W657" s="240"/>
      <c r="X657" s="240"/>
      <c r="Y657" s="240" t="str">
        <f t="shared" si="180"/>
        <v/>
      </c>
      <c r="Z657" s="240"/>
      <c r="AD657" s="232" t="str">
        <f t="shared" si="181"/>
        <v/>
      </c>
      <c r="AE657" s="204"/>
      <c r="AX657" s="3" t="str">
        <f t="shared" si="171"/>
        <v/>
      </c>
    </row>
    <row r="658" spans="1:50" s="155" customFormat="1" ht="30" hidden="1" customHeight="1">
      <c r="A658" s="141" t="str">
        <f t="shared" si="182"/>
        <v/>
      </c>
      <c r="B658" s="141" t="str">
        <f t="shared" si="183"/>
        <v/>
      </c>
      <c r="C658" s="205" t="str" cm="1">
        <f t="array" ref="C658">IF(D658="","",
    IF(AND(ISNUMBER(D658), D658=INT(D658)),
        $V$6 &amp; " " &amp; (IFERROR(MAX($Y$12:$Y657), 0) + 1),
        IF(ISNUMBER(SEARCH(".", D658)), "", INDEX($C$12:$C658, MATCH(2, 1/($C$12:$C658 &lt;&gt; ""))))
    )
)</f>
        <v/>
      </c>
      <c r="D658" s="206"/>
      <c r="E658" s="206" t="str">
        <f>IF(AA658 = "", "",
    IF(ISNUMBER(SEARCH("Kiện", C658)),
       " GÓI " &amp; COUNTIF($C$13:C658, "*Kiện*") &amp; "/" &amp; COUNTIF($C$13:$C$1000, "*Kiện*") &amp; " " &amp; AA658,
       AA658)
)</f>
        <v/>
      </c>
      <c r="F658" s="206"/>
      <c r="G658" s="206"/>
      <c r="H658" s="206"/>
      <c r="I658" s="206"/>
      <c r="J658" s="206" t="str">
        <f t="shared" si="184"/>
        <v/>
      </c>
      <c r="K658" s="206" t="str">
        <f t="shared" si="172"/>
        <v/>
      </c>
      <c r="L658" s="206" t="str">
        <f t="shared" si="173"/>
        <v/>
      </c>
      <c r="M658" s="206" t="str">
        <f t="shared" si="174"/>
        <v/>
      </c>
      <c r="N658" s="206" t="str">
        <f t="shared" si="185"/>
        <v/>
      </c>
      <c r="O658" s="206" t="str">
        <f t="shared" si="175"/>
        <v/>
      </c>
      <c r="P658" s="165" t="str">
        <f t="shared" si="176"/>
        <v/>
      </c>
      <c r="Q658" s="207"/>
      <c r="R658" s="141" t="str">
        <f>IF(S658="IN",'BOM_Phan II'!$Y$3,"")</f>
        <v/>
      </c>
      <c r="S658" s="153" t="str">
        <f t="shared" si="177"/>
        <v/>
      </c>
      <c r="T658">
        <f t="shared" si="178"/>
        <v>6</v>
      </c>
      <c r="U658" s="208" t="str">
        <f t="shared" si="186"/>
        <v>KIỆN 9</v>
      </c>
      <c r="V658" s="208" t="str">
        <f t="shared" si="179"/>
        <v/>
      </c>
      <c r="W658" s="240"/>
      <c r="X658" s="240"/>
      <c r="Y658" s="240" t="str">
        <f t="shared" si="180"/>
        <v/>
      </c>
      <c r="Z658" s="240"/>
      <c r="AD658" s="232" t="str">
        <f t="shared" si="181"/>
        <v/>
      </c>
      <c r="AE658" s="204"/>
      <c r="AX658" s="3" t="str">
        <f t="shared" si="171"/>
        <v/>
      </c>
    </row>
    <row r="659" spans="1:50" s="155" customFormat="1" ht="30" hidden="1" customHeight="1">
      <c r="A659" s="141" t="str">
        <f t="shared" si="182"/>
        <v/>
      </c>
      <c r="B659" s="141" t="str">
        <f t="shared" si="183"/>
        <v/>
      </c>
      <c r="C659" s="205" t="str" cm="1">
        <f t="array" ref="C659">IF(D659="","",
    IF(AND(ISNUMBER(D659), D659=INT(D659)),
        $V$6 &amp; " " &amp; (IFERROR(MAX($Y$12:$Y658), 0) + 1),
        IF(ISNUMBER(SEARCH(".", D659)), "", INDEX($C$12:$C659, MATCH(2, 1/($C$12:$C659 &lt;&gt; ""))))
    )
)</f>
        <v/>
      </c>
      <c r="D659" s="206"/>
      <c r="E659" s="206" t="str">
        <f>IF(AA659 = "", "",
    IF(ISNUMBER(SEARCH("Kiện", C659)),
       " GÓI " &amp; COUNTIF($C$13:C659, "*Kiện*") &amp; "/" &amp; COUNTIF($C$13:$C$1000, "*Kiện*") &amp; " " &amp; AA659,
       AA659)
)</f>
        <v/>
      </c>
      <c r="F659" s="206"/>
      <c r="G659" s="206"/>
      <c r="H659" s="206"/>
      <c r="I659" s="206"/>
      <c r="J659" s="206" t="str">
        <f t="shared" si="184"/>
        <v/>
      </c>
      <c r="K659" s="206" t="str">
        <f t="shared" si="172"/>
        <v/>
      </c>
      <c r="L659" s="206" t="str">
        <f t="shared" si="173"/>
        <v/>
      </c>
      <c r="M659" s="206" t="str">
        <f t="shared" si="174"/>
        <v/>
      </c>
      <c r="N659" s="206" t="str">
        <f t="shared" si="185"/>
        <v/>
      </c>
      <c r="O659" s="206" t="str">
        <f t="shared" si="175"/>
        <v/>
      </c>
      <c r="P659" s="165" t="str">
        <f t="shared" si="176"/>
        <v/>
      </c>
      <c r="Q659" s="207"/>
      <c r="R659" s="141" t="str">
        <f>IF(S659="IN",'BOM_Phan II'!$Y$3,"")</f>
        <v/>
      </c>
      <c r="S659" s="153" t="str">
        <f t="shared" si="177"/>
        <v/>
      </c>
      <c r="T659">
        <f t="shared" si="178"/>
        <v>6</v>
      </c>
      <c r="U659" s="208" t="str">
        <f t="shared" si="186"/>
        <v>KIỆN 9</v>
      </c>
      <c r="V659" s="208" t="str">
        <f t="shared" si="179"/>
        <v/>
      </c>
      <c r="W659" s="240"/>
      <c r="X659" s="240"/>
      <c r="Y659" s="240" t="str">
        <f t="shared" si="180"/>
        <v/>
      </c>
      <c r="Z659" s="240"/>
      <c r="AD659" s="232" t="str">
        <f t="shared" si="181"/>
        <v/>
      </c>
      <c r="AE659" s="204"/>
      <c r="AX659" s="3" t="str">
        <f t="shared" si="171"/>
        <v/>
      </c>
    </row>
    <row r="660" spans="1:50" s="155" customFormat="1" ht="30" hidden="1" customHeight="1">
      <c r="A660" s="141" t="str">
        <f t="shared" si="182"/>
        <v/>
      </c>
      <c r="B660" s="141" t="str">
        <f t="shared" si="183"/>
        <v/>
      </c>
      <c r="C660" s="205" t="str" cm="1">
        <f t="array" ref="C660">IF(D660="","",
    IF(AND(ISNUMBER(D660), D660=INT(D660)),
        $V$6 &amp; " " &amp; (IFERROR(MAX($Y$12:$Y659), 0) + 1),
        IF(ISNUMBER(SEARCH(".", D660)), "", INDEX($C$12:$C660, MATCH(2, 1/($C$12:$C660 &lt;&gt; ""))))
    )
)</f>
        <v/>
      </c>
      <c r="D660" s="206"/>
      <c r="E660" s="206" t="str">
        <f>IF(AA660 = "", "",
    IF(ISNUMBER(SEARCH("Kiện", C660)),
       " GÓI " &amp; COUNTIF($C$13:C660, "*Kiện*") &amp; "/" &amp; COUNTIF($C$13:$C$1000, "*Kiện*") &amp; " " &amp; AA660,
       AA660)
)</f>
        <v/>
      </c>
      <c r="F660" s="206"/>
      <c r="G660" s="206"/>
      <c r="H660" s="206"/>
      <c r="I660" s="206"/>
      <c r="J660" s="206" t="str">
        <f t="shared" si="184"/>
        <v/>
      </c>
      <c r="K660" s="206" t="str">
        <f t="shared" si="172"/>
        <v/>
      </c>
      <c r="L660" s="206" t="str">
        <f t="shared" si="173"/>
        <v/>
      </c>
      <c r="M660" s="206" t="str">
        <f t="shared" si="174"/>
        <v/>
      </c>
      <c r="N660" s="206" t="str">
        <f t="shared" si="185"/>
        <v/>
      </c>
      <c r="O660" s="206" t="str">
        <f t="shared" si="175"/>
        <v/>
      </c>
      <c r="P660" s="165" t="str">
        <f t="shared" si="176"/>
        <v/>
      </c>
      <c r="Q660" s="207"/>
      <c r="R660" s="141" t="str">
        <f>IF(S660="IN",'BOM_Phan II'!$Y$3,"")</f>
        <v/>
      </c>
      <c r="S660" s="153" t="str">
        <f t="shared" si="177"/>
        <v/>
      </c>
      <c r="T660">
        <f t="shared" si="178"/>
        <v>6</v>
      </c>
      <c r="U660" s="208" t="str">
        <f t="shared" si="186"/>
        <v>KIỆN 9</v>
      </c>
      <c r="V660" s="208" t="str">
        <f t="shared" si="179"/>
        <v/>
      </c>
      <c r="W660" s="240"/>
      <c r="X660" s="240"/>
      <c r="Y660" s="240" t="str">
        <f t="shared" si="180"/>
        <v/>
      </c>
      <c r="Z660" s="240"/>
      <c r="AD660" s="232" t="str">
        <f t="shared" si="181"/>
        <v/>
      </c>
      <c r="AE660" s="204"/>
      <c r="AX660" s="3" t="str">
        <f t="shared" si="171"/>
        <v/>
      </c>
    </row>
    <row r="661" spans="1:50" s="155" customFormat="1" ht="30" hidden="1" customHeight="1">
      <c r="A661" s="141" t="str">
        <f t="shared" si="182"/>
        <v/>
      </c>
      <c r="B661" s="141" t="str">
        <f t="shared" si="183"/>
        <v/>
      </c>
      <c r="C661" s="205" t="str" cm="1">
        <f t="array" ref="C661">IF(D661="","",
    IF(AND(ISNUMBER(D661), D661=INT(D661)),
        $V$6 &amp; " " &amp; (IFERROR(MAX($Y$12:$Y660), 0) + 1),
        IF(ISNUMBER(SEARCH(".", D661)), "", INDEX($C$12:$C661, MATCH(2, 1/($C$12:$C661 &lt;&gt; ""))))
    )
)</f>
        <v/>
      </c>
      <c r="D661" s="206"/>
      <c r="E661" s="206" t="str">
        <f>IF(AA661 = "", "",
    IF(ISNUMBER(SEARCH("Kiện", C661)),
       " GÓI " &amp; COUNTIF($C$13:C661, "*Kiện*") &amp; "/" &amp; COUNTIF($C$13:$C$1000, "*Kiện*") &amp; " " &amp; AA661,
       AA661)
)</f>
        <v/>
      </c>
      <c r="F661" s="206"/>
      <c r="G661" s="206"/>
      <c r="H661" s="206"/>
      <c r="I661" s="206"/>
      <c r="J661" s="206" t="str">
        <f t="shared" si="184"/>
        <v/>
      </c>
      <c r="K661" s="206" t="str">
        <f t="shared" si="172"/>
        <v/>
      </c>
      <c r="L661" s="206" t="str">
        <f t="shared" si="173"/>
        <v/>
      </c>
      <c r="M661" s="206" t="str">
        <f t="shared" si="174"/>
        <v/>
      </c>
      <c r="N661" s="206" t="str">
        <f t="shared" si="185"/>
        <v/>
      </c>
      <c r="O661" s="206" t="str">
        <f t="shared" si="175"/>
        <v/>
      </c>
      <c r="P661" s="165" t="str">
        <f t="shared" si="176"/>
        <v/>
      </c>
      <c r="Q661" s="207"/>
      <c r="R661" s="141" t="str">
        <f>IF(S661="IN",'BOM_Phan II'!$Y$3,"")</f>
        <v/>
      </c>
      <c r="S661" s="153" t="str">
        <f t="shared" si="177"/>
        <v/>
      </c>
      <c r="T661">
        <f t="shared" si="178"/>
        <v>6</v>
      </c>
      <c r="U661" s="208" t="str">
        <f t="shared" si="186"/>
        <v>KIỆN 9</v>
      </c>
      <c r="V661" s="208" t="str">
        <f t="shared" si="179"/>
        <v/>
      </c>
      <c r="W661" s="240"/>
      <c r="X661" s="240"/>
      <c r="Y661" s="240" t="str">
        <f t="shared" si="180"/>
        <v/>
      </c>
      <c r="Z661" s="240"/>
      <c r="AD661" s="232" t="str">
        <f t="shared" si="181"/>
        <v/>
      </c>
      <c r="AE661" s="204"/>
      <c r="AX661" s="3" t="str">
        <f t="shared" si="171"/>
        <v/>
      </c>
    </row>
    <row r="662" spans="1:50" s="155" customFormat="1" ht="30" hidden="1" customHeight="1">
      <c r="A662" s="141" t="str">
        <f t="shared" si="182"/>
        <v/>
      </c>
      <c r="B662" s="141" t="str">
        <f t="shared" si="183"/>
        <v/>
      </c>
      <c r="C662" s="205" t="str" cm="1">
        <f t="array" ref="C662">IF(D662="","",
    IF(AND(ISNUMBER(D662), D662=INT(D662)),
        $V$6 &amp; " " &amp; (IFERROR(MAX($Y$12:$Y661), 0) + 1),
        IF(ISNUMBER(SEARCH(".", D662)), "", INDEX($C$12:$C662, MATCH(2, 1/($C$12:$C662 &lt;&gt; ""))))
    )
)</f>
        <v/>
      </c>
      <c r="D662" s="206"/>
      <c r="E662" s="206" t="str">
        <f>IF(AA662 = "", "",
    IF(ISNUMBER(SEARCH("Kiện", C662)),
       " GÓI " &amp; COUNTIF($C$13:C662, "*Kiện*") &amp; "/" &amp; COUNTIF($C$13:$C$1000, "*Kiện*") &amp; " " &amp; AA662,
       AA662)
)</f>
        <v/>
      </c>
      <c r="F662" s="206"/>
      <c r="G662" s="206"/>
      <c r="H662" s="206"/>
      <c r="I662" s="206"/>
      <c r="J662" s="206" t="str">
        <f t="shared" si="184"/>
        <v/>
      </c>
      <c r="K662" s="206" t="str">
        <f t="shared" si="172"/>
        <v/>
      </c>
      <c r="L662" s="206" t="str">
        <f t="shared" si="173"/>
        <v/>
      </c>
      <c r="M662" s="206" t="str">
        <f t="shared" si="174"/>
        <v/>
      </c>
      <c r="N662" s="206" t="str">
        <f t="shared" si="185"/>
        <v/>
      </c>
      <c r="O662" s="206" t="str">
        <f t="shared" si="175"/>
        <v/>
      </c>
      <c r="P662" s="165" t="str">
        <f t="shared" si="176"/>
        <v/>
      </c>
      <c r="Q662" s="207"/>
      <c r="R662" s="141" t="str">
        <f>IF(S662="IN",'BOM_Phan II'!$Y$3,"")</f>
        <v/>
      </c>
      <c r="S662" s="153" t="str">
        <f t="shared" si="177"/>
        <v/>
      </c>
      <c r="T662">
        <f t="shared" si="178"/>
        <v>6</v>
      </c>
      <c r="U662" s="208" t="str">
        <f t="shared" si="186"/>
        <v>KIỆN 9</v>
      </c>
      <c r="V662" s="208" t="str">
        <f t="shared" si="179"/>
        <v/>
      </c>
      <c r="W662" s="240"/>
      <c r="X662" s="240"/>
      <c r="Y662" s="240" t="str">
        <f t="shared" si="180"/>
        <v/>
      </c>
      <c r="Z662" s="240"/>
      <c r="AD662" s="232" t="str">
        <f t="shared" si="181"/>
        <v/>
      </c>
      <c r="AE662" s="204"/>
      <c r="AX662" s="3" t="str">
        <f t="shared" si="171"/>
        <v/>
      </c>
    </row>
    <row r="663" spans="1:50" s="155" customFormat="1" ht="30" hidden="1" customHeight="1">
      <c r="A663" s="141" t="str">
        <f t="shared" si="182"/>
        <v/>
      </c>
      <c r="B663" s="141" t="str">
        <f t="shared" si="183"/>
        <v/>
      </c>
      <c r="C663" s="205" t="str" cm="1">
        <f t="array" ref="C663">IF(D663="","",
    IF(AND(ISNUMBER(D663), D663=INT(D663)),
        $V$6 &amp; " " &amp; (IFERROR(MAX($Y$12:$Y662), 0) + 1),
        IF(ISNUMBER(SEARCH(".", D663)), "", INDEX($C$12:$C663, MATCH(2, 1/($C$12:$C663 &lt;&gt; ""))))
    )
)</f>
        <v/>
      </c>
      <c r="D663" s="206"/>
      <c r="E663" s="206" t="str">
        <f>IF(AA663 = "", "",
    IF(ISNUMBER(SEARCH("Kiện", C663)),
       " GÓI " &amp; COUNTIF($C$13:C663, "*Kiện*") &amp; "/" &amp; COUNTIF($C$13:$C$1000, "*Kiện*") &amp; " " &amp; AA663,
       AA663)
)</f>
        <v/>
      </c>
      <c r="F663" s="206"/>
      <c r="G663" s="206"/>
      <c r="H663" s="206"/>
      <c r="I663" s="206"/>
      <c r="J663" s="206" t="str">
        <f t="shared" si="184"/>
        <v/>
      </c>
      <c r="K663" s="206" t="str">
        <f t="shared" si="172"/>
        <v/>
      </c>
      <c r="L663" s="206" t="str">
        <f t="shared" si="173"/>
        <v/>
      </c>
      <c r="M663" s="206" t="str">
        <f t="shared" si="174"/>
        <v/>
      </c>
      <c r="N663" s="206" t="str">
        <f t="shared" si="185"/>
        <v/>
      </c>
      <c r="O663" s="206" t="str">
        <f t="shared" si="175"/>
        <v/>
      </c>
      <c r="P663" s="165" t="str">
        <f t="shared" si="176"/>
        <v/>
      </c>
      <c r="Q663" s="207"/>
      <c r="R663" s="141" t="str">
        <f>IF(S663="IN",'BOM_Phan II'!$Y$3,"")</f>
        <v/>
      </c>
      <c r="S663" s="153" t="str">
        <f t="shared" si="177"/>
        <v/>
      </c>
      <c r="T663">
        <f t="shared" si="178"/>
        <v>6</v>
      </c>
      <c r="U663" s="208" t="str">
        <f t="shared" si="186"/>
        <v>KIỆN 9</v>
      </c>
      <c r="V663" s="208" t="str">
        <f t="shared" si="179"/>
        <v/>
      </c>
      <c r="W663" s="240"/>
      <c r="X663" s="240"/>
      <c r="Y663" s="240" t="str">
        <f t="shared" si="180"/>
        <v/>
      </c>
      <c r="Z663" s="240"/>
      <c r="AD663" s="232" t="str">
        <f t="shared" si="181"/>
        <v/>
      </c>
      <c r="AE663" s="204"/>
      <c r="AX663" s="3" t="str">
        <f t="shared" si="171"/>
        <v/>
      </c>
    </row>
    <row r="664" spans="1:50" s="155" customFormat="1" ht="30" hidden="1" customHeight="1">
      <c r="A664" s="141" t="str">
        <f t="shared" si="182"/>
        <v/>
      </c>
      <c r="B664" s="141" t="str">
        <f t="shared" si="183"/>
        <v/>
      </c>
      <c r="C664" s="205" t="str" cm="1">
        <f t="array" ref="C664">IF(D664="","",
    IF(AND(ISNUMBER(D664), D664=INT(D664)),
        $V$6 &amp; " " &amp; (IFERROR(MAX($Y$12:$Y663), 0) + 1),
        IF(ISNUMBER(SEARCH(".", D664)), "", INDEX($C$12:$C664, MATCH(2, 1/($C$12:$C664 &lt;&gt; ""))))
    )
)</f>
        <v/>
      </c>
      <c r="D664" s="206"/>
      <c r="E664" s="206" t="str">
        <f>IF(AA664 = "", "",
    IF(ISNUMBER(SEARCH("Kiện", C664)),
       " GÓI " &amp; COUNTIF($C$13:C664, "*Kiện*") &amp; "/" &amp; COUNTIF($C$13:$C$1000, "*Kiện*") &amp; " " &amp; AA664,
       AA664)
)</f>
        <v/>
      </c>
      <c r="F664" s="206"/>
      <c r="G664" s="206"/>
      <c r="H664" s="206"/>
      <c r="I664" s="206"/>
      <c r="J664" s="206" t="str">
        <f t="shared" si="184"/>
        <v/>
      </c>
      <c r="K664" s="206" t="str">
        <f t="shared" si="172"/>
        <v/>
      </c>
      <c r="L664" s="206" t="str">
        <f t="shared" si="173"/>
        <v/>
      </c>
      <c r="M664" s="206" t="str">
        <f t="shared" si="174"/>
        <v/>
      </c>
      <c r="N664" s="206" t="str">
        <f t="shared" si="185"/>
        <v/>
      </c>
      <c r="O664" s="206" t="str">
        <f t="shared" si="175"/>
        <v/>
      </c>
      <c r="P664" s="165" t="str">
        <f t="shared" si="176"/>
        <v/>
      </c>
      <c r="Q664" s="207"/>
      <c r="R664" s="141" t="str">
        <f>IF(S664="IN",'BOM_Phan II'!$Y$3,"")</f>
        <v/>
      </c>
      <c r="S664" s="153" t="str">
        <f t="shared" si="177"/>
        <v/>
      </c>
      <c r="T664">
        <f t="shared" si="178"/>
        <v>6</v>
      </c>
      <c r="U664" s="208" t="str">
        <f t="shared" si="186"/>
        <v>KIỆN 9</v>
      </c>
      <c r="V664" s="208" t="str">
        <f t="shared" si="179"/>
        <v/>
      </c>
      <c r="W664" s="240"/>
      <c r="X664" s="240"/>
      <c r="Y664" s="240" t="str">
        <f t="shared" si="180"/>
        <v/>
      </c>
      <c r="Z664" s="240"/>
      <c r="AD664" s="232" t="str">
        <f t="shared" si="181"/>
        <v/>
      </c>
      <c r="AE664" s="204"/>
      <c r="AX664" s="3" t="str">
        <f t="shared" si="171"/>
        <v/>
      </c>
    </row>
    <row r="665" spans="1:50" s="155" customFormat="1" ht="30" hidden="1" customHeight="1">
      <c r="A665" s="141" t="str">
        <f t="shared" si="182"/>
        <v/>
      </c>
      <c r="B665" s="141" t="str">
        <f t="shared" si="183"/>
        <v/>
      </c>
      <c r="C665" s="205" t="str" cm="1">
        <f t="array" ref="C665">IF(D665="","",
    IF(AND(ISNUMBER(D665), D665=INT(D665)),
        $V$6 &amp; " " &amp; (IFERROR(MAX($Y$12:$Y664), 0) + 1),
        IF(ISNUMBER(SEARCH(".", D665)), "", INDEX($C$12:$C665, MATCH(2, 1/($C$12:$C665 &lt;&gt; ""))))
    )
)</f>
        <v/>
      </c>
      <c r="D665" s="206"/>
      <c r="E665" s="206" t="str">
        <f>IF(AA665 = "", "",
    IF(ISNUMBER(SEARCH("Kiện", C665)),
       " GÓI " &amp; COUNTIF($C$13:C665, "*Kiện*") &amp; "/" &amp; COUNTIF($C$13:$C$1000, "*Kiện*") &amp; " " &amp; AA665,
       AA665)
)</f>
        <v/>
      </c>
      <c r="F665" s="206"/>
      <c r="G665" s="206"/>
      <c r="H665" s="206"/>
      <c r="I665" s="206"/>
      <c r="J665" s="206" t="str">
        <f t="shared" si="184"/>
        <v/>
      </c>
      <c r="K665" s="206" t="str">
        <f t="shared" si="172"/>
        <v/>
      </c>
      <c r="L665" s="206" t="str">
        <f t="shared" si="173"/>
        <v/>
      </c>
      <c r="M665" s="206" t="str">
        <f t="shared" si="174"/>
        <v/>
      </c>
      <c r="N665" s="206" t="str">
        <f t="shared" si="185"/>
        <v/>
      </c>
      <c r="O665" s="206" t="str">
        <f t="shared" si="175"/>
        <v/>
      </c>
      <c r="P665" s="165" t="str">
        <f t="shared" si="176"/>
        <v/>
      </c>
      <c r="Q665" s="207"/>
      <c r="R665" s="141" t="str">
        <f>IF(S665="IN",'BOM_Phan II'!$Y$3,"")</f>
        <v/>
      </c>
      <c r="S665" s="153" t="str">
        <f t="shared" si="177"/>
        <v/>
      </c>
      <c r="T665">
        <f t="shared" si="178"/>
        <v>6</v>
      </c>
      <c r="U665" s="208" t="str">
        <f t="shared" si="186"/>
        <v>KIỆN 9</v>
      </c>
      <c r="V665" s="208" t="str">
        <f t="shared" si="179"/>
        <v/>
      </c>
      <c r="W665" s="240"/>
      <c r="X665" s="240"/>
      <c r="Y665" s="240" t="str">
        <f t="shared" si="180"/>
        <v/>
      </c>
      <c r="Z665" s="240"/>
      <c r="AD665" s="232" t="str">
        <f t="shared" si="181"/>
        <v/>
      </c>
      <c r="AE665" s="204"/>
      <c r="AX665" s="3" t="str">
        <f t="shared" si="171"/>
        <v/>
      </c>
    </row>
    <row r="666" spans="1:50" s="155" customFormat="1" ht="30" hidden="1" customHeight="1">
      <c r="A666" s="141" t="str">
        <f t="shared" si="182"/>
        <v/>
      </c>
      <c r="B666" s="141" t="str">
        <f t="shared" si="183"/>
        <v/>
      </c>
      <c r="C666" s="205" t="str" cm="1">
        <f t="array" ref="C666">IF(D666="","",
    IF(AND(ISNUMBER(D666), D666=INT(D666)),
        $V$6 &amp; " " &amp; (IFERROR(MAX($Y$12:$Y665), 0) + 1),
        IF(ISNUMBER(SEARCH(".", D666)), "", INDEX($C$12:$C666, MATCH(2, 1/($C$12:$C666 &lt;&gt; ""))))
    )
)</f>
        <v/>
      </c>
      <c r="D666" s="206"/>
      <c r="E666" s="206" t="str">
        <f>IF(AA666 = "", "",
    IF(ISNUMBER(SEARCH("Kiện", C666)),
       " GÓI " &amp; COUNTIF($C$13:C666, "*Kiện*") &amp; "/" &amp; COUNTIF($C$13:$C$1000, "*Kiện*") &amp; " " &amp; AA666,
       AA666)
)</f>
        <v/>
      </c>
      <c r="F666" s="206"/>
      <c r="G666" s="206"/>
      <c r="H666" s="206"/>
      <c r="I666" s="206"/>
      <c r="J666" s="206" t="str">
        <f t="shared" si="184"/>
        <v/>
      </c>
      <c r="K666" s="206" t="str">
        <f t="shared" si="172"/>
        <v/>
      </c>
      <c r="L666" s="206" t="str">
        <f t="shared" si="173"/>
        <v/>
      </c>
      <c r="M666" s="206" t="str">
        <f t="shared" si="174"/>
        <v/>
      </c>
      <c r="N666" s="206" t="str">
        <f t="shared" si="185"/>
        <v/>
      </c>
      <c r="O666" s="206" t="str">
        <f t="shared" si="175"/>
        <v/>
      </c>
      <c r="P666" s="165" t="str">
        <f t="shared" si="176"/>
        <v/>
      </c>
      <c r="Q666" s="207"/>
      <c r="R666" s="141" t="str">
        <f>IF(S666="IN",'BOM_Phan II'!$Y$3,"")</f>
        <v/>
      </c>
      <c r="S666" s="153" t="str">
        <f t="shared" si="177"/>
        <v/>
      </c>
      <c r="T666">
        <f t="shared" si="178"/>
        <v>6</v>
      </c>
      <c r="U666" s="208" t="str">
        <f t="shared" si="186"/>
        <v>KIỆN 9</v>
      </c>
      <c r="V666" s="208" t="str">
        <f t="shared" si="179"/>
        <v/>
      </c>
      <c r="W666" s="240"/>
      <c r="X666" s="240"/>
      <c r="Y666" s="240" t="str">
        <f t="shared" si="180"/>
        <v/>
      </c>
      <c r="Z666" s="240"/>
      <c r="AD666" s="232" t="str">
        <f t="shared" si="181"/>
        <v/>
      </c>
      <c r="AE666" s="204"/>
      <c r="AX666" s="3" t="str">
        <f t="shared" si="171"/>
        <v/>
      </c>
    </row>
    <row r="667" spans="1:50" s="155" customFormat="1" ht="30" hidden="1" customHeight="1">
      <c r="A667" s="141" t="str">
        <f t="shared" si="182"/>
        <v/>
      </c>
      <c r="B667" s="141" t="str">
        <f t="shared" si="183"/>
        <v/>
      </c>
      <c r="C667" s="205" t="str" cm="1">
        <f t="array" ref="C667">IF(D667="","",
    IF(AND(ISNUMBER(D667), D667=INT(D667)),
        $V$6 &amp; " " &amp; (IFERROR(MAX($Y$12:$Y666), 0) + 1),
        IF(ISNUMBER(SEARCH(".", D667)), "", INDEX($C$12:$C667, MATCH(2, 1/($C$12:$C667 &lt;&gt; ""))))
    )
)</f>
        <v/>
      </c>
      <c r="D667" s="206"/>
      <c r="E667" s="206" t="str">
        <f>IF(AA667 = "", "",
    IF(ISNUMBER(SEARCH("Kiện", C667)),
       " GÓI " &amp; COUNTIF($C$13:C667, "*Kiện*") &amp; "/" &amp; COUNTIF($C$13:$C$1000, "*Kiện*") &amp; " " &amp; AA667,
       AA667)
)</f>
        <v/>
      </c>
      <c r="F667" s="206"/>
      <c r="G667" s="206"/>
      <c r="H667" s="206"/>
      <c r="I667" s="206"/>
      <c r="J667" s="206" t="str">
        <f t="shared" si="184"/>
        <v/>
      </c>
      <c r="K667" s="206" t="str">
        <f t="shared" si="172"/>
        <v/>
      </c>
      <c r="L667" s="206" t="str">
        <f t="shared" si="173"/>
        <v/>
      </c>
      <c r="M667" s="206" t="str">
        <f t="shared" si="174"/>
        <v/>
      </c>
      <c r="N667" s="206" t="str">
        <f t="shared" si="185"/>
        <v/>
      </c>
      <c r="O667" s="206" t="str">
        <f t="shared" si="175"/>
        <v/>
      </c>
      <c r="P667" s="165" t="str">
        <f t="shared" si="176"/>
        <v/>
      </c>
      <c r="Q667" s="207"/>
      <c r="R667" s="141" t="str">
        <f>IF(S667="IN",'BOM_Phan II'!$Y$3,"")</f>
        <v/>
      </c>
      <c r="S667" s="153" t="str">
        <f t="shared" si="177"/>
        <v/>
      </c>
      <c r="T667">
        <f t="shared" si="178"/>
        <v>6</v>
      </c>
      <c r="U667" s="208" t="str">
        <f t="shared" si="186"/>
        <v>KIỆN 9</v>
      </c>
      <c r="V667" s="208" t="str">
        <f t="shared" si="179"/>
        <v/>
      </c>
      <c r="W667" s="240"/>
      <c r="X667" s="240"/>
      <c r="Y667" s="240" t="str">
        <f t="shared" si="180"/>
        <v/>
      </c>
      <c r="Z667" s="240"/>
      <c r="AD667" s="232" t="str">
        <f t="shared" si="181"/>
        <v/>
      </c>
      <c r="AE667" s="204"/>
      <c r="AX667" s="3" t="str">
        <f t="shared" si="171"/>
        <v/>
      </c>
    </row>
    <row r="668" spans="1:50" s="155" customFormat="1" ht="30" hidden="1" customHeight="1">
      <c r="A668" s="141" t="str">
        <f t="shared" si="182"/>
        <v/>
      </c>
      <c r="B668" s="141" t="str">
        <f t="shared" si="183"/>
        <v/>
      </c>
      <c r="C668" s="205" t="str" cm="1">
        <f t="array" ref="C668">IF(D668="","",
    IF(AND(ISNUMBER(D668), D668=INT(D668)),
        $V$6 &amp; " " &amp; (IFERROR(MAX($Y$12:$Y667), 0) + 1),
        IF(ISNUMBER(SEARCH(".", D668)), "", INDEX($C$12:$C668, MATCH(2, 1/($C$12:$C668 &lt;&gt; ""))))
    )
)</f>
        <v/>
      </c>
      <c r="D668" s="206"/>
      <c r="E668" s="206" t="str">
        <f>IF(AA668 = "", "",
    IF(ISNUMBER(SEARCH("Kiện", C668)),
       " GÓI " &amp; COUNTIF($C$13:C668, "*Kiện*") &amp; "/" &amp; COUNTIF($C$13:$C$1000, "*Kiện*") &amp; " " &amp; AA668,
       AA668)
)</f>
        <v/>
      </c>
      <c r="F668" s="206"/>
      <c r="G668" s="206"/>
      <c r="H668" s="206"/>
      <c r="I668" s="206"/>
      <c r="J668" s="206" t="str">
        <f t="shared" si="184"/>
        <v/>
      </c>
      <c r="K668" s="206" t="str">
        <f t="shared" si="172"/>
        <v/>
      </c>
      <c r="L668" s="206" t="str">
        <f t="shared" si="173"/>
        <v/>
      </c>
      <c r="M668" s="206" t="str">
        <f t="shared" si="174"/>
        <v/>
      </c>
      <c r="N668" s="206" t="str">
        <f t="shared" si="185"/>
        <v/>
      </c>
      <c r="O668" s="206" t="str">
        <f t="shared" si="175"/>
        <v/>
      </c>
      <c r="P668" s="165" t="str">
        <f t="shared" si="176"/>
        <v/>
      </c>
      <c r="Q668" s="207"/>
      <c r="R668" s="141" t="str">
        <f>IF(S668="IN",'BOM_Phan II'!$Y$3,"")</f>
        <v/>
      </c>
      <c r="S668" s="153" t="str">
        <f t="shared" si="177"/>
        <v/>
      </c>
      <c r="T668">
        <f t="shared" si="178"/>
        <v>6</v>
      </c>
      <c r="U668" s="208" t="str">
        <f t="shared" si="186"/>
        <v>KIỆN 9</v>
      </c>
      <c r="V668" s="208" t="str">
        <f t="shared" si="179"/>
        <v/>
      </c>
      <c r="W668" s="240"/>
      <c r="X668" s="240"/>
      <c r="Y668" s="240" t="str">
        <f t="shared" si="180"/>
        <v/>
      </c>
      <c r="Z668" s="240"/>
      <c r="AD668" s="232" t="str">
        <f t="shared" si="181"/>
        <v/>
      </c>
      <c r="AE668" s="204"/>
      <c r="AX668" s="3" t="str">
        <f t="shared" si="171"/>
        <v/>
      </c>
    </row>
    <row r="669" spans="1:50" s="155" customFormat="1" ht="30" hidden="1" customHeight="1">
      <c r="A669" s="141" t="str">
        <f t="shared" si="182"/>
        <v/>
      </c>
      <c r="B669" s="141" t="str">
        <f t="shared" si="183"/>
        <v/>
      </c>
      <c r="C669" s="205" t="str" cm="1">
        <f t="array" ref="C669">IF(D669="","",
    IF(AND(ISNUMBER(D669), D669=INT(D669)),
        $V$6 &amp; " " &amp; (IFERROR(MAX($Y$12:$Y668), 0) + 1),
        IF(ISNUMBER(SEARCH(".", D669)), "", INDEX($C$12:$C669, MATCH(2, 1/($C$12:$C669 &lt;&gt; ""))))
    )
)</f>
        <v/>
      </c>
      <c r="D669" s="206"/>
      <c r="E669" s="206" t="str">
        <f>IF(AA669 = "", "",
    IF(ISNUMBER(SEARCH("Kiện", C669)),
       " GÓI " &amp; COUNTIF($C$13:C669, "*Kiện*") &amp; "/" &amp; COUNTIF($C$13:$C$1000, "*Kiện*") &amp; " " &amp; AA669,
       AA669)
)</f>
        <v/>
      </c>
      <c r="F669" s="206"/>
      <c r="G669" s="206"/>
      <c r="H669" s="206"/>
      <c r="I669" s="206"/>
      <c r="J669" s="206" t="str">
        <f t="shared" si="184"/>
        <v/>
      </c>
      <c r="K669" s="206" t="str">
        <f t="shared" si="172"/>
        <v/>
      </c>
      <c r="L669" s="206" t="str">
        <f t="shared" si="173"/>
        <v/>
      </c>
      <c r="M669" s="206" t="str">
        <f t="shared" si="174"/>
        <v/>
      </c>
      <c r="N669" s="206" t="str">
        <f t="shared" si="185"/>
        <v/>
      </c>
      <c r="O669" s="206" t="str">
        <f t="shared" si="175"/>
        <v/>
      </c>
      <c r="P669" s="165" t="str">
        <f t="shared" si="176"/>
        <v/>
      </c>
      <c r="Q669" s="207"/>
      <c r="R669" s="141" t="str">
        <f>IF(S669="IN",'BOM_Phan II'!$Y$3,"")</f>
        <v/>
      </c>
      <c r="S669" s="153" t="str">
        <f t="shared" si="177"/>
        <v/>
      </c>
      <c r="T669">
        <f t="shared" si="178"/>
        <v>6</v>
      </c>
      <c r="U669" s="208" t="str">
        <f t="shared" si="186"/>
        <v>KIỆN 9</v>
      </c>
      <c r="V669" s="208" t="str">
        <f t="shared" si="179"/>
        <v/>
      </c>
      <c r="W669" s="240"/>
      <c r="X669" s="240"/>
      <c r="Y669" s="240" t="str">
        <f t="shared" si="180"/>
        <v/>
      </c>
      <c r="Z669" s="240"/>
      <c r="AD669" s="232" t="str">
        <f t="shared" si="181"/>
        <v/>
      </c>
      <c r="AE669" s="204"/>
      <c r="AX669" s="3" t="str">
        <f t="shared" si="171"/>
        <v/>
      </c>
    </row>
    <row r="670" spans="1:50" s="155" customFormat="1" ht="30" hidden="1" customHeight="1">
      <c r="A670" s="141" t="str">
        <f t="shared" si="182"/>
        <v/>
      </c>
      <c r="B670" s="141" t="str">
        <f t="shared" si="183"/>
        <v/>
      </c>
      <c r="C670" s="205" t="str" cm="1">
        <f t="array" ref="C670">IF(D670="","",
    IF(AND(ISNUMBER(D670), D670=INT(D670)),
        $V$6 &amp; " " &amp; (IFERROR(MAX($Y$12:$Y669), 0) + 1),
        IF(ISNUMBER(SEARCH(".", D670)), "", INDEX($C$12:$C670, MATCH(2, 1/($C$12:$C670 &lt;&gt; ""))))
    )
)</f>
        <v/>
      </c>
      <c r="D670" s="206"/>
      <c r="E670" s="206" t="str">
        <f>IF(AA670 = "", "",
    IF(ISNUMBER(SEARCH("Kiện", C670)),
       " GÓI " &amp; COUNTIF($C$13:C670, "*Kiện*") &amp; "/" &amp; COUNTIF($C$13:$C$1000, "*Kiện*") &amp; " " &amp; AA670,
       AA670)
)</f>
        <v/>
      </c>
      <c r="F670" s="206"/>
      <c r="G670" s="206"/>
      <c r="H670" s="206"/>
      <c r="I670" s="206"/>
      <c r="J670" s="206" t="str">
        <f t="shared" si="184"/>
        <v/>
      </c>
      <c r="K670" s="206" t="str">
        <f t="shared" si="172"/>
        <v/>
      </c>
      <c r="L670" s="206" t="str">
        <f t="shared" si="173"/>
        <v/>
      </c>
      <c r="M670" s="206" t="str">
        <f t="shared" si="174"/>
        <v/>
      </c>
      <c r="N670" s="206" t="str">
        <f t="shared" si="185"/>
        <v/>
      </c>
      <c r="O670" s="206" t="str">
        <f t="shared" si="175"/>
        <v/>
      </c>
      <c r="P670" s="165" t="str">
        <f t="shared" si="176"/>
        <v/>
      </c>
      <c r="Q670" s="207"/>
      <c r="R670" s="141" t="str">
        <f>IF(S670="IN",'BOM_Phan II'!$Y$3,"")</f>
        <v/>
      </c>
      <c r="S670" s="153" t="str">
        <f t="shared" si="177"/>
        <v/>
      </c>
      <c r="T670">
        <f t="shared" si="178"/>
        <v>6</v>
      </c>
      <c r="U670" s="208" t="str">
        <f t="shared" si="186"/>
        <v>KIỆN 9</v>
      </c>
      <c r="V670" s="208" t="str">
        <f t="shared" si="179"/>
        <v/>
      </c>
      <c r="W670" s="240"/>
      <c r="X670" s="240"/>
      <c r="Y670" s="240" t="str">
        <f t="shared" si="180"/>
        <v/>
      </c>
      <c r="Z670" s="240"/>
      <c r="AD670" s="232" t="str">
        <f t="shared" si="181"/>
        <v/>
      </c>
      <c r="AE670" s="204"/>
      <c r="AX670" s="3" t="str">
        <f t="shared" si="171"/>
        <v/>
      </c>
    </row>
    <row r="671" spans="1:50" s="155" customFormat="1" ht="30" hidden="1" customHeight="1">
      <c r="A671" s="141" t="str">
        <f t="shared" si="182"/>
        <v/>
      </c>
      <c r="B671" s="141" t="str">
        <f t="shared" si="183"/>
        <v/>
      </c>
      <c r="C671" s="205" t="str" cm="1">
        <f t="array" ref="C671">IF(D671="","",
    IF(AND(ISNUMBER(D671), D671=INT(D671)),
        $V$6 &amp; " " &amp; (IFERROR(MAX($Y$12:$Y670), 0) + 1),
        IF(ISNUMBER(SEARCH(".", D671)), "", INDEX($C$12:$C671, MATCH(2, 1/($C$12:$C671 &lt;&gt; ""))))
    )
)</f>
        <v/>
      </c>
      <c r="D671" s="206"/>
      <c r="E671" s="206" t="str">
        <f>IF(AA671 = "", "",
    IF(ISNUMBER(SEARCH("Kiện", C671)),
       " GÓI " &amp; COUNTIF($C$13:C671, "*Kiện*") &amp; "/" &amp; COUNTIF($C$13:$C$1000, "*Kiện*") &amp; " " &amp; AA671,
       AA671)
)</f>
        <v/>
      </c>
      <c r="F671" s="206"/>
      <c r="G671" s="206"/>
      <c r="H671" s="206"/>
      <c r="I671" s="206"/>
      <c r="J671" s="206" t="str">
        <f t="shared" si="184"/>
        <v/>
      </c>
      <c r="K671" s="206" t="str">
        <f t="shared" si="172"/>
        <v/>
      </c>
      <c r="L671" s="206" t="str">
        <f t="shared" si="173"/>
        <v/>
      </c>
      <c r="M671" s="206" t="str">
        <f t="shared" si="174"/>
        <v/>
      </c>
      <c r="N671" s="206" t="str">
        <f t="shared" si="185"/>
        <v/>
      </c>
      <c r="O671" s="206" t="str">
        <f t="shared" si="175"/>
        <v/>
      </c>
      <c r="P671" s="165" t="str">
        <f t="shared" si="176"/>
        <v/>
      </c>
      <c r="Q671" s="207"/>
      <c r="R671" s="141" t="str">
        <f>IF(S671="IN",'BOM_Phan II'!$Y$3,"")</f>
        <v/>
      </c>
      <c r="S671" s="153" t="str">
        <f t="shared" si="177"/>
        <v/>
      </c>
      <c r="T671">
        <f t="shared" si="178"/>
        <v>6</v>
      </c>
      <c r="U671" s="208" t="str">
        <f t="shared" si="186"/>
        <v>KIỆN 9</v>
      </c>
      <c r="V671" s="208" t="str">
        <f t="shared" si="179"/>
        <v/>
      </c>
      <c r="W671" s="240"/>
      <c r="X671" s="240"/>
      <c r="Y671" s="240" t="str">
        <f t="shared" si="180"/>
        <v/>
      </c>
      <c r="Z671" s="240"/>
      <c r="AD671" s="232" t="str">
        <f t="shared" si="181"/>
        <v/>
      </c>
      <c r="AE671" s="204"/>
      <c r="AX671" s="3" t="str">
        <f t="shared" si="171"/>
        <v/>
      </c>
    </row>
    <row r="672" spans="1:50" s="155" customFormat="1" ht="30" hidden="1" customHeight="1">
      <c r="A672" s="141" t="str">
        <f t="shared" si="182"/>
        <v/>
      </c>
      <c r="B672" s="141" t="str">
        <f t="shared" si="183"/>
        <v/>
      </c>
      <c r="C672" s="205" t="str" cm="1">
        <f t="array" ref="C672">IF(D672="","",
    IF(AND(ISNUMBER(D672), D672=INT(D672)),
        $V$6 &amp; " " &amp; (IFERROR(MAX($Y$12:$Y671), 0) + 1),
        IF(ISNUMBER(SEARCH(".", D672)), "", INDEX($C$12:$C672, MATCH(2, 1/($C$12:$C672 &lt;&gt; ""))))
    )
)</f>
        <v/>
      </c>
      <c r="D672" s="206"/>
      <c r="E672" s="206" t="str">
        <f>IF(AA672 = "", "",
    IF(ISNUMBER(SEARCH("Kiện", C672)),
       " GÓI " &amp; COUNTIF($C$13:C672, "*Kiện*") &amp; "/" &amp; COUNTIF($C$13:$C$1000, "*Kiện*") &amp; " " &amp; AA672,
       AA672)
)</f>
        <v/>
      </c>
      <c r="F672" s="206"/>
      <c r="G672" s="206"/>
      <c r="H672" s="206"/>
      <c r="I672" s="206"/>
      <c r="J672" s="206" t="str">
        <f t="shared" si="184"/>
        <v/>
      </c>
      <c r="K672" s="206" t="str">
        <f t="shared" si="172"/>
        <v/>
      </c>
      <c r="L672" s="206" t="str">
        <f t="shared" si="173"/>
        <v/>
      </c>
      <c r="M672" s="206" t="str">
        <f t="shared" si="174"/>
        <v/>
      </c>
      <c r="N672" s="206" t="str">
        <f t="shared" si="185"/>
        <v/>
      </c>
      <c r="O672" s="206" t="str">
        <f t="shared" si="175"/>
        <v/>
      </c>
      <c r="P672" s="165" t="str">
        <f t="shared" si="176"/>
        <v/>
      </c>
      <c r="Q672" s="207"/>
      <c r="R672" s="141" t="str">
        <f>IF(S672="IN",'BOM_Phan II'!$Y$3,"")</f>
        <v/>
      </c>
      <c r="S672" s="153" t="str">
        <f t="shared" si="177"/>
        <v/>
      </c>
      <c r="T672">
        <f t="shared" si="178"/>
        <v>6</v>
      </c>
      <c r="U672" s="208" t="str">
        <f t="shared" si="186"/>
        <v>KIỆN 9</v>
      </c>
      <c r="V672" s="208" t="str">
        <f t="shared" si="179"/>
        <v/>
      </c>
      <c r="W672" s="240"/>
      <c r="X672" s="240"/>
      <c r="Y672" s="240" t="str">
        <f t="shared" si="180"/>
        <v/>
      </c>
      <c r="Z672" s="240"/>
      <c r="AD672" s="232" t="str">
        <f t="shared" si="181"/>
        <v/>
      </c>
      <c r="AE672" s="204"/>
      <c r="AX672" s="3" t="str">
        <f t="shared" si="171"/>
        <v/>
      </c>
    </row>
    <row r="673" spans="1:50" s="155" customFormat="1" ht="30" hidden="1" customHeight="1">
      <c r="A673" s="141" t="str">
        <f t="shared" si="182"/>
        <v/>
      </c>
      <c r="B673" s="141" t="str">
        <f t="shared" si="183"/>
        <v/>
      </c>
      <c r="C673" s="205" t="str" cm="1">
        <f t="array" ref="C673">IF(D673="","",
    IF(AND(ISNUMBER(D673), D673=INT(D673)),
        $V$6 &amp; " " &amp; (IFERROR(MAX($Y$12:$Y672), 0) + 1),
        IF(ISNUMBER(SEARCH(".", D673)), "", INDEX($C$12:$C673, MATCH(2, 1/($C$12:$C673 &lt;&gt; ""))))
    )
)</f>
        <v/>
      </c>
      <c r="D673" s="206"/>
      <c r="E673" s="206" t="str">
        <f>IF(AA673 = "", "",
    IF(ISNUMBER(SEARCH("Kiện", C673)),
       " GÓI " &amp; COUNTIF($C$13:C673, "*Kiện*") &amp; "/" &amp; COUNTIF($C$13:$C$1000, "*Kiện*") &amp; " " &amp; AA673,
       AA673)
)</f>
        <v/>
      </c>
      <c r="F673" s="206"/>
      <c r="G673" s="206"/>
      <c r="H673" s="206"/>
      <c r="I673" s="206"/>
      <c r="J673" s="206" t="str">
        <f t="shared" si="184"/>
        <v/>
      </c>
      <c r="K673" s="206" t="str">
        <f t="shared" si="172"/>
        <v/>
      </c>
      <c r="L673" s="206" t="str">
        <f t="shared" si="173"/>
        <v/>
      </c>
      <c r="M673" s="206" t="str">
        <f t="shared" si="174"/>
        <v/>
      </c>
      <c r="N673" s="206" t="str">
        <f t="shared" si="185"/>
        <v/>
      </c>
      <c r="O673" s="206" t="str">
        <f t="shared" si="175"/>
        <v/>
      </c>
      <c r="P673" s="165" t="str">
        <f t="shared" si="176"/>
        <v/>
      </c>
      <c r="Q673" s="207"/>
      <c r="R673" s="141" t="str">
        <f>IF(S673="IN",'BOM_Phan II'!$Y$3,"")</f>
        <v/>
      </c>
      <c r="S673" s="153" t="str">
        <f t="shared" si="177"/>
        <v/>
      </c>
      <c r="T673">
        <f t="shared" si="178"/>
        <v>6</v>
      </c>
      <c r="U673" s="208" t="str">
        <f t="shared" si="186"/>
        <v>KIỆN 9</v>
      </c>
      <c r="V673" s="208" t="str">
        <f t="shared" si="179"/>
        <v/>
      </c>
      <c r="W673" s="240"/>
      <c r="X673" s="240"/>
      <c r="Y673" s="240" t="str">
        <f t="shared" si="180"/>
        <v/>
      </c>
      <c r="Z673" s="240"/>
      <c r="AD673" s="232" t="str">
        <f t="shared" si="181"/>
        <v/>
      </c>
      <c r="AE673" s="204"/>
      <c r="AX673" s="3" t="str">
        <f t="shared" si="171"/>
        <v/>
      </c>
    </row>
    <row r="674" spans="1:50" s="155" customFormat="1" ht="30" hidden="1" customHeight="1">
      <c r="A674" s="141" t="str">
        <f t="shared" si="182"/>
        <v/>
      </c>
      <c r="B674" s="141" t="str">
        <f t="shared" si="183"/>
        <v/>
      </c>
      <c r="C674" s="205" t="str" cm="1">
        <f t="array" ref="C674">IF(D674="","",
    IF(AND(ISNUMBER(D674), D674=INT(D674)),
        $V$6 &amp; " " &amp; (IFERROR(MAX($Y$12:$Y673), 0) + 1),
        IF(ISNUMBER(SEARCH(".", D674)), "", INDEX($C$12:$C674, MATCH(2, 1/($C$12:$C674 &lt;&gt; ""))))
    )
)</f>
        <v/>
      </c>
      <c r="D674" s="206"/>
      <c r="E674" s="206" t="str">
        <f>IF(AA674 = "", "",
    IF(ISNUMBER(SEARCH("Kiện", C674)),
       " GÓI " &amp; COUNTIF($C$13:C674, "*Kiện*") &amp; "/" &amp; COUNTIF($C$13:$C$1000, "*Kiện*") &amp; " " &amp; AA674,
       AA674)
)</f>
        <v/>
      </c>
      <c r="F674" s="206"/>
      <c r="G674" s="206"/>
      <c r="H674" s="206"/>
      <c r="I674" s="206"/>
      <c r="J674" s="206" t="str">
        <f t="shared" si="184"/>
        <v/>
      </c>
      <c r="K674" s="206" t="str">
        <f t="shared" si="172"/>
        <v/>
      </c>
      <c r="L674" s="206" t="str">
        <f t="shared" si="173"/>
        <v/>
      </c>
      <c r="M674" s="206" t="str">
        <f t="shared" si="174"/>
        <v/>
      </c>
      <c r="N674" s="206" t="str">
        <f t="shared" si="185"/>
        <v/>
      </c>
      <c r="O674" s="206" t="str">
        <f t="shared" si="175"/>
        <v/>
      </c>
      <c r="P674" s="165" t="str">
        <f t="shared" si="176"/>
        <v/>
      </c>
      <c r="Q674" s="207"/>
      <c r="R674" s="141" t="str">
        <f>IF(S674="IN",'BOM_Phan II'!$Y$3,"")</f>
        <v/>
      </c>
      <c r="S674" s="153" t="str">
        <f t="shared" si="177"/>
        <v/>
      </c>
      <c r="T674">
        <f t="shared" si="178"/>
        <v>6</v>
      </c>
      <c r="U674" s="208" t="str">
        <f t="shared" si="186"/>
        <v>KIỆN 9</v>
      </c>
      <c r="V674" s="208" t="str">
        <f t="shared" si="179"/>
        <v/>
      </c>
      <c r="W674" s="240"/>
      <c r="X674" s="240"/>
      <c r="Y674" s="240" t="str">
        <f t="shared" si="180"/>
        <v/>
      </c>
      <c r="Z674" s="240"/>
      <c r="AD674" s="232" t="str">
        <f t="shared" si="181"/>
        <v/>
      </c>
      <c r="AE674" s="204"/>
      <c r="AX674" s="3" t="str">
        <f t="shared" si="171"/>
        <v/>
      </c>
    </row>
    <row r="675" spans="1:50" s="155" customFormat="1" ht="30" hidden="1" customHeight="1">
      <c r="A675" s="141" t="str">
        <f t="shared" si="182"/>
        <v/>
      </c>
      <c r="B675" s="141" t="str">
        <f t="shared" si="183"/>
        <v/>
      </c>
      <c r="C675" s="205" t="str" cm="1">
        <f t="array" ref="C675">IF(D675="","",
    IF(AND(ISNUMBER(D675), D675=INT(D675)),
        $V$6 &amp; " " &amp; (IFERROR(MAX($Y$12:$Y674), 0) + 1),
        IF(ISNUMBER(SEARCH(".", D675)), "", INDEX($C$12:$C675, MATCH(2, 1/($C$12:$C675 &lt;&gt; ""))))
    )
)</f>
        <v/>
      </c>
      <c r="D675" s="206"/>
      <c r="E675" s="206" t="str">
        <f>IF(AA675 = "", "",
    IF(ISNUMBER(SEARCH("Kiện", C675)),
       " GÓI " &amp; COUNTIF($C$13:C675, "*Kiện*") &amp; "/" &amp; COUNTIF($C$13:$C$1000, "*Kiện*") &amp; " " &amp; AA675,
       AA675)
)</f>
        <v/>
      </c>
      <c r="F675" s="206"/>
      <c r="G675" s="206"/>
      <c r="H675" s="206"/>
      <c r="I675" s="206"/>
      <c r="J675" s="206" t="str">
        <f t="shared" si="184"/>
        <v/>
      </c>
      <c r="K675" s="206" t="str">
        <f t="shared" si="172"/>
        <v/>
      </c>
      <c r="L675" s="206" t="str">
        <f t="shared" si="173"/>
        <v/>
      </c>
      <c r="M675" s="206" t="str">
        <f t="shared" si="174"/>
        <v/>
      </c>
      <c r="N675" s="206" t="str">
        <f t="shared" si="185"/>
        <v/>
      </c>
      <c r="O675" s="206" t="str">
        <f t="shared" si="175"/>
        <v/>
      </c>
      <c r="P675" s="165" t="str">
        <f t="shared" si="176"/>
        <v/>
      </c>
      <c r="Q675" s="207"/>
      <c r="R675" s="141" t="str">
        <f>IF(S675="IN",'BOM_Phan II'!$Y$3,"")</f>
        <v/>
      </c>
      <c r="S675" s="153" t="str">
        <f t="shared" si="177"/>
        <v/>
      </c>
      <c r="T675">
        <f t="shared" si="178"/>
        <v>6</v>
      </c>
      <c r="U675" s="208" t="str">
        <f t="shared" si="186"/>
        <v>KIỆN 9</v>
      </c>
      <c r="V675" s="208" t="str">
        <f t="shared" si="179"/>
        <v/>
      </c>
      <c r="W675" s="240"/>
      <c r="X675" s="240"/>
      <c r="Y675" s="240" t="str">
        <f t="shared" si="180"/>
        <v/>
      </c>
      <c r="Z675" s="240"/>
      <c r="AD675" s="232" t="str">
        <f t="shared" si="181"/>
        <v/>
      </c>
      <c r="AE675" s="204"/>
      <c r="AX675" s="3" t="str">
        <f t="shared" si="171"/>
        <v/>
      </c>
    </row>
    <row r="676" spans="1:50" s="155" customFormat="1" ht="30" hidden="1" customHeight="1">
      <c r="A676" s="141" t="str">
        <f t="shared" si="182"/>
        <v/>
      </c>
      <c r="B676" s="141" t="str">
        <f t="shared" si="183"/>
        <v/>
      </c>
      <c r="C676" s="205" t="str" cm="1">
        <f t="array" ref="C676">IF(D676="","",
    IF(AND(ISNUMBER(D676), D676=INT(D676)),
        $V$6 &amp; " " &amp; (IFERROR(MAX($Y$12:$Y675), 0) + 1),
        IF(ISNUMBER(SEARCH(".", D676)), "", INDEX($C$12:$C676, MATCH(2, 1/($C$12:$C676 &lt;&gt; ""))))
    )
)</f>
        <v/>
      </c>
      <c r="D676" s="206"/>
      <c r="E676" s="206" t="str">
        <f>IF(AA676 = "", "",
    IF(ISNUMBER(SEARCH("Kiện", C676)),
       " GÓI " &amp; COUNTIF($C$13:C676, "*Kiện*") &amp; "/" &amp; COUNTIF($C$13:$C$1000, "*Kiện*") &amp; " " &amp; AA676,
       AA676)
)</f>
        <v/>
      </c>
      <c r="F676" s="206"/>
      <c r="G676" s="206"/>
      <c r="H676" s="206"/>
      <c r="I676" s="206"/>
      <c r="J676" s="206" t="str">
        <f t="shared" si="184"/>
        <v/>
      </c>
      <c r="K676" s="206" t="str">
        <f t="shared" si="172"/>
        <v/>
      </c>
      <c r="L676" s="206" t="str">
        <f t="shared" si="173"/>
        <v/>
      </c>
      <c r="M676" s="206" t="str">
        <f t="shared" si="174"/>
        <v/>
      </c>
      <c r="N676" s="206" t="str">
        <f t="shared" si="185"/>
        <v/>
      </c>
      <c r="O676" s="206" t="str">
        <f t="shared" si="175"/>
        <v/>
      </c>
      <c r="P676" s="165" t="str">
        <f t="shared" si="176"/>
        <v/>
      </c>
      <c r="Q676" s="207"/>
      <c r="R676" s="141" t="str">
        <f>IF(S676="IN",'BOM_Phan II'!$Y$3,"")</f>
        <v/>
      </c>
      <c r="S676" s="153" t="str">
        <f t="shared" si="177"/>
        <v/>
      </c>
      <c r="T676">
        <f t="shared" si="178"/>
        <v>6</v>
      </c>
      <c r="U676" s="208" t="str">
        <f t="shared" si="186"/>
        <v>KIỆN 9</v>
      </c>
      <c r="V676" s="208" t="str">
        <f t="shared" si="179"/>
        <v/>
      </c>
      <c r="W676" s="240"/>
      <c r="X676" s="240"/>
      <c r="Y676" s="240" t="str">
        <f t="shared" si="180"/>
        <v/>
      </c>
      <c r="Z676" s="240"/>
      <c r="AD676" s="232" t="str">
        <f t="shared" si="181"/>
        <v/>
      </c>
      <c r="AE676" s="204"/>
      <c r="AX676" s="3" t="str">
        <f t="shared" si="171"/>
        <v/>
      </c>
    </row>
    <row r="677" spans="1:50" s="155" customFormat="1" ht="30" hidden="1" customHeight="1">
      <c r="A677" s="141" t="str">
        <f t="shared" si="182"/>
        <v/>
      </c>
      <c r="B677" s="141" t="str">
        <f t="shared" si="183"/>
        <v/>
      </c>
      <c r="C677" s="205" t="str" cm="1">
        <f t="array" ref="C677">IF(D677="","",
    IF(AND(ISNUMBER(D677), D677=INT(D677)),
        $V$6 &amp; " " &amp; (IFERROR(MAX($Y$12:$Y676), 0) + 1),
        IF(ISNUMBER(SEARCH(".", D677)), "", INDEX($C$12:$C677, MATCH(2, 1/($C$12:$C677 &lt;&gt; ""))))
    )
)</f>
        <v/>
      </c>
      <c r="D677" s="206"/>
      <c r="E677" s="206" t="str">
        <f>IF(AA677 = "", "",
    IF(ISNUMBER(SEARCH("Kiện", C677)),
       " GÓI " &amp; COUNTIF($C$13:C677, "*Kiện*") &amp; "/" &amp; COUNTIF($C$13:$C$1000, "*Kiện*") &amp; " " &amp; AA677,
       AA677)
)</f>
        <v/>
      </c>
      <c r="F677" s="206"/>
      <c r="G677" s="206"/>
      <c r="H677" s="206"/>
      <c r="I677" s="206"/>
      <c r="J677" s="206" t="str">
        <f t="shared" si="184"/>
        <v/>
      </c>
      <c r="K677" s="206" t="str">
        <f t="shared" si="172"/>
        <v/>
      </c>
      <c r="L677" s="206" t="str">
        <f t="shared" si="173"/>
        <v/>
      </c>
      <c r="M677" s="206" t="str">
        <f t="shared" si="174"/>
        <v/>
      </c>
      <c r="N677" s="206" t="str">
        <f t="shared" si="185"/>
        <v/>
      </c>
      <c r="O677" s="206" t="str">
        <f t="shared" si="175"/>
        <v/>
      </c>
      <c r="P677" s="165" t="str">
        <f t="shared" si="176"/>
        <v/>
      </c>
      <c r="Q677" s="207"/>
      <c r="R677" s="141" t="str">
        <f>IF(S677="IN",'BOM_Phan II'!$Y$3,"")</f>
        <v/>
      </c>
      <c r="S677" s="153" t="str">
        <f t="shared" si="177"/>
        <v/>
      </c>
      <c r="T677">
        <f t="shared" si="178"/>
        <v>6</v>
      </c>
      <c r="U677" s="208" t="str">
        <f t="shared" si="186"/>
        <v>KIỆN 9</v>
      </c>
      <c r="V677" s="208" t="str">
        <f t="shared" si="179"/>
        <v/>
      </c>
      <c r="W677" s="240"/>
      <c r="X677" s="240"/>
      <c r="Y677" s="240" t="str">
        <f t="shared" si="180"/>
        <v/>
      </c>
      <c r="Z677" s="240"/>
      <c r="AD677" s="232" t="str">
        <f t="shared" si="181"/>
        <v/>
      </c>
      <c r="AE677" s="204"/>
      <c r="AX677" s="3" t="str">
        <f t="shared" si="171"/>
        <v/>
      </c>
    </row>
    <row r="678" spans="1:50" s="155" customFormat="1" ht="30" hidden="1" customHeight="1">
      <c r="A678" s="141" t="str">
        <f t="shared" si="182"/>
        <v/>
      </c>
      <c r="B678" s="141" t="str">
        <f t="shared" si="183"/>
        <v/>
      </c>
      <c r="C678" s="205" t="str" cm="1">
        <f t="array" ref="C678">IF(D678="","",
    IF(AND(ISNUMBER(D678), D678=INT(D678)),
        $V$6 &amp; " " &amp; (IFERROR(MAX($Y$12:$Y677), 0) + 1),
        IF(ISNUMBER(SEARCH(".", D678)), "", INDEX($C$12:$C678, MATCH(2, 1/($C$12:$C678 &lt;&gt; ""))))
    )
)</f>
        <v/>
      </c>
      <c r="D678" s="206"/>
      <c r="E678" s="206" t="str">
        <f>IF(AA678 = "", "",
    IF(ISNUMBER(SEARCH("Kiện", C678)),
       " GÓI " &amp; COUNTIF($C$13:C678, "*Kiện*") &amp; "/" &amp; COUNTIF($C$13:$C$1000, "*Kiện*") &amp; " " &amp; AA678,
       AA678)
)</f>
        <v/>
      </c>
      <c r="F678" s="206"/>
      <c r="G678" s="206"/>
      <c r="H678" s="206"/>
      <c r="I678" s="206"/>
      <c r="J678" s="206" t="str">
        <f t="shared" si="184"/>
        <v/>
      </c>
      <c r="K678" s="206" t="str">
        <f t="shared" si="172"/>
        <v/>
      </c>
      <c r="L678" s="206" t="str">
        <f t="shared" si="173"/>
        <v/>
      </c>
      <c r="M678" s="206" t="str">
        <f t="shared" si="174"/>
        <v/>
      </c>
      <c r="N678" s="206" t="str">
        <f t="shared" si="185"/>
        <v/>
      </c>
      <c r="O678" s="206" t="str">
        <f t="shared" si="175"/>
        <v/>
      </c>
      <c r="P678" s="165" t="str">
        <f t="shared" si="176"/>
        <v/>
      </c>
      <c r="Q678" s="207"/>
      <c r="R678" s="141" t="str">
        <f>IF(S678="IN",'BOM_Phan II'!$Y$3,"")</f>
        <v/>
      </c>
      <c r="S678" s="153" t="str">
        <f t="shared" si="177"/>
        <v/>
      </c>
      <c r="T678">
        <f t="shared" si="178"/>
        <v>6</v>
      </c>
      <c r="U678" s="208" t="str">
        <f t="shared" si="186"/>
        <v>KIỆN 9</v>
      </c>
      <c r="V678" s="208" t="str">
        <f t="shared" si="179"/>
        <v/>
      </c>
      <c r="W678" s="240"/>
      <c r="X678" s="240"/>
      <c r="Y678" s="240" t="str">
        <f t="shared" si="180"/>
        <v/>
      </c>
      <c r="Z678" s="240"/>
      <c r="AD678" s="232" t="str">
        <f t="shared" si="181"/>
        <v/>
      </c>
      <c r="AE678" s="204"/>
      <c r="AX678" s="3" t="str">
        <f t="shared" si="171"/>
        <v/>
      </c>
    </row>
    <row r="679" spans="1:50" s="155" customFormat="1" ht="30" hidden="1" customHeight="1">
      <c r="A679" s="141" t="str">
        <f t="shared" si="182"/>
        <v/>
      </c>
      <c r="B679" s="141" t="str">
        <f t="shared" si="183"/>
        <v/>
      </c>
      <c r="C679" s="205" t="str" cm="1">
        <f t="array" ref="C679">IF(D679="","",
    IF(AND(ISNUMBER(D679), D679=INT(D679)),
        $V$6 &amp; " " &amp; (IFERROR(MAX($Y$12:$Y678), 0) + 1),
        IF(ISNUMBER(SEARCH(".", D679)), "", INDEX($C$12:$C679, MATCH(2, 1/($C$12:$C679 &lt;&gt; ""))))
    )
)</f>
        <v/>
      </c>
      <c r="D679" s="206"/>
      <c r="E679" s="206" t="str">
        <f>IF(AA679 = "", "",
    IF(ISNUMBER(SEARCH("Kiện", C679)),
       " GÓI " &amp; COUNTIF($C$13:C679, "*Kiện*") &amp; "/" &amp; COUNTIF($C$13:$C$1000, "*Kiện*") &amp; " " &amp; AA679,
       AA679)
)</f>
        <v/>
      </c>
      <c r="F679" s="206"/>
      <c r="G679" s="206"/>
      <c r="H679" s="206"/>
      <c r="I679" s="206"/>
      <c r="J679" s="206" t="str">
        <f t="shared" si="184"/>
        <v/>
      </c>
      <c r="K679" s="206" t="str">
        <f t="shared" si="172"/>
        <v/>
      </c>
      <c r="L679" s="206" t="str">
        <f t="shared" si="173"/>
        <v/>
      </c>
      <c r="M679" s="206" t="str">
        <f t="shared" si="174"/>
        <v/>
      </c>
      <c r="N679" s="206" t="str">
        <f t="shared" si="185"/>
        <v/>
      </c>
      <c r="O679" s="206" t="str">
        <f t="shared" si="175"/>
        <v/>
      </c>
      <c r="P679" s="165" t="str">
        <f t="shared" si="176"/>
        <v/>
      </c>
      <c r="Q679" s="207"/>
      <c r="R679" s="141" t="str">
        <f>IF(S679="IN",'BOM_Phan II'!$Y$3,"")</f>
        <v/>
      </c>
      <c r="S679" s="153" t="str">
        <f t="shared" si="177"/>
        <v/>
      </c>
      <c r="T679">
        <f t="shared" si="178"/>
        <v>6</v>
      </c>
      <c r="U679" s="208" t="str">
        <f t="shared" si="186"/>
        <v>KIỆN 9</v>
      </c>
      <c r="V679" s="208" t="str">
        <f t="shared" si="179"/>
        <v/>
      </c>
      <c r="W679" s="240"/>
      <c r="X679" s="240"/>
      <c r="Y679" s="240" t="str">
        <f t="shared" si="180"/>
        <v/>
      </c>
      <c r="Z679" s="240"/>
      <c r="AD679" s="232" t="str">
        <f t="shared" si="181"/>
        <v/>
      </c>
      <c r="AE679" s="204"/>
      <c r="AX679" s="3" t="str">
        <f t="shared" si="171"/>
        <v/>
      </c>
    </row>
    <row r="680" spans="1:50" s="155" customFormat="1" ht="30" hidden="1" customHeight="1">
      <c r="A680" s="141" t="str">
        <f t="shared" si="182"/>
        <v/>
      </c>
      <c r="B680" s="141" t="str">
        <f t="shared" si="183"/>
        <v/>
      </c>
      <c r="C680" s="205" t="str" cm="1">
        <f t="array" ref="C680">IF(D680="","",
    IF(AND(ISNUMBER(D680), D680=INT(D680)),
        $V$6 &amp; " " &amp; (IFERROR(MAX($Y$12:$Y679), 0) + 1),
        IF(ISNUMBER(SEARCH(".", D680)), "", INDEX($C$12:$C680, MATCH(2, 1/($C$12:$C680 &lt;&gt; ""))))
    )
)</f>
        <v/>
      </c>
      <c r="D680" s="206"/>
      <c r="E680" s="206" t="str">
        <f>IF(AA680 = "", "",
    IF(ISNUMBER(SEARCH("Kiện", C680)),
       " GÓI " &amp; COUNTIF($C$13:C680, "*Kiện*") &amp; "/" &amp; COUNTIF($C$13:$C$1000, "*Kiện*") &amp; " " &amp; AA680,
       AA680)
)</f>
        <v/>
      </c>
      <c r="F680" s="206"/>
      <c r="G680" s="206"/>
      <c r="H680" s="206"/>
      <c r="I680" s="206"/>
      <c r="J680" s="206" t="str">
        <f t="shared" si="184"/>
        <v/>
      </c>
      <c r="K680" s="206" t="str">
        <f t="shared" si="172"/>
        <v/>
      </c>
      <c r="L680" s="206" t="str">
        <f t="shared" si="173"/>
        <v/>
      </c>
      <c r="M680" s="206" t="str">
        <f t="shared" si="174"/>
        <v/>
      </c>
      <c r="N680" s="206" t="str">
        <f t="shared" si="185"/>
        <v/>
      </c>
      <c r="O680" s="206" t="str">
        <f t="shared" si="175"/>
        <v/>
      </c>
      <c r="P680" s="165" t="str">
        <f t="shared" si="176"/>
        <v/>
      </c>
      <c r="Q680" s="207"/>
      <c r="R680" s="141" t="str">
        <f>IF(S680="IN",'BOM_Phan II'!$Y$3,"")</f>
        <v/>
      </c>
      <c r="S680" s="153" t="str">
        <f t="shared" si="177"/>
        <v/>
      </c>
      <c r="T680">
        <f t="shared" si="178"/>
        <v>6</v>
      </c>
      <c r="U680" s="208" t="str">
        <f t="shared" si="186"/>
        <v>KIỆN 9</v>
      </c>
      <c r="V680" s="208" t="str">
        <f t="shared" si="179"/>
        <v/>
      </c>
      <c r="W680" s="240"/>
      <c r="X680" s="240"/>
      <c r="Y680" s="240" t="str">
        <f t="shared" si="180"/>
        <v/>
      </c>
      <c r="Z680" s="240"/>
      <c r="AD680" s="232" t="str">
        <f t="shared" si="181"/>
        <v/>
      </c>
      <c r="AE680" s="204"/>
      <c r="AX680" s="3" t="str">
        <f t="shared" si="171"/>
        <v/>
      </c>
    </row>
    <row r="681" spans="1:50" s="155" customFormat="1" ht="30" hidden="1" customHeight="1">
      <c r="A681" s="141" t="str">
        <f t="shared" si="182"/>
        <v/>
      </c>
      <c r="B681" s="141" t="str">
        <f t="shared" si="183"/>
        <v/>
      </c>
      <c r="C681" s="205" t="str" cm="1">
        <f t="array" ref="C681">IF(D681="","",
    IF(AND(ISNUMBER(D681), D681=INT(D681)),
        $V$6 &amp; " " &amp; (IFERROR(MAX($Y$12:$Y680), 0) + 1),
        IF(ISNUMBER(SEARCH(".", D681)), "", INDEX($C$12:$C681, MATCH(2, 1/($C$12:$C681 &lt;&gt; ""))))
    )
)</f>
        <v/>
      </c>
      <c r="D681" s="206"/>
      <c r="E681" s="206" t="str">
        <f>IF(AA681 = "", "",
    IF(ISNUMBER(SEARCH("Kiện", C681)),
       " GÓI " &amp; COUNTIF($C$13:C681, "*Kiện*") &amp; "/" &amp; COUNTIF($C$13:$C$1000, "*Kiện*") &amp; " " &amp; AA681,
       AA681)
)</f>
        <v/>
      </c>
      <c r="F681" s="206"/>
      <c r="G681" s="206"/>
      <c r="H681" s="206"/>
      <c r="I681" s="206"/>
      <c r="J681" s="206" t="str">
        <f t="shared" si="184"/>
        <v/>
      </c>
      <c r="K681" s="206" t="str">
        <f t="shared" si="172"/>
        <v/>
      </c>
      <c r="L681" s="206" t="str">
        <f t="shared" si="173"/>
        <v/>
      </c>
      <c r="M681" s="206" t="str">
        <f t="shared" si="174"/>
        <v/>
      </c>
      <c r="N681" s="206" t="str">
        <f t="shared" si="185"/>
        <v/>
      </c>
      <c r="O681" s="206" t="str">
        <f t="shared" si="175"/>
        <v/>
      </c>
      <c r="P681" s="165" t="str">
        <f t="shared" si="176"/>
        <v/>
      </c>
      <c r="Q681" s="207"/>
      <c r="R681" s="141" t="str">
        <f>IF(S681="IN",'BOM_Phan II'!$Y$3,"")</f>
        <v/>
      </c>
      <c r="S681" s="153" t="str">
        <f t="shared" si="177"/>
        <v/>
      </c>
      <c r="T681">
        <f t="shared" si="178"/>
        <v>6</v>
      </c>
      <c r="U681" s="208" t="str">
        <f t="shared" si="186"/>
        <v>KIỆN 9</v>
      </c>
      <c r="V681" s="208" t="str">
        <f t="shared" si="179"/>
        <v/>
      </c>
      <c r="W681" s="240"/>
      <c r="X681" s="240"/>
      <c r="Y681" s="240" t="str">
        <f t="shared" si="180"/>
        <v/>
      </c>
      <c r="Z681" s="240"/>
      <c r="AD681" s="232" t="str">
        <f t="shared" si="181"/>
        <v/>
      </c>
      <c r="AE681" s="204"/>
      <c r="AX681" s="3" t="str">
        <f t="shared" si="171"/>
        <v/>
      </c>
    </row>
    <row r="682" spans="1:50" s="155" customFormat="1" ht="30" hidden="1" customHeight="1">
      <c r="A682" s="141" t="str">
        <f t="shared" si="182"/>
        <v/>
      </c>
      <c r="B682" s="141" t="str">
        <f t="shared" si="183"/>
        <v/>
      </c>
      <c r="C682" s="205" t="str" cm="1">
        <f t="array" ref="C682">IF(D682="","",
    IF(AND(ISNUMBER(D682), D682=INT(D682)),
        $V$6 &amp; " " &amp; (IFERROR(MAX($Y$12:$Y681), 0) + 1),
        IF(ISNUMBER(SEARCH(".", D682)), "", INDEX($C$12:$C682, MATCH(2, 1/($C$12:$C682 &lt;&gt; ""))))
    )
)</f>
        <v/>
      </c>
      <c r="D682" s="206"/>
      <c r="E682" s="206" t="str">
        <f>IF(AA682 = "", "",
    IF(ISNUMBER(SEARCH("Kiện", C682)),
       " GÓI " &amp; COUNTIF($C$13:C682, "*Kiện*") &amp; "/" &amp; COUNTIF($C$13:$C$1000, "*Kiện*") &amp; " " &amp; AA682,
       AA682)
)</f>
        <v/>
      </c>
      <c r="F682" s="206"/>
      <c r="G682" s="206"/>
      <c r="H682" s="206"/>
      <c r="I682" s="206"/>
      <c r="J682" s="206" t="str">
        <f t="shared" si="184"/>
        <v/>
      </c>
      <c r="K682" s="206" t="str">
        <f t="shared" si="172"/>
        <v/>
      </c>
      <c r="L682" s="206" t="str">
        <f t="shared" si="173"/>
        <v/>
      </c>
      <c r="M682" s="206" t="str">
        <f t="shared" si="174"/>
        <v/>
      </c>
      <c r="N682" s="206" t="str">
        <f t="shared" si="185"/>
        <v/>
      </c>
      <c r="O682" s="206" t="str">
        <f t="shared" si="175"/>
        <v/>
      </c>
      <c r="P682" s="165" t="str">
        <f t="shared" si="176"/>
        <v/>
      </c>
      <c r="Q682" s="207"/>
      <c r="R682" s="141" t="str">
        <f>IF(S682="IN",'BOM_Phan II'!$Y$3,"")</f>
        <v/>
      </c>
      <c r="S682" s="153" t="str">
        <f t="shared" si="177"/>
        <v/>
      </c>
      <c r="T682">
        <f t="shared" si="178"/>
        <v>6</v>
      </c>
      <c r="U682" s="208" t="str">
        <f t="shared" si="186"/>
        <v>KIỆN 9</v>
      </c>
      <c r="V682" s="208" t="str">
        <f t="shared" si="179"/>
        <v/>
      </c>
      <c r="W682" s="240"/>
      <c r="X682" s="240"/>
      <c r="Y682" s="240" t="str">
        <f t="shared" si="180"/>
        <v/>
      </c>
      <c r="Z682" s="240"/>
      <c r="AD682" s="232" t="str">
        <f t="shared" si="181"/>
        <v/>
      </c>
      <c r="AE682" s="204"/>
      <c r="AX682" s="3" t="str">
        <f t="shared" si="171"/>
        <v/>
      </c>
    </row>
    <row r="683" spans="1:50" s="155" customFormat="1" ht="30" hidden="1" customHeight="1">
      <c r="A683" s="141" t="str">
        <f t="shared" si="182"/>
        <v/>
      </c>
      <c r="B683" s="141" t="str">
        <f t="shared" si="183"/>
        <v/>
      </c>
      <c r="C683" s="205" t="str" cm="1">
        <f t="array" ref="C683">IF(D683="","",
    IF(AND(ISNUMBER(D683), D683=INT(D683)),
        $V$6 &amp; " " &amp; (IFERROR(MAX($Y$12:$Y682), 0) + 1),
        IF(ISNUMBER(SEARCH(".", D683)), "", INDEX($C$12:$C683, MATCH(2, 1/($C$12:$C683 &lt;&gt; ""))))
    )
)</f>
        <v/>
      </c>
      <c r="D683" s="206"/>
      <c r="E683" s="206" t="str">
        <f>IF(AA683 = "", "",
    IF(ISNUMBER(SEARCH("Kiện", C683)),
       " GÓI " &amp; COUNTIF($C$13:C683, "*Kiện*") &amp; "/" &amp; COUNTIF($C$13:$C$1000, "*Kiện*") &amp; " " &amp; AA683,
       AA683)
)</f>
        <v/>
      </c>
      <c r="F683" s="206"/>
      <c r="G683" s="206"/>
      <c r="H683" s="206"/>
      <c r="I683" s="206"/>
      <c r="J683" s="206" t="str">
        <f t="shared" si="184"/>
        <v/>
      </c>
      <c r="K683" s="206" t="str">
        <f t="shared" si="172"/>
        <v/>
      </c>
      <c r="L683" s="206" t="str">
        <f t="shared" si="173"/>
        <v/>
      </c>
      <c r="M683" s="206" t="str">
        <f t="shared" si="174"/>
        <v/>
      </c>
      <c r="N683" s="206" t="str">
        <f t="shared" si="185"/>
        <v/>
      </c>
      <c r="O683" s="206" t="str">
        <f t="shared" si="175"/>
        <v/>
      </c>
      <c r="P683" s="165" t="str">
        <f t="shared" si="176"/>
        <v/>
      </c>
      <c r="Q683" s="207"/>
      <c r="R683" s="141" t="str">
        <f>IF(S683="IN",'BOM_Phan II'!$Y$3,"")</f>
        <v/>
      </c>
      <c r="S683" s="153" t="str">
        <f t="shared" si="177"/>
        <v/>
      </c>
      <c r="T683">
        <f t="shared" si="178"/>
        <v>6</v>
      </c>
      <c r="U683" s="208" t="str">
        <f t="shared" si="186"/>
        <v>KIỆN 9</v>
      </c>
      <c r="V683" s="208" t="str">
        <f t="shared" si="179"/>
        <v/>
      </c>
      <c r="W683" s="240"/>
      <c r="X683" s="240"/>
      <c r="Y683" s="240" t="str">
        <f t="shared" si="180"/>
        <v/>
      </c>
      <c r="Z683" s="240"/>
      <c r="AD683" s="232" t="str">
        <f t="shared" si="181"/>
        <v/>
      </c>
      <c r="AE683" s="204"/>
      <c r="AX683" s="3" t="str">
        <f t="shared" si="171"/>
        <v/>
      </c>
    </row>
    <row r="684" spans="1:50" s="155" customFormat="1" ht="30" hidden="1" customHeight="1">
      <c r="A684" s="141" t="str">
        <f t="shared" si="182"/>
        <v/>
      </c>
      <c r="B684" s="141" t="str">
        <f t="shared" si="183"/>
        <v/>
      </c>
      <c r="C684" s="205" t="str" cm="1">
        <f t="array" ref="C684">IF(D684="","",
    IF(AND(ISNUMBER(D684), D684=INT(D684)),
        $V$6 &amp; " " &amp; (IFERROR(MAX($Y$12:$Y683), 0) + 1),
        IF(ISNUMBER(SEARCH(".", D684)), "", INDEX($C$12:$C684, MATCH(2, 1/($C$12:$C684 &lt;&gt; ""))))
    )
)</f>
        <v/>
      </c>
      <c r="D684" s="206"/>
      <c r="E684" s="206" t="str">
        <f>IF(AA684 = "", "",
    IF(ISNUMBER(SEARCH("Kiện", C684)),
       " GÓI " &amp; COUNTIF($C$13:C684, "*Kiện*") &amp; "/" &amp; COUNTIF($C$13:$C$1000, "*Kiện*") &amp; " " &amp; AA684,
       AA684)
)</f>
        <v/>
      </c>
      <c r="F684" s="206"/>
      <c r="G684" s="206"/>
      <c r="H684" s="206"/>
      <c r="I684" s="206"/>
      <c r="J684" s="206" t="str">
        <f t="shared" si="184"/>
        <v/>
      </c>
      <c r="K684" s="206" t="str">
        <f t="shared" si="172"/>
        <v/>
      </c>
      <c r="L684" s="206" t="str">
        <f t="shared" si="173"/>
        <v/>
      </c>
      <c r="M684" s="206" t="str">
        <f t="shared" si="174"/>
        <v/>
      </c>
      <c r="N684" s="206" t="str">
        <f t="shared" si="185"/>
        <v/>
      </c>
      <c r="O684" s="206" t="str">
        <f t="shared" si="175"/>
        <v/>
      </c>
      <c r="P684" s="165" t="str">
        <f t="shared" si="176"/>
        <v/>
      </c>
      <c r="Q684" s="207"/>
      <c r="R684" s="141" t="str">
        <f>IF(S684="IN",'BOM_Phan II'!$Y$3,"")</f>
        <v/>
      </c>
      <c r="S684" s="153" t="str">
        <f t="shared" si="177"/>
        <v/>
      </c>
      <c r="T684">
        <f t="shared" si="178"/>
        <v>6</v>
      </c>
      <c r="U684" s="208" t="str">
        <f t="shared" si="186"/>
        <v>KIỆN 9</v>
      </c>
      <c r="V684" s="208" t="str">
        <f t="shared" si="179"/>
        <v/>
      </c>
      <c r="W684" s="240"/>
      <c r="X684" s="240"/>
      <c r="Y684" s="240" t="str">
        <f t="shared" si="180"/>
        <v/>
      </c>
      <c r="Z684" s="240"/>
      <c r="AD684" s="232" t="str">
        <f t="shared" si="181"/>
        <v/>
      </c>
      <c r="AE684" s="204"/>
      <c r="AX684" s="3" t="str">
        <f t="shared" si="171"/>
        <v/>
      </c>
    </row>
    <row r="685" spans="1:50" s="155" customFormat="1" ht="30" hidden="1" customHeight="1">
      <c r="A685" s="141" t="str">
        <f t="shared" si="182"/>
        <v/>
      </c>
      <c r="B685" s="141" t="str">
        <f t="shared" si="183"/>
        <v/>
      </c>
      <c r="C685" s="205" t="str" cm="1">
        <f t="array" ref="C685">IF(D685="","",
    IF(AND(ISNUMBER(D685), D685=INT(D685)),
        $V$6 &amp; " " &amp; (IFERROR(MAX($Y$12:$Y684), 0) + 1),
        IF(ISNUMBER(SEARCH(".", D685)), "", INDEX($C$12:$C685, MATCH(2, 1/($C$12:$C685 &lt;&gt; ""))))
    )
)</f>
        <v/>
      </c>
      <c r="D685" s="206"/>
      <c r="E685" s="206" t="str">
        <f>IF(AA685 = "", "",
    IF(ISNUMBER(SEARCH("Kiện", C685)),
       " GÓI " &amp; COUNTIF($C$13:C685, "*Kiện*") &amp; "/" &amp; COUNTIF($C$13:$C$1000, "*Kiện*") &amp; " " &amp; AA685,
       AA685)
)</f>
        <v/>
      </c>
      <c r="F685" s="206"/>
      <c r="G685" s="206"/>
      <c r="H685" s="206"/>
      <c r="I685" s="206"/>
      <c r="J685" s="206" t="str">
        <f t="shared" si="184"/>
        <v/>
      </c>
      <c r="K685" s="206" t="str">
        <f t="shared" si="172"/>
        <v/>
      </c>
      <c r="L685" s="206" t="str">
        <f t="shared" si="173"/>
        <v/>
      </c>
      <c r="M685" s="206" t="str">
        <f t="shared" si="174"/>
        <v/>
      </c>
      <c r="N685" s="206" t="str">
        <f t="shared" si="185"/>
        <v/>
      </c>
      <c r="O685" s="206" t="str">
        <f t="shared" si="175"/>
        <v/>
      </c>
      <c r="P685" s="165" t="str">
        <f t="shared" si="176"/>
        <v/>
      </c>
      <c r="Q685" s="207"/>
      <c r="R685" s="141" t="str">
        <f>IF(S685="IN",'BOM_Phan II'!$Y$3,"")</f>
        <v/>
      </c>
      <c r="S685" s="153" t="str">
        <f t="shared" si="177"/>
        <v/>
      </c>
      <c r="T685">
        <f t="shared" si="178"/>
        <v>6</v>
      </c>
      <c r="U685" s="208" t="str">
        <f t="shared" si="186"/>
        <v>KIỆN 9</v>
      </c>
      <c r="V685" s="208" t="str">
        <f t="shared" si="179"/>
        <v/>
      </c>
      <c r="W685" s="240"/>
      <c r="X685" s="240"/>
      <c r="Y685" s="240" t="str">
        <f t="shared" si="180"/>
        <v/>
      </c>
      <c r="Z685" s="240"/>
      <c r="AD685" s="232" t="str">
        <f t="shared" si="181"/>
        <v/>
      </c>
      <c r="AE685" s="204"/>
      <c r="AX685" s="3" t="str">
        <f t="shared" si="171"/>
        <v/>
      </c>
    </row>
    <row r="686" spans="1:50" s="155" customFormat="1" ht="30" hidden="1" customHeight="1">
      <c r="A686" s="141" t="str">
        <f t="shared" si="182"/>
        <v/>
      </c>
      <c r="B686" s="141" t="str">
        <f t="shared" si="183"/>
        <v/>
      </c>
      <c r="C686" s="205" t="str" cm="1">
        <f t="array" ref="C686">IF(D686="","",
    IF(AND(ISNUMBER(D686), D686=INT(D686)),
        $V$6 &amp; " " &amp; (IFERROR(MAX($Y$12:$Y685), 0) + 1),
        IF(ISNUMBER(SEARCH(".", D686)), "", INDEX($C$12:$C686, MATCH(2, 1/($C$12:$C686 &lt;&gt; ""))))
    )
)</f>
        <v/>
      </c>
      <c r="D686" s="206"/>
      <c r="E686" s="206" t="str">
        <f>IF(AA686 = "", "",
    IF(ISNUMBER(SEARCH("Kiện", C686)),
       " GÓI " &amp; COUNTIF($C$13:C686, "*Kiện*") &amp; "/" &amp; COUNTIF($C$13:$C$1000, "*Kiện*") &amp; " " &amp; AA686,
       AA686)
)</f>
        <v/>
      </c>
      <c r="F686" s="206"/>
      <c r="G686" s="206"/>
      <c r="H686" s="206"/>
      <c r="I686" s="206"/>
      <c r="J686" s="206" t="str">
        <f t="shared" si="184"/>
        <v/>
      </c>
      <c r="K686" s="206" t="str">
        <f t="shared" si="172"/>
        <v/>
      </c>
      <c r="L686" s="206" t="str">
        <f t="shared" si="173"/>
        <v/>
      </c>
      <c r="M686" s="206" t="str">
        <f t="shared" si="174"/>
        <v/>
      </c>
      <c r="N686" s="206" t="str">
        <f t="shared" si="185"/>
        <v/>
      </c>
      <c r="O686" s="206" t="str">
        <f t="shared" si="175"/>
        <v/>
      </c>
      <c r="P686" s="165" t="str">
        <f t="shared" si="176"/>
        <v/>
      </c>
      <c r="Q686" s="207"/>
      <c r="R686" s="141" t="str">
        <f>IF(S686="IN",'BOM_Phan II'!$Y$3,"")</f>
        <v/>
      </c>
      <c r="S686" s="153" t="str">
        <f t="shared" si="177"/>
        <v/>
      </c>
      <c r="T686">
        <f t="shared" si="178"/>
        <v>6</v>
      </c>
      <c r="U686" s="208" t="str">
        <f t="shared" si="186"/>
        <v>KIỆN 9</v>
      </c>
      <c r="V686" s="208" t="str">
        <f t="shared" si="179"/>
        <v/>
      </c>
      <c r="W686" s="240"/>
      <c r="X686" s="240"/>
      <c r="Y686" s="240" t="str">
        <f t="shared" si="180"/>
        <v/>
      </c>
      <c r="Z686" s="240"/>
      <c r="AD686" s="232" t="str">
        <f t="shared" si="181"/>
        <v/>
      </c>
      <c r="AE686" s="204"/>
      <c r="AX686" s="3" t="str">
        <f t="shared" si="171"/>
        <v/>
      </c>
    </row>
    <row r="687" spans="1:50" s="155" customFormat="1" ht="30" hidden="1" customHeight="1">
      <c r="A687" s="141" t="str">
        <f t="shared" si="182"/>
        <v/>
      </c>
      <c r="B687" s="141" t="str">
        <f t="shared" si="183"/>
        <v/>
      </c>
      <c r="C687" s="205" t="str" cm="1">
        <f t="array" ref="C687">IF(D687="","",
    IF(AND(ISNUMBER(D687), D687=INT(D687)),
        $V$6 &amp; " " &amp; (IFERROR(MAX($Y$12:$Y686), 0) + 1),
        IF(ISNUMBER(SEARCH(".", D687)), "", INDEX($C$12:$C687, MATCH(2, 1/($C$12:$C687 &lt;&gt; ""))))
    )
)</f>
        <v/>
      </c>
      <c r="D687" s="206"/>
      <c r="E687" s="206" t="str">
        <f>IF(AA687 = "", "",
    IF(ISNUMBER(SEARCH("Kiện", C687)),
       " GÓI " &amp; COUNTIF($C$13:C687, "*Kiện*") &amp; "/" &amp; COUNTIF($C$13:$C$1000, "*Kiện*") &amp; " " &amp; AA687,
       AA687)
)</f>
        <v/>
      </c>
      <c r="F687" s="206"/>
      <c r="G687" s="206"/>
      <c r="H687" s="206"/>
      <c r="I687" s="206"/>
      <c r="J687" s="206" t="str">
        <f t="shared" si="184"/>
        <v/>
      </c>
      <c r="K687" s="206" t="str">
        <f t="shared" si="172"/>
        <v/>
      </c>
      <c r="L687" s="206" t="str">
        <f t="shared" si="173"/>
        <v/>
      </c>
      <c r="M687" s="206" t="str">
        <f t="shared" si="174"/>
        <v/>
      </c>
      <c r="N687" s="206" t="str">
        <f t="shared" si="185"/>
        <v/>
      </c>
      <c r="O687" s="206" t="str">
        <f t="shared" si="175"/>
        <v/>
      </c>
      <c r="P687" s="165" t="str">
        <f t="shared" si="176"/>
        <v/>
      </c>
      <c r="Q687" s="207"/>
      <c r="R687" s="141" t="str">
        <f>IF(S687="IN",'BOM_Phan II'!$Y$3,"")</f>
        <v/>
      </c>
      <c r="S687" s="153" t="str">
        <f t="shared" si="177"/>
        <v/>
      </c>
      <c r="T687">
        <f t="shared" si="178"/>
        <v>6</v>
      </c>
      <c r="U687" s="208" t="str">
        <f t="shared" si="186"/>
        <v>KIỆN 9</v>
      </c>
      <c r="V687" s="208" t="str">
        <f t="shared" si="179"/>
        <v/>
      </c>
      <c r="W687" s="240"/>
      <c r="X687" s="240"/>
      <c r="Y687" s="240" t="str">
        <f t="shared" si="180"/>
        <v/>
      </c>
      <c r="Z687" s="240"/>
      <c r="AD687" s="232" t="str">
        <f t="shared" si="181"/>
        <v/>
      </c>
      <c r="AE687" s="204"/>
      <c r="AX687" s="3" t="str">
        <f t="shared" si="171"/>
        <v/>
      </c>
    </row>
    <row r="688" spans="1:50" s="155" customFormat="1" ht="30" hidden="1" customHeight="1">
      <c r="A688" s="141" t="str">
        <f t="shared" si="182"/>
        <v/>
      </c>
      <c r="B688" s="141" t="str">
        <f t="shared" si="183"/>
        <v/>
      </c>
      <c r="C688" s="205" t="str" cm="1">
        <f t="array" ref="C688">IF(D688="","",
    IF(AND(ISNUMBER(D688), D688=INT(D688)),
        $V$6 &amp; " " &amp; (IFERROR(MAX($Y$12:$Y687), 0) + 1),
        IF(ISNUMBER(SEARCH(".", D688)), "", INDEX($C$12:$C688, MATCH(2, 1/($C$12:$C688 &lt;&gt; ""))))
    )
)</f>
        <v/>
      </c>
      <c r="D688" s="206"/>
      <c r="E688" s="206" t="str">
        <f>IF(AA688 = "", "",
    IF(ISNUMBER(SEARCH("Kiện", C688)),
       " GÓI " &amp; COUNTIF($C$13:C688, "*Kiện*") &amp; "/" &amp; COUNTIF($C$13:$C$1000, "*Kiện*") &amp; " " &amp; AA688,
       AA688)
)</f>
        <v/>
      </c>
      <c r="F688" s="206"/>
      <c r="G688" s="206"/>
      <c r="H688" s="206"/>
      <c r="I688" s="206"/>
      <c r="J688" s="206" t="str">
        <f t="shared" si="184"/>
        <v/>
      </c>
      <c r="K688" s="206" t="str">
        <f t="shared" si="172"/>
        <v/>
      </c>
      <c r="L688" s="206" t="str">
        <f t="shared" si="173"/>
        <v/>
      </c>
      <c r="M688" s="206" t="str">
        <f t="shared" si="174"/>
        <v/>
      </c>
      <c r="N688" s="206" t="str">
        <f t="shared" si="185"/>
        <v/>
      </c>
      <c r="O688" s="206" t="str">
        <f t="shared" si="175"/>
        <v/>
      </c>
      <c r="P688" s="165" t="str">
        <f t="shared" si="176"/>
        <v/>
      </c>
      <c r="Q688" s="207"/>
      <c r="R688" s="141" t="str">
        <f>IF(S688="IN",'BOM_Phan II'!$Y$3,"")</f>
        <v/>
      </c>
      <c r="S688" s="153" t="str">
        <f t="shared" si="177"/>
        <v/>
      </c>
      <c r="T688">
        <f t="shared" si="178"/>
        <v>6</v>
      </c>
      <c r="U688" s="208" t="str">
        <f t="shared" si="186"/>
        <v>KIỆN 9</v>
      </c>
      <c r="V688" s="208" t="str">
        <f t="shared" si="179"/>
        <v/>
      </c>
      <c r="W688" s="240"/>
      <c r="X688" s="240"/>
      <c r="Y688" s="240" t="str">
        <f t="shared" si="180"/>
        <v/>
      </c>
      <c r="Z688" s="240"/>
      <c r="AD688" s="232" t="str">
        <f t="shared" si="181"/>
        <v/>
      </c>
      <c r="AE688" s="204"/>
      <c r="AX688" s="3" t="str">
        <f t="shared" si="171"/>
        <v/>
      </c>
    </row>
    <row r="689" spans="1:50" s="155" customFormat="1" ht="30" hidden="1" customHeight="1">
      <c r="A689" s="141" t="str">
        <f t="shared" si="182"/>
        <v/>
      </c>
      <c r="B689" s="141" t="str">
        <f t="shared" si="183"/>
        <v/>
      </c>
      <c r="C689" s="205" t="str" cm="1">
        <f t="array" ref="C689">IF(D689="","",
    IF(AND(ISNUMBER(D689), D689=INT(D689)),
        $V$6 &amp; " " &amp; (IFERROR(MAX($Y$12:$Y688), 0) + 1),
        IF(ISNUMBER(SEARCH(".", D689)), "", INDEX($C$12:$C689, MATCH(2, 1/($C$12:$C689 &lt;&gt; ""))))
    )
)</f>
        <v/>
      </c>
      <c r="D689" s="206"/>
      <c r="E689" s="206" t="str">
        <f>IF(AA689 = "", "",
    IF(ISNUMBER(SEARCH("Kiện", C689)),
       " GÓI " &amp; COUNTIF($C$13:C689, "*Kiện*") &amp; "/" &amp; COUNTIF($C$13:$C$1000, "*Kiện*") &amp; " " &amp; AA689,
       AA689)
)</f>
        <v/>
      </c>
      <c r="F689" s="206"/>
      <c r="G689" s="206"/>
      <c r="H689" s="206"/>
      <c r="I689" s="206"/>
      <c r="J689" s="206" t="str">
        <f t="shared" si="184"/>
        <v/>
      </c>
      <c r="K689" s="206" t="str">
        <f t="shared" si="172"/>
        <v/>
      </c>
      <c r="L689" s="206" t="str">
        <f t="shared" si="173"/>
        <v/>
      </c>
      <c r="M689" s="206" t="str">
        <f t="shared" si="174"/>
        <v/>
      </c>
      <c r="N689" s="206" t="str">
        <f t="shared" si="185"/>
        <v/>
      </c>
      <c r="O689" s="206" t="str">
        <f t="shared" si="175"/>
        <v/>
      </c>
      <c r="P689" s="165" t="str">
        <f t="shared" si="176"/>
        <v/>
      </c>
      <c r="Q689" s="207"/>
      <c r="R689" s="141" t="str">
        <f>IF(S689="IN",'BOM_Phan II'!$Y$3,"")</f>
        <v/>
      </c>
      <c r="S689" s="153" t="str">
        <f t="shared" si="177"/>
        <v/>
      </c>
      <c r="T689">
        <f t="shared" si="178"/>
        <v>6</v>
      </c>
      <c r="U689" s="208" t="str">
        <f t="shared" si="186"/>
        <v>KIỆN 9</v>
      </c>
      <c r="V689" s="208" t="str">
        <f t="shared" si="179"/>
        <v/>
      </c>
      <c r="W689" s="240"/>
      <c r="X689" s="240"/>
      <c r="Y689" s="240" t="str">
        <f t="shared" si="180"/>
        <v/>
      </c>
      <c r="Z689" s="240"/>
      <c r="AD689" s="232" t="str">
        <f t="shared" si="181"/>
        <v/>
      </c>
      <c r="AE689" s="204"/>
      <c r="AX689" s="3" t="str">
        <f t="shared" si="171"/>
        <v/>
      </c>
    </row>
    <row r="690" spans="1:50" s="155" customFormat="1" ht="30" hidden="1" customHeight="1">
      <c r="A690" s="141" t="str">
        <f t="shared" si="182"/>
        <v/>
      </c>
      <c r="B690" s="141" t="str">
        <f t="shared" si="183"/>
        <v/>
      </c>
      <c r="C690" s="205" t="str" cm="1">
        <f t="array" ref="C690">IF(D690="","",
    IF(AND(ISNUMBER(D690), D690=INT(D690)),
        $V$6 &amp; " " &amp; (IFERROR(MAX($Y$12:$Y689), 0) + 1),
        IF(ISNUMBER(SEARCH(".", D690)), "", INDEX($C$12:$C690, MATCH(2, 1/($C$12:$C690 &lt;&gt; ""))))
    )
)</f>
        <v/>
      </c>
      <c r="D690" s="206"/>
      <c r="E690" s="206" t="str">
        <f>IF(AA690 = "", "",
    IF(ISNUMBER(SEARCH("Kiện", C690)),
       " GÓI " &amp; COUNTIF($C$13:C690, "*Kiện*") &amp; "/" &amp; COUNTIF($C$13:$C$1000, "*Kiện*") &amp; " " &amp; AA690,
       AA690)
)</f>
        <v/>
      </c>
      <c r="F690" s="206"/>
      <c r="G690" s="206"/>
      <c r="H690" s="206"/>
      <c r="I690" s="206"/>
      <c r="J690" s="206" t="str">
        <f t="shared" si="184"/>
        <v/>
      </c>
      <c r="K690" s="206" t="str">
        <f t="shared" si="172"/>
        <v/>
      </c>
      <c r="L690" s="206" t="str">
        <f t="shared" si="173"/>
        <v/>
      </c>
      <c r="M690" s="206" t="str">
        <f t="shared" si="174"/>
        <v/>
      </c>
      <c r="N690" s="206" t="str">
        <f t="shared" si="185"/>
        <v/>
      </c>
      <c r="O690" s="206" t="str">
        <f t="shared" si="175"/>
        <v/>
      </c>
      <c r="P690" s="165" t="str">
        <f t="shared" si="176"/>
        <v/>
      </c>
      <c r="Q690" s="207"/>
      <c r="R690" s="141" t="str">
        <f>IF(S690="IN",'BOM_Phan II'!$Y$3,"")</f>
        <v/>
      </c>
      <c r="S690" s="153" t="str">
        <f t="shared" si="177"/>
        <v/>
      </c>
      <c r="T690">
        <f t="shared" si="178"/>
        <v>6</v>
      </c>
      <c r="U690" s="208" t="str">
        <f t="shared" si="186"/>
        <v>KIỆN 9</v>
      </c>
      <c r="V690" s="208" t="str">
        <f t="shared" si="179"/>
        <v/>
      </c>
      <c r="W690" s="240"/>
      <c r="X690" s="240"/>
      <c r="Y690" s="240" t="str">
        <f t="shared" si="180"/>
        <v/>
      </c>
      <c r="Z690" s="240"/>
      <c r="AD690" s="232" t="str">
        <f t="shared" si="181"/>
        <v/>
      </c>
      <c r="AE690" s="204"/>
      <c r="AX690" s="3" t="str">
        <f t="shared" si="171"/>
        <v/>
      </c>
    </row>
    <row r="691" spans="1:50" s="155" customFormat="1" ht="30" hidden="1" customHeight="1">
      <c r="A691" s="141" t="str">
        <f t="shared" si="182"/>
        <v/>
      </c>
      <c r="B691" s="141" t="str">
        <f t="shared" si="183"/>
        <v/>
      </c>
      <c r="C691" s="205" t="str" cm="1">
        <f t="array" ref="C691">IF(D691="","",
    IF(AND(ISNUMBER(D691), D691=INT(D691)),
        $V$6 &amp; " " &amp; (IFERROR(MAX($Y$12:$Y690), 0) + 1),
        IF(ISNUMBER(SEARCH(".", D691)), "", INDEX($C$12:$C691, MATCH(2, 1/($C$12:$C691 &lt;&gt; ""))))
    )
)</f>
        <v/>
      </c>
      <c r="D691" s="206"/>
      <c r="E691" s="206" t="str">
        <f>IF(AA691 = "", "",
    IF(ISNUMBER(SEARCH("Kiện", C691)),
       " GÓI " &amp; COUNTIF($C$13:C691, "*Kiện*") &amp; "/" &amp; COUNTIF($C$13:$C$1000, "*Kiện*") &amp; " " &amp; AA691,
       AA691)
)</f>
        <v/>
      </c>
      <c r="F691" s="206"/>
      <c r="G691" s="206"/>
      <c r="H691" s="206"/>
      <c r="I691" s="206"/>
      <c r="J691" s="206" t="str">
        <f t="shared" si="184"/>
        <v/>
      </c>
      <c r="K691" s="206" t="str">
        <f t="shared" si="172"/>
        <v/>
      </c>
      <c r="L691" s="206" t="str">
        <f t="shared" si="173"/>
        <v/>
      </c>
      <c r="M691" s="206" t="str">
        <f t="shared" si="174"/>
        <v/>
      </c>
      <c r="N691" s="206" t="str">
        <f t="shared" si="185"/>
        <v/>
      </c>
      <c r="O691" s="206" t="str">
        <f t="shared" si="175"/>
        <v/>
      </c>
      <c r="P691" s="165" t="str">
        <f t="shared" si="176"/>
        <v/>
      </c>
      <c r="Q691" s="207"/>
      <c r="R691" s="141" t="str">
        <f>IF(S691="IN",'BOM_Phan II'!$Y$3,"")</f>
        <v/>
      </c>
      <c r="S691" s="153" t="str">
        <f t="shared" si="177"/>
        <v/>
      </c>
      <c r="T691">
        <f t="shared" si="178"/>
        <v>6</v>
      </c>
      <c r="U691" s="208" t="str">
        <f t="shared" si="186"/>
        <v>KIỆN 9</v>
      </c>
      <c r="V691" s="208" t="str">
        <f t="shared" si="179"/>
        <v/>
      </c>
      <c r="W691" s="240"/>
      <c r="X691" s="240"/>
      <c r="Y691" s="240" t="str">
        <f t="shared" si="180"/>
        <v/>
      </c>
      <c r="Z691" s="240"/>
      <c r="AD691" s="232" t="str">
        <f t="shared" si="181"/>
        <v/>
      </c>
      <c r="AE691" s="204"/>
      <c r="AX691" s="3" t="str">
        <f t="shared" si="171"/>
        <v/>
      </c>
    </row>
    <row r="692" spans="1:50" s="155" customFormat="1" ht="30" hidden="1" customHeight="1">
      <c r="A692" s="141" t="str">
        <f t="shared" si="182"/>
        <v/>
      </c>
      <c r="B692" s="141" t="str">
        <f t="shared" si="183"/>
        <v/>
      </c>
      <c r="C692" s="205" t="str" cm="1">
        <f t="array" ref="C692">IF(D692="","",
    IF(AND(ISNUMBER(D692), D692=INT(D692)),
        $V$6 &amp; " " &amp; (IFERROR(MAX($Y$12:$Y691), 0) + 1),
        IF(ISNUMBER(SEARCH(".", D692)), "", INDEX($C$12:$C692, MATCH(2, 1/($C$12:$C692 &lt;&gt; ""))))
    )
)</f>
        <v/>
      </c>
      <c r="D692" s="206"/>
      <c r="E692" s="206" t="str">
        <f>IF(AA692 = "", "",
    IF(ISNUMBER(SEARCH("Kiện", C692)),
       " GÓI " &amp; COUNTIF($C$13:C692, "*Kiện*") &amp; "/" &amp; COUNTIF($C$13:$C$1000, "*Kiện*") &amp; " " &amp; AA692,
       AA692)
)</f>
        <v/>
      </c>
      <c r="F692" s="206"/>
      <c r="G692" s="206"/>
      <c r="H692" s="206"/>
      <c r="I692" s="206"/>
      <c r="J692" s="206" t="str">
        <f t="shared" si="184"/>
        <v/>
      </c>
      <c r="K692" s="206" t="str">
        <f t="shared" si="172"/>
        <v/>
      </c>
      <c r="L692" s="206" t="str">
        <f t="shared" si="173"/>
        <v/>
      </c>
      <c r="M692" s="206" t="str">
        <f t="shared" si="174"/>
        <v/>
      </c>
      <c r="N692" s="206" t="str">
        <f t="shared" si="185"/>
        <v/>
      </c>
      <c r="O692" s="206" t="str">
        <f t="shared" si="175"/>
        <v/>
      </c>
      <c r="P692" s="165" t="str">
        <f t="shared" si="176"/>
        <v/>
      </c>
      <c r="Q692" s="207"/>
      <c r="R692" s="141" t="str">
        <f>IF(S692="IN",'BOM_Phan II'!$Y$3,"")</f>
        <v/>
      </c>
      <c r="S692" s="153" t="str">
        <f t="shared" si="177"/>
        <v/>
      </c>
      <c r="T692">
        <f t="shared" si="178"/>
        <v>6</v>
      </c>
      <c r="U692" s="208" t="str">
        <f t="shared" si="186"/>
        <v>KIỆN 9</v>
      </c>
      <c r="V692" s="208" t="str">
        <f t="shared" si="179"/>
        <v/>
      </c>
      <c r="W692" s="240"/>
      <c r="X692" s="240"/>
      <c r="Y692" s="240" t="str">
        <f t="shared" si="180"/>
        <v/>
      </c>
      <c r="Z692" s="240"/>
      <c r="AD692" s="232" t="str">
        <f t="shared" si="181"/>
        <v/>
      </c>
      <c r="AE692" s="204"/>
      <c r="AX692" s="3" t="str">
        <f t="shared" si="171"/>
        <v/>
      </c>
    </row>
    <row r="693" spans="1:50" s="155" customFormat="1" ht="30" hidden="1" customHeight="1">
      <c r="A693" s="141" t="str">
        <f t="shared" si="182"/>
        <v/>
      </c>
      <c r="B693" s="141" t="str">
        <f t="shared" si="183"/>
        <v/>
      </c>
      <c r="C693" s="205" t="str" cm="1">
        <f t="array" ref="C693">IF(D693="","",
    IF(AND(ISNUMBER(D693), D693=INT(D693)),
        $V$6 &amp; " " &amp; (IFERROR(MAX($Y$12:$Y692), 0) + 1),
        IF(ISNUMBER(SEARCH(".", D693)), "", INDEX($C$12:$C693, MATCH(2, 1/($C$12:$C693 &lt;&gt; ""))))
    )
)</f>
        <v/>
      </c>
      <c r="D693" s="206"/>
      <c r="E693" s="206" t="str">
        <f>IF(AA693 = "", "",
    IF(ISNUMBER(SEARCH("Kiện", C693)),
       " GÓI " &amp; COUNTIF($C$13:C693, "*Kiện*") &amp; "/" &amp; COUNTIF($C$13:$C$1000, "*Kiện*") &amp; " " &amp; AA693,
       AA693)
)</f>
        <v/>
      </c>
      <c r="F693" s="206"/>
      <c r="G693" s="206"/>
      <c r="H693" s="206"/>
      <c r="I693" s="206"/>
      <c r="J693" s="206" t="str">
        <f t="shared" si="184"/>
        <v/>
      </c>
      <c r="K693" s="206" t="str">
        <f t="shared" si="172"/>
        <v/>
      </c>
      <c r="L693" s="206" t="str">
        <f t="shared" si="173"/>
        <v/>
      </c>
      <c r="M693" s="206" t="str">
        <f t="shared" si="174"/>
        <v/>
      </c>
      <c r="N693" s="206" t="str">
        <f t="shared" si="185"/>
        <v/>
      </c>
      <c r="O693" s="206" t="str">
        <f t="shared" si="175"/>
        <v/>
      </c>
      <c r="P693" s="165" t="str">
        <f t="shared" si="176"/>
        <v/>
      </c>
      <c r="Q693" s="207"/>
      <c r="R693" s="141" t="str">
        <f>IF(S693="IN",'BOM_Phan II'!$Y$3,"")</f>
        <v/>
      </c>
      <c r="S693" s="153" t="str">
        <f t="shared" si="177"/>
        <v/>
      </c>
      <c r="T693">
        <f t="shared" si="178"/>
        <v>6</v>
      </c>
      <c r="U693" s="208" t="str">
        <f t="shared" si="186"/>
        <v>KIỆN 9</v>
      </c>
      <c r="V693" s="208" t="str">
        <f t="shared" si="179"/>
        <v/>
      </c>
      <c r="W693" s="240"/>
      <c r="X693" s="240"/>
      <c r="Y693" s="240" t="str">
        <f t="shared" si="180"/>
        <v/>
      </c>
      <c r="Z693" s="240"/>
      <c r="AD693" s="232" t="str">
        <f t="shared" si="181"/>
        <v/>
      </c>
      <c r="AE693" s="204"/>
      <c r="AX693" s="3" t="str">
        <f t="shared" si="171"/>
        <v/>
      </c>
    </row>
    <row r="694" spans="1:50" s="155" customFormat="1" ht="30" hidden="1" customHeight="1">
      <c r="A694" s="141" t="str">
        <f t="shared" si="182"/>
        <v/>
      </c>
      <c r="B694" s="141" t="str">
        <f t="shared" si="183"/>
        <v/>
      </c>
      <c r="C694" s="205" t="str" cm="1">
        <f t="array" ref="C694">IF(D694="","",
    IF(AND(ISNUMBER(D694), D694=INT(D694)),
        $V$6 &amp; " " &amp; (IFERROR(MAX($Y$12:$Y693), 0) + 1),
        IF(ISNUMBER(SEARCH(".", D694)), "", INDEX($C$12:$C694, MATCH(2, 1/($C$12:$C694 &lt;&gt; ""))))
    )
)</f>
        <v/>
      </c>
      <c r="D694" s="206"/>
      <c r="E694" s="206" t="str">
        <f>IF(AA694 = "", "",
    IF(ISNUMBER(SEARCH("Kiện", C694)),
       " GÓI " &amp; COUNTIF($C$13:C694, "*Kiện*") &amp; "/" &amp; COUNTIF($C$13:$C$1000, "*Kiện*") &amp; " " &amp; AA694,
       AA694)
)</f>
        <v/>
      </c>
      <c r="F694" s="206"/>
      <c r="G694" s="206"/>
      <c r="H694" s="206"/>
      <c r="I694" s="206"/>
      <c r="J694" s="206" t="str">
        <f t="shared" si="184"/>
        <v/>
      </c>
      <c r="K694" s="206" t="str">
        <f t="shared" si="172"/>
        <v/>
      </c>
      <c r="L694" s="206" t="str">
        <f t="shared" si="173"/>
        <v/>
      </c>
      <c r="M694" s="206" t="str">
        <f t="shared" si="174"/>
        <v/>
      </c>
      <c r="N694" s="206" t="str">
        <f t="shared" si="185"/>
        <v/>
      </c>
      <c r="O694" s="206" t="str">
        <f t="shared" si="175"/>
        <v/>
      </c>
      <c r="P694" s="165" t="str">
        <f t="shared" si="176"/>
        <v/>
      </c>
      <c r="Q694" s="207"/>
      <c r="R694" s="141" t="str">
        <f>IF(S694="IN",'BOM_Phan II'!$Y$3,"")</f>
        <v/>
      </c>
      <c r="S694" s="153" t="str">
        <f t="shared" si="177"/>
        <v/>
      </c>
      <c r="T694">
        <f t="shared" si="178"/>
        <v>6</v>
      </c>
      <c r="U694" s="208" t="str">
        <f t="shared" si="186"/>
        <v>KIỆN 9</v>
      </c>
      <c r="V694" s="208" t="str">
        <f t="shared" si="179"/>
        <v/>
      </c>
      <c r="W694" s="240"/>
      <c r="X694" s="240"/>
      <c r="Y694" s="240" t="str">
        <f t="shared" si="180"/>
        <v/>
      </c>
      <c r="Z694" s="240"/>
      <c r="AD694" s="232" t="str">
        <f t="shared" si="181"/>
        <v/>
      </c>
      <c r="AE694" s="204"/>
      <c r="AX694" s="3" t="str">
        <f t="shared" si="171"/>
        <v/>
      </c>
    </row>
    <row r="695" spans="1:50" s="155" customFormat="1" ht="30" hidden="1" customHeight="1">
      <c r="A695" s="141" t="str">
        <f t="shared" si="182"/>
        <v/>
      </c>
      <c r="B695" s="141" t="str">
        <f t="shared" si="183"/>
        <v/>
      </c>
      <c r="C695" s="205" t="str" cm="1">
        <f t="array" ref="C695">IF(D695="","",
    IF(AND(ISNUMBER(D695), D695=INT(D695)),
        $V$6 &amp; " " &amp; (IFERROR(MAX($Y$12:$Y694), 0) + 1),
        IF(ISNUMBER(SEARCH(".", D695)), "", INDEX($C$12:$C695, MATCH(2, 1/($C$12:$C695 &lt;&gt; ""))))
    )
)</f>
        <v/>
      </c>
      <c r="D695" s="206"/>
      <c r="E695" s="206" t="str">
        <f>IF(AA695 = "", "",
    IF(ISNUMBER(SEARCH("Kiện", C695)),
       " GÓI " &amp; COUNTIF($C$13:C695, "*Kiện*") &amp; "/" &amp; COUNTIF($C$13:$C$1000, "*Kiện*") &amp; " " &amp; AA695,
       AA695)
)</f>
        <v/>
      </c>
      <c r="F695" s="206"/>
      <c r="G695" s="206"/>
      <c r="H695" s="206"/>
      <c r="I695" s="206"/>
      <c r="J695" s="206" t="str">
        <f t="shared" si="184"/>
        <v/>
      </c>
      <c r="K695" s="206" t="str">
        <f t="shared" si="172"/>
        <v/>
      </c>
      <c r="L695" s="206" t="str">
        <f t="shared" si="173"/>
        <v/>
      </c>
      <c r="M695" s="206" t="str">
        <f t="shared" si="174"/>
        <v/>
      </c>
      <c r="N695" s="206" t="str">
        <f t="shared" si="185"/>
        <v/>
      </c>
      <c r="O695" s="206" t="str">
        <f t="shared" si="175"/>
        <v/>
      </c>
      <c r="P695" s="165" t="str">
        <f t="shared" si="176"/>
        <v/>
      </c>
      <c r="Q695" s="207"/>
      <c r="R695" s="141" t="str">
        <f>IF(S695="IN",'BOM_Phan II'!$Y$3,"")</f>
        <v/>
      </c>
      <c r="S695" s="153" t="str">
        <f t="shared" si="177"/>
        <v/>
      </c>
      <c r="T695">
        <f t="shared" si="178"/>
        <v>6</v>
      </c>
      <c r="U695" s="208" t="str">
        <f t="shared" si="186"/>
        <v>KIỆN 9</v>
      </c>
      <c r="V695" s="208" t="str">
        <f t="shared" si="179"/>
        <v/>
      </c>
      <c r="W695" s="240"/>
      <c r="X695" s="240"/>
      <c r="Y695" s="240" t="str">
        <f t="shared" si="180"/>
        <v/>
      </c>
      <c r="Z695" s="240"/>
      <c r="AD695" s="232" t="str">
        <f t="shared" si="181"/>
        <v/>
      </c>
      <c r="AE695" s="204"/>
      <c r="AX695" s="3" t="str">
        <f t="shared" si="171"/>
        <v/>
      </c>
    </row>
    <row r="696" spans="1:50" s="155" customFormat="1" ht="30" hidden="1" customHeight="1">
      <c r="A696" s="141" t="str">
        <f t="shared" si="182"/>
        <v/>
      </c>
      <c r="B696" s="141" t="str">
        <f t="shared" si="183"/>
        <v/>
      </c>
      <c r="C696" s="205" t="str" cm="1">
        <f t="array" ref="C696">IF(D696="","",
    IF(AND(ISNUMBER(D696), D696=INT(D696)),
        $V$6 &amp; " " &amp; (IFERROR(MAX($Y$12:$Y695), 0) + 1),
        IF(ISNUMBER(SEARCH(".", D696)), "", INDEX($C$12:$C696, MATCH(2, 1/($C$12:$C696 &lt;&gt; ""))))
    )
)</f>
        <v/>
      </c>
      <c r="D696" s="206"/>
      <c r="E696" s="206" t="str">
        <f>IF(AA696 = "", "",
    IF(ISNUMBER(SEARCH("Kiện", C696)),
       " GÓI " &amp; COUNTIF($C$13:C696, "*Kiện*") &amp; "/" &amp; COUNTIF($C$13:$C$1000, "*Kiện*") &amp; " " &amp; AA696,
       AA696)
)</f>
        <v/>
      </c>
      <c r="F696" s="206"/>
      <c r="G696" s="206"/>
      <c r="H696" s="206"/>
      <c r="I696" s="206"/>
      <c r="J696" s="206" t="str">
        <f t="shared" si="184"/>
        <v/>
      </c>
      <c r="K696" s="206" t="str">
        <f t="shared" si="172"/>
        <v/>
      </c>
      <c r="L696" s="206" t="str">
        <f t="shared" si="173"/>
        <v/>
      </c>
      <c r="M696" s="206" t="str">
        <f t="shared" si="174"/>
        <v/>
      </c>
      <c r="N696" s="206" t="str">
        <f t="shared" si="185"/>
        <v/>
      </c>
      <c r="O696" s="206" t="str">
        <f t="shared" si="175"/>
        <v/>
      </c>
      <c r="P696" s="165" t="str">
        <f t="shared" si="176"/>
        <v/>
      </c>
      <c r="Q696" s="207"/>
      <c r="R696" s="141" t="str">
        <f>IF(S696="IN",'BOM_Phan II'!$Y$3,"")</f>
        <v/>
      </c>
      <c r="S696" s="153" t="str">
        <f t="shared" si="177"/>
        <v/>
      </c>
      <c r="T696">
        <f t="shared" si="178"/>
        <v>6</v>
      </c>
      <c r="U696" s="208" t="str">
        <f t="shared" si="186"/>
        <v>KIỆN 9</v>
      </c>
      <c r="V696" s="208" t="str">
        <f t="shared" si="179"/>
        <v/>
      </c>
      <c r="W696" s="240"/>
      <c r="X696" s="240"/>
      <c r="Y696" s="240" t="str">
        <f t="shared" si="180"/>
        <v/>
      </c>
      <c r="Z696" s="240"/>
      <c r="AD696" s="232" t="str">
        <f t="shared" si="181"/>
        <v/>
      </c>
      <c r="AE696" s="204"/>
      <c r="AX696" s="3" t="str">
        <f t="shared" si="171"/>
        <v/>
      </c>
    </row>
    <row r="697" spans="1:50" s="155" customFormat="1" ht="30" hidden="1" customHeight="1">
      <c r="A697" s="141" t="str">
        <f t="shared" si="182"/>
        <v/>
      </c>
      <c r="B697" s="141" t="str">
        <f t="shared" si="183"/>
        <v/>
      </c>
      <c r="C697" s="205" t="str" cm="1">
        <f t="array" ref="C697">IF(D697="","",
    IF(AND(ISNUMBER(D697), D697=INT(D697)),
        $V$6 &amp; " " &amp; (IFERROR(MAX($Y$12:$Y696), 0) + 1),
        IF(ISNUMBER(SEARCH(".", D697)), "", INDEX($C$12:$C697, MATCH(2, 1/($C$12:$C697 &lt;&gt; ""))))
    )
)</f>
        <v/>
      </c>
      <c r="D697" s="206"/>
      <c r="E697" s="206" t="str">
        <f>IF(AA697 = "", "",
    IF(ISNUMBER(SEARCH("Kiện", C697)),
       " GÓI " &amp; COUNTIF($C$13:C697, "*Kiện*") &amp; "/" &amp; COUNTIF($C$13:$C$1000, "*Kiện*") &amp; " " &amp; AA697,
       AA697)
)</f>
        <v/>
      </c>
      <c r="F697" s="206"/>
      <c r="G697" s="206"/>
      <c r="H697" s="206"/>
      <c r="I697" s="206"/>
      <c r="J697" s="206" t="str">
        <f t="shared" si="184"/>
        <v/>
      </c>
      <c r="K697" s="206" t="str">
        <f t="shared" si="172"/>
        <v/>
      </c>
      <c r="L697" s="206" t="str">
        <f t="shared" si="173"/>
        <v/>
      </c>
      <c r="M697" s="206" t="str">
        <f t="shared" si="174"/>
        <v/>
      </c>
      <c r="N697" s="206" t="str">
        <f t="shared" si="185"/>
        <v/>
      </c>
      <c r="O697" s="206" t="str">
        <f t="shared" si="175"/>
        <v/>
      </c>
      <c r="P697" s="165" t="str">
        <f t="shared" si="176"/>
        <v/>
      </c>
      <c r="Q697" s="207"/>
      <c r="R697" s="141" t="str">
        <f>IF(S697="IN",'BOM_Phan II'!$Y$3,"")</f>
        <v/>
      </c>
      <c r="S697" s="153" t="str">
        <f t="shared" si="177"/>
        <v/>
      </c>
      <c r="T697">
        <f t="shared" si="178"/>
        <v>6</v>
      </c>
      <c r="U697" s="208" t="str">
        <f t="shared" si="186"/>
        <v>KIỆN 9</v>
      </c>
      <c r="V697" s="208" t="str">
        <f t="shared" si="179"/>
        <v/>
      </c>
      <c r="W697" s="240"/>
      <c r="X697" s="240"/>
      <c r="Y697" s="240" t="str">
        <f t="shared" si="180"/>
        <v/>
      </c>
      <c r="Z697" s="240"/>
      <c r="AD697" s="232" t="str">
        <f t="shared" si="181"/>
        <v/>
      </c>
      <c r="AE697" s="204"/>
      <c r="AX697" s="3" t="str">
        <f t="shared" si="171"/>
        <v/>
      </c>
    </row>
    <row r="698" spans="1:50" s="155" customFormat="1" ht="30" hidden="1" customHeight="1">
      <c r="A698" s="141" t="str">
        <f t="shared" si="182"/>
        <v/>
      </c>
      <c r="B698" s="141" t="str">
        <f t="shared" si="183"/>
        <v/>
      </c>
      <c r="C698" s="205" t="str" cm="1">
        <f t="array" ref="C698">IF(D698="","",
    IF(AND(ISNUMBER(D698), D698=INT(D698)),
        $V$6 &amp; " " &amp; (IFERROR(MAX($Y$12:$Y697), 0) + 1),
        IF(ISNUMBER(SEARCH(".", D698)), "", INDEX($C$12:$C698, MATCH(2, 1/($C$12:$C698 &lt;&gt; ""))))
    )
)</f>
        <v/>
      </c>
      <c r="D698" s="206"/>
      <c r="E698" s="206" t="str">
        <f>IF(AA698 = "", "",
    IF(ISNUMBER(SEARCH("Kiện", C698)),
       " GÓI " &amp; COUNTIF($C$13:C698, "*Kiện*") &amp; "/" &amp; COUNTIF($C$13:$C$1000, "*Kiện*") &amp; " " &amp; AA698,
       AA698)
)</f>
        <v/>
      </c>
      <c r="F698" s="206"/>
      <c r="G698" s="206"/>
      <c r="H698" s="206"/>
      <c r="I698" s="206"/>
      <c r="J698" s="206" t="str">
        <f t="shared" si="184"/>
        <v/>
      </c>
      <c r="K698" s="206" t="str">
        <f t="shared" si="172"/>
        <v/>
      </c>
      <c r="L698" s="206" t="str">
        <f t="shared" si="173"/>
        <v/>
      </c>
      <c r="M698" s="206" t="str">
        <f t="shared" si="174"/>
        <v/>
      </c>
      <c r="N698" s="206" t="str">
        <f t="shared" si="185"/>
        <v/>
      </c>
      <c r="O698" s="206" t="str">
        <f t="shared" si="175"/>
        <v/>
      </c>
      <c r="P698" s="165" t="str">
        <f t="shared" si="176"/>
        <v/>
      </c>
      <c r="Q698" s="207"/>
      <c r="R698" s="141" t="str">
        <f>IF(S698="IN",'BOM_Phan II'!$Y$3,"")</f>
        <v/>
      </c>
      <c r="S698" s="153" t="str">
        <f t="shared" si="177"/>
        <v/>
      </c>
      <c r="T698">
        <f t="shared" si="178"/>
        <v>6</v>
      </c>
      <c r="U698" s="208" t="str">
        <f t="shared" si="186"/>
        <v>KIỆN 9</v>
      </c>
      <c r="V698" s="208" t="str">
        <f t="shared" si="179"/>
        <v/>
      </c>
      <c r="W698" s="240"/>
      <c r="X698" s="240"/>
      <c r="Y698" s="240" t="str">
        <f t="shared" si="180"/>
        <v/>
      </c>
      <c r="Z698" s="240"/>
      <c r="AD698" s="232" t="str">
        <f t="shared" si="181"/>
        <v/>
      </c>
      <c r="AE698" s="204"/>
      <c r="AX698" s="3" t="str">
        <f t="shared" si="171"/>
        <v/>
      </c>
    </row>
    <row r="699" spans="1:50" s="155" customFormat="1" ht="30" hidden="1" customHeight="1">
      <c r="A699" s="141" t="str">
        <f t="shared" si="182"/>
        <v/>
      </c>
      <c r="B699" s="141" t="str">
        <f t="shared" si="183"/>
        <v/>
      </c>
      <c r="C699" s="205" t="str" cm="1">
        <f t="array" ref="C699">IF(D699="","",
    IF(AND(ISNUMBER(D699), D699=INT(D699)),
        $V$6 &amp; " " &amp; (IFERROR(MAX($Y$12:$Y698), 0) + 1),
        IF(ISNUMBER(SEARCH(".", D699)), "", INDEX($C$12:$C699, MATCH(2, 1/($C$12:$C699 &lt;&gt; ""))))
    )
)</f>
        <v/>
      </c>
      <c r="D699" s="206"/>
      <c r="E699" s="206" t="str">
        <f>IF(AA699 = "", "",
    IF(ISNUMBER(SEARCH("Kiện", C699)),
       " GÓI " &amp; COUNTIF($C$13:C699, "*Kiện*") &amp; "/" &amp; COUNTIF($C$13:$C$1000, "*Kiện*") &amp; " " &amp; AA699,
       AA699)
)</f>
        <v/>
      </c>
      <c r="F699" s="206"/>
      <c r="G699" s="206"/>
      <c r="H699" s="206"/>
      <c r="I699" s="206"/>
      <c r="J699" s="206" t="str">
        <f t="shared" si="184"/>
        <v/>
      </c>
      <c r="K699" s="206" t="str">
        <f t="shared" si="172"/>
        <v/>
      </c>
      <c r="L699" s="206" t="str">
        <f t="shared" si="173"/>
        <v/>
      </c>
      <c r="M699" s="206" t="str">
        <f t="shared" si="174"/>
        <v/>
      </c>
      <c r="N699" s="206" t="str">
        <f t="shared" si="185"/>
        <v/>
      </c>
      <c r="O699" s="206" t="str">
        <f t="shared" si="175"/>
        <v/>
      </c>
      <c r="P699" s="165" t="str">
        <f t="shared" si="176"/>
        <v/>
      </c>
      <c r="Q699" s="207"/>
      <c r="R699" s="141" t="str">
        <f>IF(S699="IN",'BOM_Phan II'!$Y$3,"")</f>
        <v/>
      </c>
      <c r="S699" s="153" t="str">
        <f t="shared" si="177"/>
        <v/>
      </c>
      <c r="T699">
        <f t="shared" si="178"/>
        <v>6</v>
      </c>
      <c r="U699" s="208" t="str">
        <f t="shared" si="186"/>
        <v>KIỆN 9</v>
      </c>
      <c r="V699" s="208" t="str">
        <f t="shared" si="179"/>
        <v/>
      </c>
      <c r="W699" s="240"/>
      <c r="X699" s="240"/>
      <c r="Y699" s="240" t="str">
        <f t="shared" si="180"/>
        <v/>
      </c>
      <c r="Z699" s="240"/>
      <c r="AD699" s="232" t="str">
        <f t="shared" si="181"/>
        <v/>
      </c>
      <c r="AE699" s="204"/>
      <c r="AX699" s="3" t="str">
        <f t="shared" si="171"/>
        <v/>
      </c>
    </row>
    <row r="700" spans="1:50" s="155" customFormat="1" ht="30" hidden="1" customHeight="1">
      <c r="A700" s="141" t="str">
        <f t="shared" si="182"/>
        <v/>
      </c>
      <c r="B700" s="141" t="str">
        <f t="shared" si="183"/>
        <v/>
      </c>
      <c r="C700" s="205" t="str" cm="1">
        <f t="array" ref="C700">IF(D700="","",
    IF(AND(ISNUMBER(D700), D700=INT(D700)),
        $V$6 &amp; " " &amp; (IFERROR(MAX($Y$12:$Y699), 0) + 1),
        IF(ISNUMBER(SEARCH(".", D700)), "", INDEX($C$12:$C700, MATCH(2, 1/($C$12:$C700 &lt;&gt; ""))))
    )
)</f>
        <v/>
      </c>
      <c r="D700" s="206"/>
      <c r="E700" s="206" t="str">
        <f>IF(AA700 = "", "",
    IF(ISNUMBER(SEARCH("Kiện", C700)),
       " GÓI " &amp; COUNTIF($C$13:C700, "*Kiện*") &amp; "/" &amp; COUNTIF($C$13:$C$1000, "*Kiện*") &amp; " " &amp; AA700,
       AA700)
)</f>
        <v/>
      </c>
      <c r="F700" s="206"/>
      <c r="G700" s="206"/>
      <c r="H700" s="206"/>
      <c r="I700" s="206"/>
      <c r="J700" s="206" t="str">
        <f t="shared" si="184"/>
        <v/>
      </c>
      <c r="K700" s="206" t="str">
        <f t="shared" si="172"/>
        <v/>
      </c>
      <c r="L700" s="206" t="str">
        <f t="shared" si="173"/>
        <v/>
      </c>
      <c r="M700" s="206" t="str">
        <f t="shared" si="174"/>
        <v/>
      </c>
      <c r="N700" s="206" t="str">
        <f t="shared" si="185"/>
        <v/>
      </c>
      <c r="O700" s="206" t="str">
        <f t="shared" si="175"/>
        <v/>
      </c>
      <c r="P700" s="165" t="str">
        <f t="shared" si="176"/>
        <v/>
      </c>
      <c r="Q700" s="207"/>
      <c r="R700" s="141" t="str">
        <f>IF(S700="IN",'BOM_Phan II'!$Y$3,"")</f>
        <v/>
      </c>
      <c r="S700" s="153" t="str">
        <f t="shared" si="177"/>
        <v/>
      </c>
      <c r="T700">
        <f t="shared" si="178"/>
        <v>6</v>
      </c>
      <c r="U700" s="208" t="str">
        <f t="shared" si="186"/>
        <v>KIỆN 9</v>
      </c>
      <c r="V700" s="208" t="str">
        <f t="shared" si="179"/>
        <v/>
      </c>
      <c r="W700" s="240"/>
      <c r="X700" s="240"/>
      <c r="Y700" s="240" t="str">
        <f t="shared" si="180"/>
        <v/>
      </c>
      <c r="Z700" s="240"/>
      <c r="AD700" s="232" t="str">
        <f t="shared" si="181"/>
        <v/>
      </c>
      <c r="AE700" s="204"/>
      <c r="AX700" s="3" t="str">
        <f t="shared" si="171"/>
        <v/>
      </c>
    </row>
    <row r="701" spans="1:50" s="155" customFormat="1" ht="30" hidden="1" customHeight="1">
      <c r="A701" s="141" t="str">
        <f t="shared" si="182"/>
        <v/>
      </c>
      <c r="B701" s="141" t="str">
        <f t="shared" si="183"/>
        <v/>
      </c>
      <c r="C701" s="205" t="str" cm="1">
        <f t="array" ref="C701">IF(D701="","",
    IF(AND(ISNUMBER(D701), D701=INT(D701)),
        $V$6 &amp; " " &amp; (IFERROR(MAX($Y$12:$Y700), 0) + 1),
        IF(ISNUMBER(SEARCH(".", D701)), "", INDEX($C$12:$C701, MATCH(2, 1/($C$12:$C701 &lt;&gt; ""))))
    )
)</f>
        <v/>
      </c>
      <c r="D701" s="206"/>
      <c r="E701" s="206" t="str">
        <f>IF(AA701 = "", "",
    IF(ISNUMBER(SEARCH("Kiện", C701)),
       " GÓI " &amp; COUNTIF($C$13:C701, "*Kiện*") &amp; "/" &amp; COUNTIF($C$13:$C$1000, "*Kiện*") &amp; " " &amp; AA701,
       AA701)
)</f>
        <v/>
      </c>
      <c r="F701" s="206"/>
      <c r="G701" s="206"/>
      <c r="H701" s="206"/>
      <c r="I701" s="206"/>
      <c r="J701" s="206" t="str">
        <f t="shared" si="184"/>
        <v/>
      </c>
      <c r="K701" s="206" t="str">
        <f t="shared" si="172"/>
        <v/>
      </c>
      <c r="L701" s="206" t="str">
        <f t="shared" si="173"/>
        <v/>
      </c>
      <c r="M701" s="206" t="str">
        <f t="shared" si="174"/>
        <v/>
      </c>
      <c r="N701" s="206" t="str">
        <f t="shared" si="185"/>
        <v/>
      </c>
      <c r="O701" s="206" t="str">
        <f t="shared" si="175"/>
        <v/>
      </c>
      <c r="P701" s="165" t="str">
        <f t="shared" si="176"/>
        <v/>
      </c>
      <c r="Q701" s="207"/>
      <c r="R701" s="141" t="str">
        <f>IF(S701="IN",'BOM_Phan II'!$Y$3,"")</f>
        <v/>
      </c>
      <c r="S701" s="153" t="str">
        <f t="shared" si="177"/>
        <v/>
      </c>
      <c r="T701">
        <f t="shared" si="178"/>
        <v>6</v>
      </c>
      <c r="U701" s="208" t="str">
        <f t="shared" si="186"/>
        <v>KIỆN 9</v>
      </c>
      <c r="V701" s="208" t="str">
        <f t="shared" si="179"/>
        <v/>
      </c>
      <c r="W701" s="240"/>
      <c r="X701" s="240"/>
      <c r="Y701" s="240" t="str">
        <f t="shared" si="180"/>
        <v/>
      </c>
      <c r="Z701" s="240"/>
      <c r="AD701" s="232" t="str">
        <f t="shared" si="181"/>
        <v/>
      </c>
      <c r="AE701" s="204"/>
      <c r="AX701" s="3" t="str">
        <f t="shared" si="171"/>
        <v/>
      </c>
    </row>
    <row r="702" spans="1:50" s="155" customFormat="1" ht="30" hidden="1" customHeight="1">
      <c r="A702" s="141" t="str">
        <f t="shared" si="182"/>
        <v/>
      </c>
      <c r="B702" s="141" t="str">
        <f t="shared" si="183"/>
        <v/>
      </c>
      <c r="C702" s="205" t="str" cm="1">
        <f t="array" ref="C702">IF(D702="","",
    IF(AND(ISNUMBER(D702), D702=INT(D702)),
        $V$6 &amp; " " &amp; (IFERROR(MAX($Y$12:$Y701), 0) + 1),
        IF(ISNUMBER(SEARCH(".", D702)), "", INDEX($C$12:$C702, MATCH(2, 1/($C$12:$C702 &lt;&gt; ""))))
    )
)</f>
        <v/>
      </c>
      <c r="D702" s="206"/>
      <c r="E702" s="206" t="str">
        <f>IF(AA702 = "", "",
    IF(ISNUMBER(SEARCH("Kiện", C702)),
       " GÓI " &amp; COUNTIF($C$13:C702, "*Kiện*") &amp; "/" &amp; COUNTIF($C$13:$C$1000, "*Kiện*") &amp; " " &amp; AA702,
       AA702)
)</f>
        <v/>
      </c>
      <c r="F702" s="206"/>
      <c r="G702" s="206"/>
      <c r="H702" s="206"/>
      <c r="I702" s="206"/>
      <c r="J702" s="206" t="str">
        <f t="shared" si="184"/>
        <v/>
      </c>
      <c r="K702" s="206" t="str">
        <f t="shared" si="172"/>
        <v/>
      </c>
      <c r="L702" s="206" t="str">
        <f t="shared" si="173"/>
        <v/>
      </c>
      <c r="M702" s="206" t="str">
        <f t="shared" si="174"/>
        <v/>
      </c>
      <c r="N702" s="206" t="str">
        <f t="shared" si="185"/>
        <v/>
      </c>
      <c r="O702" s="206" t="str">
        <f t="shared" si="175"/>
        <v/>
      </c>
      <c r="P702" s="165" t="str">
        <f t="shared" si="176"/>
        <v/>
      </c>
      <c r="Q702" s="207"/>
      <c r="R702" s="141" t="str">
        <f>IF(S702="IN",'BOM_Phan II'!$Y$3,"")</f>
        <v/>
      </c>
      <c r="S702" s="153" t="str">
        <f t="shared" si="177"/>
        <v/>
      </c>
      <c r="T702">
        <f t="shared" si="178"/>
        <v>6</v>
      </c>
      <c r="U702" s="208" t="str">
        <f t="shared" si="186"/>
        <v>KIỆN 9</v>
      </c>
      <c r="V702" s="208" t="str">
        <f t="shared" si="179"/>
        <v/>
      </c>
      <c r="W702" s="240"/>
      <c r="X702" s="240"/>
      <c r="Y702" s="240" t="str">
        <f t="shared" si="180"/>
        <v/>
      </c>
      <c r="Z702" s="240"/>
      <c r="AD702" s="232" t="str">
        <f t="shared" si="181"/>
        <v/>
      </c>
      <c r="AE702" s="204"/>
      <c r="AX702" s="3" t="str">
        <f t="shared" si="171"/>
        <v/>
      </c>
    </row>
    <row r="703" spans="1:50" s="155" customFormat="1" ht="30" hidden="1" customHeight="1">
      <c r="A703" s="141" t="str">
        <f t="shared" si="182"/>
        <v/>
      </c>
      <c r="B703" s="141" t="str">
        <f t="shared" si="183"/>
        <v/>
      </c>
      <c r="C703" s="205" t="str" cm="1">
        <f t="array" ref="C703">IF(D703="","",
    IF(AND(ISNUMBER(D703), D703=INT(D703)),
        $V$6 &amp; " " &amp; (IFERROR(MAX($Y$12:$Y702), 0) + 1),
        IF(ISNUMBER(SEARCH(".", D703)), "", INDEX($C$12:$C703, MATCH(2, 1/($C$12:$C703 &lt;&gt; ""))))
    )
)</f>
        <v/>
      </c>
      <c r="D703" s="206"/>
      <c r="E703" s="206" t="str">
        <f>IF(AA703 = "", "",
    IF(ISNUMBER(SEARCH("Kiện", C703)),
       " GÓI " &amp; COUNTIF($C$13:C703, "*Kiện*") &amp; "/" &amp; COUNTIF($C$13:$C$1000, "*Kiện*") &amp; " " &amp; AA703,
       AA703)
)</f>
        <v/>
      </c>
      <c r="F703" s="206"/>
      <c r="G703" s="206"/>
      <c r="H703" s="206"/>
      <c r="I703" s="206"/>
      <c r="J703" s="206" t="str">
        <f t="shared" si="184"/>
        <v/>
      </c>
      <c r="K703" s="206" t="str">
        <f t="shared" si="172"/>
        <v/>
      </c>
      <c r="L703" s="206" t="str">
        <f t="shared" si="173"/>
        <v/>
      </c>
      <c r="M703" s="206" t="str">
        <f t="shared" si="174"/>
        <v/>
      </c>
      <c r="N703" s="206" t="str">
        <f t="shared" si="185"/>
        <v/>
      </c>
      <c r="O703" s="206" t="str">
        <f t="shared" si="175"/>
        <v/>
      </c>
      <c r="P703" s="165" t="str">
        <f t="shared" si="176"/>
        <v/>
      </c>
      <c r="Q703" s="207"/>
      <c r="R703" s="141" t="str">
        <f>IF(S703="IN",'BOM_Phan II'!$Y$3,"")</f>
        <v/>
      </c>
      <c r="S703" s="153" t="str">
        <f t="shared" si="177"/>
        <v/>
      </c>
      <c r="T703">
        <f t="shared" si="178"/>
        <v>6</v>
      </c>
      <c r="U703" s="208" t="str">
        <f t="shared" si="186"/>
        <v>KIỆN 9</v>
      </c>
      <c r="V703" s="208" t="str">
        <f t="shared" si="179"/>
        <v/>
      </c>
      <c r="W703" s="240"/>
      <c r="X703" s="240"/>
      <c r="Y703" s="240" t="str">
        <f t="shared" si="180"/>
        <v/>
      </c>
      <c r="Z703" s="240"/>
      <c r="AD703" s="232" t="str">
        <f t="shared" si="181"/>
        <v/>
      </c>
      <c r="AE703" s="204"/>
      <c r="AX703" s="3" t="str">
        <f t="shared" si="171"/>
        <v/>
      </c>
    </row>
    <row r="704" spans="1:50" s="155" customFormat="1" ht="30" hidden="1" customHeight="1">
      <c r="A704" s="141" t="str">
        <f t="shared" si="182"/>
        <v/>
      </c>
      <c r="B704" s="141" t="str">
        <f t="shared" si="183"/>
        <v/>
      </c>
      <c r="C704" s="205" t="str" cm="1">
        <f t="array" ref="C704">IF(D704="","",
    IF(AND(ISNUMBER(D704), D704=INT(D704)),
        $V$6 &amp; " " &amp; (IFERROR(MAX($Y$12:$Y703), 0) + 1),
        IF(ISNUMBER(SEARCH(".", D704)), "", INDEX($C$12:$C704, MATCH(2, 1/($C$12:$C704 &lt;&gt; ""))))
    )
)</f>
        <v/>
      </c>
      <c r="D704" s="206"/>
      <c r="E704" s="206" t="str">
        <f>IF(AA704 = "", "",
    IF(ISNUMBER(SEARCH("Kiện", C704)),
       " GÓI " &amp; COUNTIF($C$13:C704, "*Kiện*") &amp; "/" &amp; COUNTIF($C$13:$C$1000, "*Kiện*") &amp; " " &amp; AA704,
       AA704)
)</f>
        <v/>
      </c>
      <c r="F704" s="206"/>
      <c r="G704" s="206"/>
      <c r="H704" s="206"/>
      <c r="I704" s="206"/>
      <c r="J704" s="206" t="str">
        <f t="shared" si="184"/>
        <v/>
      </c>
      <c r="K704" s="206" t="str">
        <f t="shared" si="172"/>
        <v/>
      </c>
      <c r="L704" s="206" t="str">
        <f t="shared" si="173"/>
        <v/>
      </c>
      <c r="M704" s="206" t="str">
        <f t="shared" si="174"/>
        <v/>
      </c>
      <c r="N704" s="206" t="str">
        <f t="shared" si="185"/>
        <v/>
      </c>
      <c r="O704" s="206" t="str">
        <f t="shared" si="175"/>
        <v/>
      </c>
      <c r="P704" s="165" t="str">
        <f t="shared" si="176"/>
        <v/>
      </c>
      <c r="Q704" s="207"/>
      <c r="R704" s="141" t="str">
        <f>IF(S704="IN",'BOM_Phan II'!$Y$3,"")</f>
        <v/>
      </c>
      <c r="S704" s="153" t="str">
        <f t="shared" si="177"/>
        <v/>
      </c>
      <c r="T704">
        <f t="shared" si="178"/>
        <v>6</v>
      </c>
      <c r="U704" s="208" t="str">
        <f t="shared" si="186"/>
        <v>KIỆN 9</v>
      </c>
      <c r="V704" s="208" t="str">
        <f t="shared" si="179"/>
        <v/>
      </c>
      <c r="W704" s="240"/>
      <c r="X704" s="240"/>
      <c r="Y704" s="240" t="str">
        <f t="shared" si="180"/>
        <v/>
      </c>
      <c r="Z704" s="240"/>
      <c r="AD704" s="232" t="str">
        <f t="shared" si="181"/>
        <v/>
      </c>
      <c r="AE704" s="204"/>
      <c r="AX704" s="3" t="str">
        <f t="shared" si="171"/>
        <v/>
      </c>
    </row>
    <row r="705" spans="1:50" s="155" customFormat="1" ht="30" hidden="1" customHeight="1">
      <c r="A705" s="141" t="str">
        <f t="shared" si="182"/>
        <v/>
      </c>
      <c r="B705" s="141" t="str">
        <f t="shared" si="183"/>
        <v/>
      </c>
      <c r="C705" s="205" t="str" cm="1">
        <f t="array" ref="C705">IF(D705="","",
    IF(AND(ISNUMBER(D705), D705=INT(D705)),
        $V$6 &amp; " " &amp; (IFERROR(MAX($Y$12:$Y704), 0) + 1),
        IF(ISNUMBER(SEARCH(".", D705)), "", INDEX($C$12:$C705, MATCH(2, 1/($C$12:$C705 &lt;&gt; ""))))
    )
)</f>
        <v/>
      </c>
      <c r="D705" s="206"/>
      <c r="E705" s="206" t="str">
        <f>IF(AA705 = "", "",
    IF(ISNUMBER(SEARCH("Kiện", C705)),
       " GÓI " &amp; COUNTIF($C$13:C705, "*Kiện*") &amp; "/" &amp; COUNTIF($C$13:$C$1000, "*Kiện*") &amp; " " &amp; AA705,
       AA705)
)</f>
        <v/>
      </c>
      <c r="F705" s="206"/>
      <c r="G705" s="206"/>
      <c r="H705" s="206"/>
      <c r="I705" s="206"/>
      <c r="J705" s="206" t="str">
        <f t="shared" si="184"/>
        <v/>
      </c>
      <c r="K705" s="206" t="str">
        <f t="shared" si="172"/>
        <v/>
      </c>
      <c r="L705" s="206" t="str">
        <f t="shared" si="173"/>
        <v/>
      </c>
      <c r="M705" s="206" t="str">
        <f t="shared" si="174"/>
        <v/>
      </c>
      <c r="N705" s="206" t="str">
        <f t="shared" si="185"/>
        <v/>
      </c>
      <c r="O705" s="206" t="str">
        <f t="shared" si="175"/>
        <v/>
      </c>
      <c r="P705" s="165" t="str">
        <f t="shared" si="176"/>
        <v/>
      </c>
      <c r="Q705" s="207"/>
      <c r="R705" s="141" t="str">
        <f>IF(S705="IN",'BOM_Phan II'!$Y$3,"")</f>
        <v/>
      </c>
      <c r="S705" s="153" t="str">
        <f t="shared" si="177"/>
        <v/>
      </c>
      <c r="T705">
        <f t="shared" si="178"/>
        <v>6</v>
      </c>
      <c r="U705" s="208" t="str">
        <f t="shared" si="186"/>
        <v>KIỆN 9</v>
      </c>
      <c r="V705" s="208" t="str">
        <f t="shared" si="179"/>
        <v/>
      </c>
      <c r="W705" s="240"/>
      <c r="X705" s="240"/>
      <c r="Y705" s="240" t="str">
        <f t="shared" si="180"/>
        <v/>
      </c>
      <c r="Z705" s="240"/>
      <c r="AD705" s="232" t="str">
        <f t="shared" si="181"/>
        <v/>
      </c>
      <c r="AE705" s="204"/>
      <c r="AX705" s="3" t="str">
        <f t="shared" si="171"/>
        <v/>
      </c>
    </row>
    <row r="706" spans="1:50" s="155" customFormat="1" ht="30" hidden="1" customHeight="1">
      <c r="A706" s="141" t="str">
        <f t="shared" si="182"/>
        <v/>
      </c>
      <c r="B706" s="141" t="str">
        <f t="shared" si="183"/>
        <v/>
      </c>
      <c r="C706" s="205" t="str" cm="1">
        <f t="array" ref="C706">IF(D706="","",
    IF(AND(ISNUMBER(D706), D706=INT(D706)),
        $V$6 &amp; " " &amp; (IFERROR(MAX($Y$12:$Y705), 0) + 1),
        IF(ISNUMBER(SEARCH(".", D706)), "", INDEX($C$12:$C706, MATCH(2, 1/($C$12:$C706 &lt;&gt; ""))))
    )
)</f>
        <v/>
      </c>
      <c r="D706" s="206"/>
      <c r="E706" s="206" t="str">
        <f>IF(AA706 = "", "",
    IF(ISNUMBER(SEARCH("Kiện", C706)),
       " GÓI " &amp; COUNTIF($C$13:C706, "*Kiện*") &amp; "/" &amp; COUNTIF($C$13:$C$1000, "*Kiện*") &amp; " " &amp; AA706,
       AA706)
)</f>
        <v/>
      </c>
      <c r="F706" s="206"/>
      <c r="G706" s="206"/>
      <c r="H706" s="206"/>
      <c r="I706" s="206"/>
      <c r="J706" s="206" t="str">
        <f t="shared" si="184"/>
        <v/>
      </c>
      <c r="K706" s="206" t="str">
        <f t="shared" si="172"/>
        <v/>
      </c>
      <c r="L706" s="206" t="str">
        <f t="shared" si="173"/>
        <v/>
      </c>
      <c r="M706" s="206" t="str">
        <f t="shared" si="174"/>
        <v/>
      </c>
      <c r="N706" s="206" t="str">
        <f t="shared" si="185"/>
        <v/>
      </c>
      <c r="O706" s="206" t="str">
        <f t="shared" si="175"/>
        <v/>
      </c>
      <c r="P706" s="165" t="str">
        <f t="shared" si="176"/>
        <v/>
      </c>
      <c r="Q706" s="207"/>
      <c r="R706" s="141" t="str">
        <f>IF(S706="IN",'BOM_Phan II'!$Y$3,"")</f>
        <v/>
      </c>
      <c r="S706" s="153" t="str">
        <f t="shared" si="177"/>
        <v/>
      </c>
      <c r="T706">
        <f t="shared" si="178"/>
        <v>6</v>
      </c>
      <c r="U706" s="208" t="str">
        <f t="shared" si="186"/>
        <v>KIỆN 9</v>
      </c>
      <c r="V706" s="208" t="str">
        <f t="shared" si="179"/>
        <v/>
      </c>
      <c r="W706" s="240"/>
      <c r="X706" s="240"/>
      <c r="Y706" s="240" t="str">
        <f t="shared" si="180"/>
        <v/>
      </c>
      <c r="Z706" s="240"/>
      <c r="AD706" s="232" t="str">
        <f t="shared" si="181"/>
        <v/>
      </c>
      <c r="AE706" s="204"/>
      <c r="AX706" s="3" t="str">
        <f t="shared" si="171"/>
        <v/>
      </c>
    </row>
    <row r="707" spans="1:50" s="155" customFormat="1" ht="30" hidden="1" customHeight="1">
      <c r="A707" s="141" t="str">
        <f t="shared" si="182"/>
        <v/>
      </c>
      <c r="B707" s="141" t="str">
        <f t="shared" si="183"/>
        <v/>
      </c>
      <c r="C707" s="205" t="str" cm="1">
        <f t="array" ref="C707">IF(D707="","",
    IF(AND(ISNUMBER(D707), D707=INT(D707)),
        $V$6 &amp; " " &amp; (IFERROR(MAX($Y$12:$Y706), 0) + 1),
        IF(ISNUMBER(SEARCH(".", D707)), "", INDEX($C$12:$C707, MATCH(2, 1/($C$12:$C707 &lt;&gt; ""))))
    )
)</f>
        <v/>
      </c>
      <c r="D707" s="206"/>
      <c r="E707" s="206" t="str">
        <f>IF(AA707 = "", "",
    IF(ISNUMBER(SEARCH("Kiện", C707)),
       " GÓI " &amp; COUNTIF($C$13:C707, "*Kiện*") &amp; "/" &amp; COUNTIF($C$13:$C$1000, "*Kiện*") &amp; " " &amp; AA707,
       AA707)
)</f>
        <v/>
      </c>
      <c r="F707" s="206"/>
      <c r="G707" s="206"/>
      <c r="H707" s="206"/>
      <c r="I707" s="206"/>
      <c r="J707" s="206" t="str">
        <f t="shared" si="184"/>
        <v/>
      </c>
      <c r="K707" s="206" t="str">
        <f t="shared" si="172"/>
        <v/>
      </c>
      <c r="L707" s="206" t="str">
        <f t="shared" si="173"/>
        <v/>
      </c>
      <c r="M707" s="206" t="str">
        <f t="shared" si="174"/>
        <v/>
      </c>
      <c r="N707" s="206" t="str">
        <f t="shared" si="185"/>
        <v/>
      </c>
      <c r="O707" s="206" t="str">
        <f t="shared" si="175"/>
        <v/>
      </c>
      <c r="P707" s="165" t="str">
        <f t="shared" si="176"/>
        <v/>
      </c>
      <c r="Q707" s="207"/>
      <c r="R707" s="141" t="str">
        <f>IF(S707="IN",'BOM_Phan II'!$Y$3,"")</f>
        <v/>
      </c>
      <c r="S707" s="153" t="str">
        <f t="shared" si="177"/>
        <v/>
      </c>
      <c r="T707">
        <f t="shared" si="178"/>
        <v>6</v>
      </c>
      <c r="U707" s="208" t="str">
        <f t="shared" si="186"/>
        <v>KIỆN 9</v>
      </c>
      <c r="V707" s="208" t="str">
        <f t="shared" si="179"/>
        <v/>
      </c>
      <c r="W707" s="240"/>
      <c r="X707" s="240"/>
      <c r="Y707" s="240" t="str">
        <f t="shared" si="180"/>
        <v/>
      </c>
      <c r="Z707" s="240"/>
      <c r="AD707" s="232" t="str">
        <f t="shared" si="181"/>
        <v/>
      </c>
      <c r="AE707" s="204"/>
      <c r="AX707" s="3" t="str">
        <f t="shared" si="171"/>
        <v/>
      </c>
    </row>
    <row r="708" spans="1:50" s="155" customFormat="1" ht="30" hidden="1" customHeight="1">
      <c r="A708" s="141" t="str">
        <f t="shared" si="182"/>
        <v/>
      </c>
      <c r="B708" s="141" t="str">
        <f t="shared" si="183"/>
        <v/>
      </c>
      <c r="C708" s="205" t="str" cm="1">
        <f t="array" ref="C708">IF(D708="","",
    IF(AND(ISNUMBER(D708), D708=INT(D708)),
        $V$6 &amp; " " &amp; (IFERROR(MAX($Y$12:$Y707), 0) + 1),
        IF(ISNUMBER(SEARCH(".", D708)), "", INDEX($C$12:$C708, MATCH(2, 1/($C$12:$C708 &lt;&gt; ""))))
    )
)</f>
        <v/>
      </c>
      <c r="D708" s="206"/>
      <c r="E708" s="206" t="str">
        <f>IF(AA708 = "", "",
    IF(ISNUMBER(SEARCH("Kiện", C708)),
       " GÓI " &amp; COUNTIF($C$13:C708, "*Kiện*") &amp; "/" &amp; COUNTIF($C$13:$C$1000, "*Kiện*") &amp; " " &amp; AA708,
       AA708)
)</f>
        <v/>
      </c>
      <c r="F708" s="206"/>
      <c r="G708" s="206"/>
      <c r="H708" s="206"/>
      <c r="I708" s="206"/>
      <c r="J708" s="206" t="str">
        <f t="shared" si="184"/>
        <v/>
      </c>
      <c r="K708" s="206" t="str">
        <f t="shared" si="172"/>
        <v/>
      </c>
      <c r="L708" s="206" t="str">
        <f t="shared" si="173"/>
        <v/>
      </c>
      <c r="M708" s="206" t="str">
        <f t="shared" si="174"/>
        <v/>
      </c>
      <c r="N708" s="206" t="str">
        <f t="shared" si="185"/>
        <v/>
      </c>
      <c r="O708" s="206" t="str">
        <f t="shared" si="175"/>
        <v/>
      </c>
      <c r="P708" s="165" t="str">
        <f t="shared" si="176"/>
        <v/>
      </c>
      <c r="Q708" s="207"/>
      <c r="R708" s="141" t="str">
        <f>IF(S708="IN",'BOM_Phan II'!$Y$3,"")</f>
        <v/>
      </c>
      <c r="S708" s="153" t="str">
        <f t="shared" si="177"/>
        <v/>
      </c>
      <c r="T708">
        <f t="shared" si="178"/>
        <v>6</v>
      </c>
      <c r="U708" s="208" t="str">
        <f t="shared" si="186"/>
        <v>KIỆN 9</v>
      </c>
      <c r="V708" s="208" t="str">
        <f t="shared" si="179"/>
        <v/>
      </c>
      <c r="W708" s="240"/>
      <c r="X708" s="240"/>
      <c r="Y708" s="240" t="str">
        <f t="shared" si="180"/>
        <v/>
      </c>
      <c r="Z708" s="240"/>
      <c r="AD708" s="232" t="str">
        <f t="shared" si="181"/>
        <v/>
      </c>
      <c r="AE708" s="204"/>
      <c r="AX708" s="3" t="str">
        <f t="shared" si="171"/>
        <v/>
      </c>
    </row>
    <row r="709" spans="1:50" s="155" customFormat="1" ht="30" hidden="1" customHeight="1">
      <c r="A709" s="141" t="str">
        <f t="shared" si="182"/>
        <v/>
      </c>
      <c r="B709" s="141" t="str">
        <f t="shared" si="183"/>
        <v/>
      </c>
      <c r="C709" s="205" t="str" cm="1">
        <f t="array" ref="C709">IF(D709="","",
    IF(AND(ISNUMBER(D709), D709=INT(D709)),
        $V$6 &amp; " " &amp; (IFERROR(MAX($Y$12:$Y708), 0) + 1),
        IF(ISNUMBER(SEARCH(".", D709)), "", INDEX($C$12:$C709, MATCH(2, 1/($C$12:$C709 &lt;&gt; ""))))
    )
)</f>
        <v/>
      </c>
      <c r="D709" s="206"/>
      <c r="E709" s="206" t="str">
        <f>IF(AA709 = "", "",
    IF(ISNUMBER(SEARCH("Kiện", C709)),
       " GÓI " &amp; COUNTIF($C$13:C709, "*Kiện*") &amp; "/" &amp; COUNTIF($C$13:$C$1000, "*Kiện*") &amp; " " &amp; AA709,
       AA709)
)</f>
        <v/>
      </c>
      <c r="F709" s="206"/>
      <c r="G709" s="206"/>
      <c r="H709" s="206"/>
      <c r="I709" s="206"/>
      <c r="J709" s="206" t="str">
        <f t="shared" si="184"/>
        <v/>
      </c>
      <c r="K709" s="206" t="str">
        <f t="shared" si="172"/>
        <v/>
      </c>
      <c r="L709" s="206" t="str">
        <f t="shared" si="173"/>
        <v/>
      </c>
      <c r="M709" s="206" t="str">
        <f t="shared" si="174"/>
        <v/>
      </c>
      <c r="N709" s="206" t="str">
        <f t="shared" si="185"/>
        <v/>
      </c>
      <c r="O709" s="206" t="str">
        <f t="shared" si="175"/>
        <v/>
      </c>
      <c r="P709" s="165" t="str">
        <f t="shared" si="176"/>
        <v/>
      </c>
      <c r="Q709" s="207"/>
      <c r="R709" s="141" t="str">
        <f>IF(S709="IN",'BOM_Phan II'!$Y$3,"")</f>
        <v/>
      </c>
      <c r="S709" s="153" t="str">
        <f t="shared" si="177"/>
        <v/>
      </c>
      <c r="T709">
        <f t="shared" si="178"/>
        <v>6</v>
      </c>
      <c r="U709" s="208" t="str">
        <f t="shared" si="186"/>
        <v>KIỆN 9</v>
      </c>
      <c r="V709" s="208" t="str">
        <f t="shared" si="179"/>
        <v/>
      </c>
      <c r="W709" s="240"/>
      <c r="X709" s="240"/>
      <c r="Y709" s="240" t="str">
        <f t="shared" si="180"/>
        <v/>
      </c>
      <c r="Z709" s="240"/>
      <c r="AD709" s="232" t="str">
        <f t="shared" si="181"/>
        <v/>
      </c>
      <c r="AE709" s="204"/>
      <c r="AX709" s="3" t="str">
        <f t="shared" si="171"/>
        <v/>
      </c>
    </row>
    <row r="710" spans="1:50" s="155" customFormat="1" ht="30" hidden="1" customHeight="1">
      <c r="A710" s="141" t="str">
        <f t="shared" si="182"/>
        <v/>
      </c>
      <c r="B710" s="141" t="str">
        <f t="shared" si="183"/>
        <v/>
      </c>
      <c r="C710" s="205" t="str" cm="1">
        <f t="array" ref="C710">IF(D710="","",
    IF(AND(ISNUMBER(D710), D710=INT(D710)),
        $V$6 &amp; " " &amp; (IFERROR(MAX($Y$12:$Y709), 0) + 1),
        IF(ISNUMBER(SEARCH(".", D710)), "", INDEX($C$12:$C710, MATCH(2, 1/($C$12:$C710 &lt;&gt; ""))))
    )
)</f>
        <v/>
      </c>
      <c r="D710" s="206"/>
      <c r="E710" s="206" t="str">
        <f>IF(AA710 = "", "",
    IF(ISNUMBER(SEARCH("Kiện", C710)),
       " GÓI " &amp; COUNTIF($C$13:C710, "*Kiện*") &amp; "/" &amp; COUNTIF($C$13:$C$1000, "*Kiện*") &amp; " " &amp; AA710,
       AA710)
)</f>
        <v/>
      </c>
      <c r="F710" s="206"/>
      <c r="G710" s="206"/>
      <c r="H710" s="206"/>
      <c r="I710" s="206"/>
      <c r="J710" s="206" t="str">
        <f t="shared" si="184"/>
        <v/>
      </c>
      <c r="K710" s="206" t="str">
        <f t="shared" si="172"/>
        <v/>
      </c>
      <c r="L710" s="206" t="str">
        <f t="shared" si="173"/>
        <v/>
      </c>
      <c r="M710" s="206" t="str">
        <f t="shared" si="174"/>
        <v/>
      </c>
      <c r="N710" s="206" t="str">
        <f t="shared" si="185"/>
        <v/>
      </c>
      <c r="O710" s="206" t="str">
        <f t="shared" si="175"/>
        <v/>
      </c>
      <c r="P710" s="165" t="str">
        <f t="shared" si="176"/>
        <v/>
      </c>
      <c r="Q710" s="207"/>
      <c r="R710" s="141" t="str">
        <f>IF(S710="IN",'BOM_Phan II'!$Y$3,"")</f>
        <v/>
      </c>
      <c r="S710" s="153" t="str">
        <f t="shared" si="177"/>
        <v/>
      </c>
      <c r="T710">
        <f t="shared" si="178"/>
        <v>6</v>
      </c>
      <c r="U710" s="208" t="str">
        <f t="shared" si="186"/>
        <v>KIỆN 9</v>
      </c>
      <c r="V710" s="208" t="str">
        <f t="shared" si="179"/>
        <v/>
      </c>
      <c r="W710" s="240"/>
      <c r="X710" s="240"/>
      <c r="Y710" s="240" t="str">
        <f t="shared" si="180"/>
        <v/>
      </c>
      <c r="Z710" s="240"/>
      <c r="AD710" s="232" t="str">
        <f t="shared" si="181"/>
        <v/>
      </c>
      <c r="AE710" s="204"/>
      <c r="AX710" s="3" t="str">
        <f t="shared" si="171"/>
        <v/>
      </c>
    </row>
    <row r="711" spans="1:50" s="155" customFormat="1" ht="30" hidden="1" customHeight="1">
      <c r="A711" s="141" t="str">
        <f t="shared" si="182"/>
        <v/>
      </c>
      <c r="B711" s="141" t="str">
        <f t="shared" si="183"/>
        <v/>
      </c>
      <c r="C711" s="205" t="str" cm="1">
        <f t="array" ref="C711">IF(D711="","",
    IF(AND(ISNUMBER(D711), D711=INT(D711)),
        $V$6 &amp; " " &amp; (IFERROR(MAX($Y$12:$Y710), 0) + 1),
        IF(ISNUMBER(SEARCH(".", D711)), "", INDEX($C$12:$C711, MATCH(2, 1/($C$12:$C711 &lt;&gt; ""))))
    )
)</f>
        <v/>
      </c>
      <c r="D711" s="206"/>
      <c r="E711" s="206" t="str">
        <f>IF(AA711 = "", "",
    IF(ISNUMBER(SEARCH("Kiện", C711)),
       " GÓI " &amp; COUNTIF($C$13:C711, "*Kiện*") &amp; "/" &amp; COUNTIF($C$13:$C$1000, "*Kiện*") &amp; " " &amp; AA711,
       AA711)
)</f>
        <v/>
      </c>
      <c r="F711" s="206"/>
      <c r="G711" s="206"/>
      <c r="H711" s="206"/>
      <c r="I711" s="206"/>
      <c r="J711" s="206" t="str">
        <f t="shared" si="184"/>
        <v/>
      </c>
      <c r="K711" s="206" t="str">
        <f t="shared" si="172"/>
        <v/>
      </c>
      <c r="L711" s="206" t="str">
        <f t="shared" si="173"/>
        <v/>
      </c>
      <c r="M711" s="206" t="str">
        <f t="shared" si="174"/>
        <v/>
      </c>
      <c r="N711" s="206" t="str">
        <f t="shared" si="185"/>
        <v/>
      </c>
      <c r="O711" s="206" t="str">
        <f t="shared" si="175"/>
        <v/>
      </c>
      <c r="P711" s="165" t="str">
        <f t="shared" si="176"/>
        <v/>
      </c>
      <c r="Q711" s="207"/>
      <c r="R711" s="141" t="str">
        <f>IF(S711="IN",'BOM_Phan II'!$Y$3,"")</f>
        <v/>
      </c>
      <c r="S711" s="153" t="str">
        <f t="shared" si="177"/>
        <v/>
      </c>
      <c r="T711">
        <f t="shared" si="178"/>
        <v>6</v>
      </c>
      <c r="U711" s="208" t="str">
        <f t="shared" si="186"/>
        <v>KIỆN 9</v>
      </c>
      <c r="V711" s="208" t="str">
        <f t="shared" si="179"/>
        <v/>
      </c>
      <c r="W711" s="240"/>
      <c r="X711" s="240"/>
      <c r="Y711" s="240" t="str">
        <f t="shared" si="180"/>
        <v/>
      </c>
      <c r="Z711" s="240"/>
      <c r="AD711" s="232" t="str">
        <f t="shared" si="181"/>
        <v/>
      </c>
      <c r="AE711" s="204"/>
      <c r="AX711" s="3" t="str">
        <f t="shared" si="171"/>
        <v/>
      </c>
    </row>
    <row r="712" spans="1:50" s="155" customFormat="1" ht="30" hidden="1" customHeight="1">
      <c r="A712" s="141" t="str">
        <f t="shared" si="182"/>
        <v/>
      </c>
      <c r="B712" s="141" t="str">
        <f t="shared" si="183"/>
        <v/>
      </c>
      <c r="C712" s="205" t="str" cm="1">
        <f t="array" ref="C712">IF(D712="","",
    IF(AND(ISNUMBER(D712), D712=INT(D712)),
        $V$6 &amp; " " &amp; (IFERROR(MAX($Y$12:$Y711), 0) + 1),
        IF(ISNUMBER(SEARCH(".", D712)), "", INDEX($C$12:$C712, MATCH(2, 1/($C$12:$C712 &lt;&gt; ""))))
    )
)</f>
        <v/>
      </c>
      <c r="D712" s="206"/>
      <c r="E712" s="206" t="str">
        <f>IF(AA712 = "", "",
    IF(ISNUMBER(SEARCH("Kiện", C712)),
       " GÓI " &amp; COUNTIF($C$13:C712, "*Kiện*") &amp; "/" &amp; COUNTIF($C$13:$C$1000, "*Kiện*") &amp; " " &amp; AA712,
       AA712)
)</f>
        <v/>
      </c>
      <c r="F712" s="206"/>
      <c r="G712" s="206"/>
      <c r="H712" s="206"/>
      <c r="I712" s="206"/>
      <c r="J712" s="206" t="str">
        <f t="shared" si="184"/>
        <v/>
      </c>
      <c r="K712" s="206" t="str">
        <f t="shared" si="172"/>
        <v/>
      </c>
      <c r="L712" s="206" t="str">
        <f t="shared" si="173"/>
        <v/>
      </c>
      <c r="M712" s="206" t="str">
        <f t="shared" si="174"/>
        <v/>
      </c>
      <c r="N712" s="206" t="str">
        <f t="shared" si="185"/>
        <v/>
      </c>
      <c r="O712" s="206" t="str">
        <f t="shared" si="175"/>
        <v/>
      </c>
      <c r="P712" s="165" t="str">
        <f t="shared" si="176"/>
        <v/>
      </c>
      <c r="Q712" s="207"/>
      <c r="R712" s="141" t="str">
        <f>IF(S712="IN",'BOM_Phan II'!$Y$3,"")</f>
        <v/>
      </c>
      <c r="S712" s="153" t="str">
        <f t="shared" si="177"/>
        <v/>
      </c>
      <c r="T712">
        <f t="shared" si="178"/>
        <v>6</v>
      </c>
      <c r="U712" s="208" t="str">
        <f t="shared" si="186"/>
        <v>KIỆN 9</v>
      </c>
      <c r="V712" s="208" t="str">
        <f t="shared" si="179"/>
        <v/>
      </c>
      <c r="W712" s="240"/>
      <c r="X712" s="240"/>
      <c r="Y712" s="240" t="str">
        <f t="shared" si="180"/>
        <v/>
      </c>
      <c r="Z712" s="240"/>
      <c r="AD712" s="232" t="str">
        <f t="shared" si="181"/>
        <v/>
      </c>
      <c r="AE712" s="204"/>
      <c r="AX712" s="3" t="str">
        <f t="shared" si="171"/>
        <v/>
      </c>
    </row>
    <row r="713" spans="1:50" s="155" customFormat="1" ht="30" hidden="1" customHeight="1">
      <c r="A713" s="141" t="str">
        <f t="shared" si="182"/>
        <v/>
      </c>
      <c r="B713" s="141" t="str">
        <f t="shared" si="183"/>
        <v/>
      </c>
      <c r="C713" s="205" t="str" cm="1">
        <f t="array" ref="C713">IF(D713="","",
    IF(AND(ISNUMBER(D713), D713=INT(D713)),
        $V$6 &amp; " " &amp; (IFERROR(MAX($Y$12:$Y712), 0) + 1),
        IF(ISNUMBER(SEARCH(".", D713)), "", INDEX($C$12:$C713, MATCH(2, 1/($C$12:$C713 &lt;&gt; ""))))
    )
)</f>
        <v/>
      </c>
      <c r="D713" s="206"/>
      <c r="E713" s="206" t="str">
        <f>IF(AA713 = "", "",
    IF(ISNUMBER(SEARCH("Kiện", C713)),
       " GÓI " &amp; COUNTIF($C$13:C713, "*Kiện*") &amp; "/" &amp; COUNTIF($C$13:$C$1000, "*Kiện*") &amp; " " &amp; AA713,
       AA713)
)</f>
        <v/>
      </c>
      <c r="F713" s="206"/>
      <c r="G713" s="206"/>
      <c r="H713" s="206"/>
      <c r="I713" s="206"/>
      <c r="J713" s="206" t="str">
        <f t="shared" si="184"/>
        <v/>
      </c>
      <c r="K713" s="206" t="str">
        <f t="shared" si="172"/>
        <v/>
      </c>
      <c r="L713" s="206" t="str">
        <f t="shared" si="173"/>
        <v/>
      </c>
      <c r="M713" s="206" t="str">
        <f t="shared" si="174"/>
        <v/>
      </c>
      <c r="N713" s="206" t="str">
        <f t="shared" si="185"/>
        <v/>
      </c>
      <c r="O713" s="206" t="str">
        <f t="shared" si="175"/>
        <v/>
      </c>
      <c r="P713" s="165" t="str">
        <f t="shared" si="176"/>
        <v/>
      </c>
      <c r="Q713" s="207"/>
      <c r="R713" s="141" t="str">
        <f>IF(S713="IN",'BOM_Phan II'!$Y$3,"")</f>
        <v/>
      </c>
      <c r="S713" s="153" t="str">
        <f t="shared" si="177"/>
        <v/>
      </c>
      <c r="T713">
        <f t="shared" si="178"/>
        <v>6</v>
      </c>
      <c r="U713" s="208" t="str">
        <f t="shared" si="186"/>
        <v>KIỆN 9</v>
      </c>
      <c r="V713" s="208" t="str">
        <f t="shared" si="179"/>
        <v/>
      </c>
      <c r="W713" s="240"/>
      <c r="X713" s="240"/>
      <c r="Y713" s="240" t="str">
        <f t="shared" si="180"/>
        <v/>
      </c>
      <c r="Z713" s="240"/>
      <c r="AD713" s="232" t="str">
        <f t="shared" si="181"/>
        <v/>
      </c>
      <c r="AE713" s="204"/>
      <c r="AX713" s="3" t="str">
        <f t="shared" si="171"/>
        <v/>
      </c>
    </row>
    <row r="714" spans="1:50" s="155" customFormat="1" ht="30" hidden="1" customHeight="1">
      <c r="A714" s="141" t="str">
        <f t="shared" si="182"/>
        <v/>
      </c>
      <c r="B714" s="141" t="str">
        <f t="shared" si="183"/>
        <v/>
      </c>
      <c r="C714" s="205" t="str" cm="1">
        <f t="array" ref="C714">IF(D714="","",
    IF(AND(ISNUMBER(D714), D714=INT(D714)),
        $V$6 &amp; " " &amp; (IFERROR(MAX($Y$12:$Y713), 0) + 1),
        IF(ISNUMBER(SEARCH(".", D714)), "", INDEX($C$12:$C714, MATCH(2, 1/($C$12:$C714 &lt;&gt; ""))))
    )
)</f>
        <v/>
      </c>
      <c r="D714" s="206"/>
      <c r="E714" s="206" t="str">
        <f>IF(AA714 = "", "",
    IF(ISNUMBER(SEARCH("Kiện", C714)),
       " GÓI " &amp; COUNTIF($C$13:C714, "*Kiện*") &amp; "/" &amp; COUNTIF($C$13:$C$1000, "*Kiện*") &amp; " " &amp; AA714,
       AA714)
)</f>
        <v/>
      </c>
      <c r="F714" s="206"/>
      <c r="G714" s="206"/>
      <c r="H714" s="206"/>
      <c r="I714" s="206"/>
      <c r="J714" s="206" t="str">
        <f t="shared" si="184"/>
        <v/>
      </c>
      <c r="K714" s="206" t="str">
        <f t="shared" si="172"/>
        <v/>
      </c>
      <c r="L714" s="206" t="str">
        <f t="shared" si="173"/>
        <v/>
      </c>
      <c r="M714" s="206" t="str">
        <f t="shared" si="174"/>
        <v/>
      </c>
      <c r="N714" s="206" t="str">
        <f t="shared" si="185"/>
        <v/>
      </c>
      <c r="O714" s="206" t="str">
        <f t="shared" si="175"/>
        <v/>
      </c>
      <c r="P714" s="165" t="str">
        <f t="shared" si="176"/>
        <v/>
      </c>
      <c r="Q714" s="207"/>
      <c r="R714" s="141" t="str">
        <f>IF(S714="IN",'BOM_Phan II'!$Y$3,"")</f>
        <v/>
      </c>
      <c r="S714" s="153" t="str">
        <f t="shared" si="177"/>
        <v/>
      </c>
      <c r="T714">
        <f t="shared" si="178"/>
        <v>6</v>
      </c>
      <c r="U714" s="208" t="str">
        <f t="shared" si="186"/>
        <v>KIỆN 9</v>
      </c>
      <c r="V714" s="208" t="str">
        <f t="shared" si="179"/>
        <v/>
      </c>
      <c r="W714" s="240"/>
      <c r="X714" s="240"/>
      <c r="Y714" s="240" t="str">
        <f t="shared" si="180"/>
        <v/>
      </c>
      <c r="Z714" s="240"/>
      <c r="AD714" s="232" t="str">
        <f t="shared" si="181"/>
        <v/>
      </c>
      <c r="AE714" s="204"/>
      <c r="AX714" s="3" t="str">
        <f t="shared" si="171"/>
        <v/>
      </c>
    </row>
    <row r="715" spans="1:50" s="155" customFormat="1" ht="30" hidden="1" customHeight="1">
      <c r="A715" s="141" t="str">
        <f t="shared" si="182"/>
        <v/>
      </c>
      <c r="B715" s="141" t="str">
        <f t="shared" si="183"/>
        <v/>
      </c>
      <c r="C715" s="205" t="str" cm="1">
        <f t="array" ref="C715">IF(D715="","",
    IF(AND(ISNUMBER(D715), D715=INT(D715)),
        $V$6 &amp; " " &amp; (IFERROR(MAX($Y$12:$Y714), 0) + 1),
        IF(ISNUMBER(SEARCH(".", D715)), "", INDEX($C$12:$C715, MATCH(2, 1/($C$12:$C715 &lt;&gt; ""))))
    )
)</f>
        <v/>
      </c>
      <c r="D715" s="206"/>
      <c r="E715" s="206" t="str">
        <f>IF(AA715 = "", "",
    IF(ISNUMBER(SEARCH("Kiện", C715)),
       " GÓI " &amp; COUNTIF($C$13:C715, "*Kiện*") &amp; "/" &amp; COUNTIF($C$13:$C$1000, "*Kiện*") &amp; " " &amp; AA715,
       AA715)
)</f>
        <v/>
      </c>
      <c r="F715" s="206"/>
      <c r="G715" s="206"/>
      <c r="H715" s="206"/>
      <c r="I715" s="206"/>
      <c r="J715" s="206" t="str">
        <f t="shared" si="184"/>
        <v/>
      </c>
      <c r="K715" s="206" t="str">
        <f t="shared" si="172"/>
        <v/>
      </c>
      <c r="L715" s="206" t="str">
        <f t="shared" si="173"/>
        <v/>
      </c>
      <c r="M715" s="206" t="str">
        <f t="shared" si="174"/>
        <v/>
      </c>
      <c r="N715" s="206" t="str">
        <f t="shared" si="185"/>
        <v/>
      </c>
      <c r="O715" s="206" t="str">
        <f t="shared" si="175"/>
        <v/>
      </c>
      <c r="P715" s="165" t="str">
        <f t="shared" si="176"/>
        <v/>
      </c>
      <c r="Q715" s="207"/>
      <c r="R715" s="141" t="str">
        <f>IF(S715="IN",'BOM_Phan II'!$Y$3,"")</f>
        <v/>
      </c>
      <c r="S715" s="153" t="str">
        <f t="shared" si="177"/>
        <v/>
      </c>
      <c r="T715">
        <f t="shared" si="178"/>
        <v>6</v>
      </c>
      <c r="U715" s="208" t="str">
        <f t="shared" si="186"/>
        <v>KIỆN 9</v>
      </c>
      <c r="V715" s="208" t="str">
        <f t="shared" si="179"/>
        <v/>
      </c>
      <c r="W715" s="240"/>
      <c r="X715" s="240"/>
      <c r="Y715" s="240" t="str">
        <f t="shared" si="180"/>
        <v/>
      </c>
      <c r="Z715" s="240"/>
      <c r="AD715" s="232" t="str">
        <f t="shared" si="181"/>
        <v/>
      </c>
      <c r="AE715" s="204"/>
      <c r="AX715" s="3" t="str">
        <f t="shared" si="171"/>
        <v/>
      </c>
    </row>
    <row r="716" spans="1:50" s="155" customFormat="1" ht="30" hidden="1" customHeight="1">
      <c r="A716" s="141" t="str">
        <f t="shared" si="182"/>
        <v/>
      </c>
      <c r="B716" s="141" t="str">
        <f t="shared" si="183"/>
        <v/>
      </c>
      <c r="C716" s="205" t="str" cm="1">
        <f t="array" ref="C716">IF(D716="","",
    IF(AND(ISNUMBER(D716), D716=INT(D716)),
        $V$6 &amp; " " &amp; (IFERROR(MAX($Y$12:$Y715), 0) + 1),
        IF(ISNUMBER(SEARCH(".", D716)), "", INDEX($C$12:$C716, MATCH(2, 1/($C$12:$C716 &lt;&gt; ""))))
    )
)</f>
        <v/>
      </c>
      <c r="D716" s="206"/>
      <c r="E716" s="206" t="str">
        <f>IF(AA716 = "", "",
    IF(ISNUMBER(SEARCH("Kiện", C716)),
       " GÓI " &amp; COUNTIF($C$13:C716, "*Kiện*") &amp; "/" &amp; COUNTIF($C$13:$C$1000, "*Kiện*") &amp; " " &amp; AA716,
       AA716)
)</f>
        <v/>
      </c>
      <c r="F716" s="206"/>
      <c r="G716" s="206"/>
      <c r="H716" s="206"/>
      <c r="I716" s="206"/>
      <c r="J716" s="206" t="str">
        <f t="shared" si="184"/>
        <v/>
      </c>
      <c r="K716" s="206" t="str">
        <f t="shared" si="172"/>
        <v/>
      </c>
      <c r="L716" s="206" t="str">
        <f t="shared" si="173"/>
        <v/>
      </c>
      <c r="M716" s="206" t="str">
        <f t="shared" si="174"/>
        <v/>
      </c>
      <c r="N716" s="206" t="str">
        <f t="shared" si="185"/>
        <v/>
      </c>
      <c r="O716" s="206" t="str">
        <f t="shared" si="175"/>
        <v/>
      </c>
      <c r="P716" s="165" t="str">
        <f t="shared" si="176"/>
        <v/>
      </c>
      <c r="Q716" s="207"/>
      <c r="R716" s="141" t="str">
        <f>IF(S716="IN",'BOM_Phan II'!$Y$3,"")</f>
        <v/>
      </c>
      <c r="S716" s="153" t="str">
        <f t="shared" si="177"/>
        <v/>
      </c>
      <c r="T716">
        <f t="shared" si="178"/>
        <v>6</v>
      </c>
      <c r="U716" s="208" t="str">
        <f t="shared" si="186"/>
        <v>KIỆN 9</v>
      </c>
      <c r="V716" s="208" t="str">
        <f t="shared" si="179"/>
        <v/>
      </c>
      <c r="W716" s="240"/>
      <c r="X716" s="240"/>
      <c r="Y716" s="240" t="str">
        <f t="shared" si="180"/>
        <v/>
      </c>
      <c r="Z716" s="240"/>
      <c r="AD716" s="232" t="str">
        <f t="shared" si="181"/>
        <v/>
      </c>
      <c r="AE716" s="204"/>
      <c r="AX716" s="3" t="str">
        <f t="shared" ref="AX716:AX779" si="187">+S716</f>
        <v/>
      </c>
    </row>
    <row r="717" spans="1:50" s="155" customFormat="1" ht="30" hidden="1" customHeight="1">
      <c r="A717" s="141" t="str">
        <f t="shared" si="182"/>
        <v/>
      </c>
      <c r="B717" s="141" t="str">
        <f t="shared" si="183"/>
        <v/>
      </c>
      <c r="C717" s="205" t="str" cm="1">
        <f t="array" ref="C717">IF(D717="","",
    IF(AND(ISNUMBER(D717), D717=INT(D717)),
        $V$6 &amp; " " &amp; (IFERROR(MAX($Y$12:$Y716), 0) + 1),
        IF(ISNUMBER(SEARCH(".", D717)), "", INDEX($C$12:$C717, MATCH(2, 1/($C$12:$C717 &lt;&gt; ""))))
    )
)</f>
        <v/>
      </c>
      <c r="D717" s="206"/>
      <c r="E717" s="206" t="str">
        <f>IF(AA717 = "", "",
    IF(ISNUMBER(SEARCH("Kiện", C717)),
       " GÓI " &amp; COUNTIF($C$13:C717, "*Kiện*") &amp; "/" &amp; COUNTIF($C$13:$C$1000, "*Kiện*") &amp; " " &amp; AA717,
       AA717)
)</f>
        <v/>
      </c>
      <c r="F717" s="206"/>
      <c r="G717" s="206"/>
      <c r="H717" s="206"/>
      <c r="I717" s="206"/>
      <c r="J717" s="206" t="str">
        <f t="shared" si="184"/>
        <v/>
      </c>
      <c r="K717" s="206" t="str">
        <f t="shared" si="172"/>
        <v/>
      </c>
      <c r="L717" s="206" t="str">
        <f t="shared" si="173"/>
        <v/>
      </c>
      <c r="M717" s="206" t="str">
        <f t="shared" si="174"/>
        <v/>
      </c>
      <c r="N717" s="206" t="str">
        <f t="shared" si="185"/>
        <v/>
      </c>
      <c r="O717" s="206" t="str">
        <f t="shared" si="175"/>
        <v/>
      </c>
      <c r="P717" s="165" t="str">
        <f t="shared" si="176"/>
        <v/>
      </c>
      <c r="Q717" s="207"/>
      <c r="R717" s="141" t="str">
        <f>IF(S717="IN",'BOM_Phan II'!$Y$3,"")</f>
        <v/>
      </c>
      <c r="S717" s="153" t="str">
        <f t="shared" si="177"/>
        <v/>
      </c>
      <c r="T717">
        <f t="shared" si="178"/>
        <v>6</v>
      </c>
      <c r="U717" s="208" t="str">
        <f t="shared" si="186"/>
        <v>KIỆN 9</v>
      </c>
      <c r="V717" s="208" t="str">
        <f t="shared" si="179"/>
        <v/>
      </c>
      <c r="W717" s="240"/>
      <c r="X717" s="240"/>
      <c r="Y717" s="240" t="str">
        <f t="shared" si="180"/>
        <v/>
      </c>
      <c r="Z717" s="240"/>
      <c r="AD717" s="232" t="str">
        <f t="shared" si="181"/>
        <v/>
      </c>
      <c r="AE717" s="204"/>
      <c r="AX717" s="3" t="str">
        <f t="shared" si="187"/>
        <v/>
      </c>
    </row>
    <row r="718" spans="1:50" s="155" customFormat="1" ht="30" hidden="1" customHeight="1">
      <c r="A718" s="141" t="str">
        <f t="shared" si="182"/>
        <v/>
      </c>
      <c r="B718" s="141" t="str">
        <f t="shared" si="183"/>
        <v/>
      </c>
      <c r="C718" s="205" t="str" cm="1">
        <f t="array" ref="C718">IF(D718="","",
    IF(AND(ISNUMBER(D718), D718=INT(D718)),
        $V$6 &amp; " " &amp; (IFERROR(MAX($Y$12:$Y717), 0) + 1),
        IF(ISNUMBER(SEARCH(".", D718)), "", INDEX($C$12:$C718, MATCH(2, 1/($C$12:$C718 &lt;&gt; ""))))
    )
)</f>
        <v/>
      </c>
      <c r="D718" s="206"/>
      <c r="E718" s="206" t="str">
        <f>IF(AA718 = "", "",
    IF(ISNUMBER(SEARCH("Kiện", C718)),
       " GÓI " &amp; COUNTIF($C$13:C718, "*Kiện*") &amp; "/" &amp; COUNTIF($C$13:$C$1000, "*Kiện*") &amp; " " &amp; AA718,
       AA718)
)</f>
        <v/>
      </c>
      <c r="F718" s="206"/>
      <c r="G718" s="206"/>
      <c r="H718" s="206"/>
      <c r="I718" s="206"/>
      <c r="J718" s="206" t="str">
        <f t="shared" si="184"/>
        <v/>
      </c>
      <c r="K718" s="206" t="str">
        <f t="shared" ref="K718:K781" si="188">IFERROR(IF($C718&lt;&gt;"",IF($T$13=1,F718+20,IF($T$13=2,F718+20,IF($T$13=3,F718+50,IF($T$13=4,F718+40,IF($T$13=5,F718+50,IF($T$13=51,F718+50,IF($T$13=6,F718+50,IF($T$13=7,F718+50,"")))))))),""),"")</f>
        <v/>
      </c>
      <c r="L718" s="206" t="str">
        <f t="shared" ref="L718:L781" si="189">IFERROR(IF($C718&lt;&gt;"",IF($T$13=1,G718+20,IF($T$13=2,G718+20,IF($T$13=3,G718+50,IF($T$13=4,G718+40,IF($T$13=5,G718+50,IF($T$13=51,G718+50,IF($T$13=6,G718+50,IF($T$13=7,G718+50,"")))))))),""),"")</f>
        <v/>
      </c>
      <c r="M718" s="206" t="str">
        <f t="shared" ref="M718:M781" si="190">IFERROR(IF($C718&lt;&gt;"",IF($T$13=1,H718+20,IF($T$13=2,H718+20,IF($T$13=3,H718+70,IF($T$13=4,H718+40,IF($T$13=5,H718+50,IF($T$13=51,H718+150,IF($T$13=6,H718+50,IF($T$13=7,H718+50,"")))))))),""),"")</f>
        <v/>
      </c>
      <c r="N718" s="206" t="str">
        <f t="shared" si="185"/>
        <v/>
      </c>
      <c r="O718" s="206" t="str">
        <f t="shared" ref="O718:O781" si="191">IF(C718&lt;&gt;"",$O$12,"")</f>
        <v/>
      </c>
      <c r="P718" s="165" t="str">
        <f t="shared" ref="P718:P781" si="192">IFERROR(IF(C718&lt;&gt;"",SUMIFS($V$13:$V$969,$U$13:$U$969,C718)*$S$6,V718*$S$6),"")</f>
        <v/>
      </c>
      <c r="Q718" s="207"/>
      <c r="R718" s="141" t="str">
        <f>IF(S718="IN",'BOM_Phan II'!$Y$3,"")</f>
        <v/>
      </c>
      <c r="S718" s="153" t="str">
        <f t="shared" ref="S718:S781" si="193">IF(OR(E718&lt;&gt;"",D718&lt;&gt;""),"IN","")</f>
        <v/>
      </c>
      <c r="T718">
        <f t="shared" ref="T718:T781" si="194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718" s="208" t="str">
        <f t="shared" si="186"/>
        <v>KIỆN 9</v>
      </c>
      <c r="V718" s="208" t="str">
        <f t="shared" ref="V718:V781" si="195">IFERROR(IF(AND(C718="", OR($W718="1", $W718="2")), IF(I718="", "", F718*G718*H718*I718/10^9), ""), "")</f>
        <v/>
      </c>
      <c r="W718" s="240"/>
      <c r="X718" s="240"/>
      <c r="Y718" s="240" t="str">
        <f t="shared" ref="Y718:Y781" si="196">IFERROR(VALUE(RIGHT(C718,LEN(C718)-5)),"")</f>
        <v/>
      </c>
      <c r="Z718" s="240"/>
      <c r="AD718" s="232" t="str">
        <f t="shared" ref="AD718:AD781" si="197">IFERROR(VALUE(RIGHT(C718,LEN(C718)-5)),"")</f>
        <v/>
      </c>
      <c r="AE718" s="204"/>
      <c r="AX718" s="3" t="str">
        <f t="shared" si="187"/>
        <v/>
      </c>
    </row>
    <row r="719" spans="1:50" s="155" customFormat="1" ht="30" hidden="1" customHeight="1">
      <c r="A719" s="141" t="str">
        <f t="shared" si="182"/>
        <v/>
      </c>
      <c r="B719" s="141" t="str">
        <f t="shared" si="183"/>
        <v/>
      </c>
      <c r="C719" s="205" t="str" cm="1">
        <f t="array" ref="C719">IF(D719="","",
    IF(AND(ISNUMBER(D719), D719=INT(D719)),
        $V$6 &amp; " " &amp; (IFERROR(MAX($Y$12:$Y718), 0) + 1),
        IF(ISNUMBER(SEARCH(".", D719)), "", INDEX($C$12:$C719, MATCH(2, 1/($C$12:$C719 &lt;&gt; ""))))
    )
)</f>
        <v/>
      </c>
      <c r="D719" s="206"/>
      <c r="E719" s="206" t="str">
        <f>IF(AA719 = "", "",
    IF(ISNUMBER(SEARCH("Kiện", C719)),
       " GÓI " &amp; COUNTIF($C$13:C719, "*Kiện*") &amp; "/" &amp; COUNTIF($C$13:$C$1000, "*Kiện*") &amp; " " &amp; AA719,
       AA719)
)</f>
        <v/>
      </c>
      <c r="F719" s="206"/>
      <c r="G719" s="206"/>
      <c r="H719" s="206"/>
      <c r="I719" s="206"/>
      <c r="J719" s="206" t="str">
        <f t="shared" si="184"/>
        <v/>
      </c>
      <c r="K719" s="206" t="str">
        <f t="shared" si="188"/>
        <v/>
      </c>
      <c r="L719" s="206" t="str">
        <f t="shared" si="189"/>
        <v/>
      </c>
      <c r="M719" s="206" t="str">
        <f t="shared" si="190"/>
        <v/>
      </c>
      <c r="N719" s="206" t="str">
        <f t="shared" si="185"/>
        <v/>
      </c>
      <c r="O719" s="206" t="str">
        <f t="shared" si="191"/>
        <v/>
      </c>
      <c r="P719" s="165" t="str">
        <f t="shared" si="192"/>
        <v/>
      </c>
      <c r="Q719" s="207"/>
      <c r="R719" s="141" t="str">
        <f>IF(S719="IN",'BOM_Phan II'!$Y$3,"")</f>
        <v/>
      </c>
      <c r="S719" s="153" t="str">
        <f t="shared" si="193"/>
        <v/>
      </c>
      <c r="T719">
        <f t="shared" si="194"/>
        <v>6</v>
      </c>
      <c r="U719" s="208" t="str">
        <f t="shared" si="186"/>
        <v>KIỆN 9</v>
      </c>
      <c r="V719" s="208" t="str">
        <f t="shared" si="195"/>
        <v/>
      </c>
      <c r="W719" s="240"/>
      <c r="X719" s="240"/>
      <c r="Y719" s="240" t="str">
        <f t="shared" si="196"/>
        <v/>
      </c>
      <c r="Z719" s="240"/>
      <c r="AD719" s="232" t="str">
        <f t="shared" si="197"/>
        <v/>
      </c>
      <c r="AE719" s="204"/>
      <c r="AX719" s="3" t="str">
        <f t="shared" si="187"/>
        <v/>
      </c>
    </row>
    <row r="720" spans="1:50" s="155" customFormat="1" ht="30" hidden="1" customHeight="1">
      <c r="A720" s="141" t="str">
        <f t="shared" ref="A720:A783" si="198">IF(S720="IN",$E$6,"")</f>
        <v/>
      </c>
      <c r="B720" s="141" t="str">
        <f t="shared" ref="B720:B783" si="199">IF(S720="IN","Muc "&amp;$E$7,"")</f>
        <v/>
      </c>
      <c r="C720" s="205" t="str" cm="1">
        <f t="array" ref="C720">IF(D720="","",
    IF(AND(ISNUMBER(D720), D720=INT(D720)),
        $V$6 &amp; " " &amp; (IFERROR(MAX($Y$12:$Y719), 0) + 1),
        IF(ISNUMBER(SEARCH(".", D720)), "", INDEX($C$12:$C720, MATCH(2, 1/($C$12:$C720 &lt;&gt; ""))))
    )
)</f>
        <v/>
      </c>
      <c r="D720" s="206"/>
      <c r="E720" s="206" t="str">
        <f>IF(AA720 = "", "",
    IF(ISNUMBER(SEARCH("Kiện", C720)),
       " GÓI " &amp; COUNTIF($C$13:C720, "*Kiện*") &amp; "/" &amp; COUNTIF($C$13:$C$1000, "*Kiện*") &amp; " " &amp; AA720,
       AA720)
)</f>
        <v/>
      </c>
      <c r="F720" s="206"/>
      <c r="G720" s="206"/>
      <c r="H720" s="206"/>
      <c r="I720" s="206"/>
      <c r="J720" s="206" t="str">
        <f t="shared" ref="J720:J783" si="200">IF(C720&lt;&gt;"",C720&amp;"_"&amp;$E$6,"")</f>
        <v/>
      </c>
      <c r="K720" s="206" t="str">
        <f t="shared" si="188"/>
        <v/>
      </c>
      <c r="L720" s="206" t="str">
        <f t="shared" si="189"/>
        <v/>
      </c>
      <c r="M720" s="206" t="str">
        <f t="shared" si="190"/>
        <v/>
      </c>
      <c r="N720" s="206" t="str">
        <f t="shared" ref="N720:N783" si="201">IF(C720&lt;&gt;"",I720,"")</f>
        <v/>
      </c>
      <c r="O720" s="206" t="str">
        <f t="shared" si="191"/>
        <v/>
      </c>
      <c r="P720" s="165" t="str">
        <f t="shared" si="192"/>
        <v/>
      </c>
      <c r="Q720" s="207"/>
      <c r="R720" s="141" t="str">
        <f>IF(S720="IN",'BOM_Phan II'!$Y$3,"")</f>
        <v/>
      </c>
      <c r="S720" s="153" t="str">
        <f t="shared" si="193"/>
        <v/>
      </c>
      <c r="T720">
        <f t="shared" si="194"/>
        <v>6</v>
      </c>
      <c r="U720" s="208" t="str">
        <f t="shared" ref="U720:U783" si="202">IF(C720="",U719,C720)</f>
        <v>KIỆN 9</v>
      </c>
      <c r="V720" s="208" t="str">
        <f t="shared" si="195"/>
        <v/>
      </c>
      <c r="W720" s="240"/>
      <c r="X720" s="240"/>
      <c r="Y720" s="240" t="str">
        <f t="shared" si="196"/>
        <v/>
      </c>
      <c r="Z720" s="240"/>
      <c r="AD720" s="232" t="str">
        <f t="shared" si="197"/>
        <v/>
      </c>
      <c r="AE720" s="204"/>
      <c r="AX720" s="3" t="str">
        <f t="shared" si="187"/>
        <v/>
      </c>
    </row>
    <row r="721" spans="1:50" s="155" customFormat="1" ht="30" hidden="1" customHeight="1">
      <c r="A721" s="141" t="str">
        <f t="shared" si="198"/>
        <v/>
      </c>
      <c r="B721" s="141" t="str">
        <f t="shared" si="199"/>
        <v/>
      </c>
      <c r="C721" s="205" t="str" cm="1">
        <f t="array" ref="C721">IF(D721="","",
    IF(AND(ISNUMBER(D721), D721=INT(D721)),
        $V$6 &amp; " " &amp; (IFERROR(MAX($Y$12:$Y720), 0) + 1),
        IF(ISNUMBER(SEARCH(".", D721)), "", INDEX($C$12:$C721, MATCH(2, 1/($C$12:$C721 &lt;&gt; ""))))
    )
)</f>
        <v/>
      </c>
      <c r="D721" s="206"/>
      <c r="E721" s="206" t="str">
        <f>IF(AA721 = "", "",
    IF(ISNUMBER(SEARCH("Kiện", C721)),
       " GÓI " &amp; COUNTIF($C$13:C721, "*Kiện*") &amp; "/" &amp; COUNTIF($C$13:$C$1000, "*Kiện*") &amp; " " &amp; AA721,
       AA721)
)</f>
        <v/>
      </c>
      <c r="F721" s="206"/>
      <c r="G721" s="206"/>
      <c r="H721" s="206"/>
      <c r="I721" s="206"/>
      <c r="J721" s="206" t="str">
        <f t="shared" si="200"/>
        <v/>
      </c>
      <c r="K721" s="206" t="str">
        <f t="shared" si="188"/>
        <v/>
      </c>
      <c r="L721" s="206" t="str">
        <f t="shared" si="189"/>
        <v/>
      </c>
      <c r="M721" s="206" t="str">
        <f t="shared" si="190"/>
        <v/>
      </c>
      <c r="N721" s="206" t="str">
        <f t="shared" si="201"/>
        <v/>
      </c>
      <c r="O721" s="206" t="str">
        <f t="shared" si="191"/>
        <v/>
      </c>
      <c r="P721" s="165" t="str">
        <f t="shared" si="192"/>
        <v/>
      </c>
      <c r="Q721" s="207"/>
      <c r="R721" s="141" t="str">
        <f>IF(S721="IN",'BOM_Phan II'!$Y$3,"")</f>
        <v/>
      </c>
      <c r="S721" s="153" t="str">
        <f t="shared" si="193"/>
        <v/>
      </c>
      <c r="T721">
        <f t="shared" si="194"/>
        <v>6</v>
      </c>
      <c r="U721" s="208" t="str">
        <f t="shared" si="202"/>
        <v>KIỆN 9</v>
      </c>
      <c r="V721" s="208" t="str">
        <f t="shared" si="195"/>
        <v/>
      </c>
      <c r="W721" s="240"/>
      <c r="X721" s="240"/>
      <c r="Y721" s="240" t="str">
        <f t="shared" si="196"/>
        <v/>
      </c>
      <c r="Z721" s="240"/>
      <c r="AD721" s="232" t="str">
        <f t="shared" si="197"/>
        <v/>
      </c>
      <c r="AE721" s="204"/>
      <c r="AX721" s="3" t="str">
        <f t="shared" si="187"/>
        <v/>
      </c>
    </row>
    <row r="722" spans="1:50" s="155" customFormat="1" ht="30" hidden="1" customHeight="1">
      <c r="A722" s="141" t="str">
        <f t="shared" si="198"/>
        <v/>
      </c>
      <c r="B722" s="141" t="str">
        <f t="shared" si="199"/>
        <v/>
      </c>
      <c r="C722" s="205" t="str" cm="1">
        <f t="array" ref="C722">IF(D722="","",
    IF(AND(ISNUMBER(D722), D722=INT(D722)),
        $V$6 &amp; " " &amp; (IFERROR(MAX($Y$12:$Y721), 0) + 1),
        IF(ISNUMBER(SEARCH(".", D722)), "", INDEX($C$12:$C722, MATCH(2, 1/($C$12:$C722 &lt;&gt; ""))))
    )
)</f>
        <v/>
      </c>
      <c r="D722" s="206"/>
      <c r="E722" s="206" t="str">
        <f>IF(AA722 = "", "",
    IF(ISNUMBER(SEARCH("Kiện", C722)),
       " GÓI " &amp; COUNTIF($C$13:C722, "*Kiện*") &amp; "/" &amp; COUNTIF($C$13:$C$1000, "*Kiện*") &amp; " " &amp; AA722,
       AA722)
)</f>
        <v/>
      </c>
      <c r="F722" s="206"/>
      <c r="G722" s="206"/>
      <c r="H722" s="206"/>
      <c r="I722" s="206"/>
      <c r="J722" s="206" t="str">
        <f t="shared" si="200"/>
        <v/>
      </c>
      <c r="K722" s="206" t="str">
        <f t="shared" si="188"/>
        <v/>
      </c>
      <c r="L722" s="206" t="str">
        <f t="shared" si="189"/>
        <v/>
      </c>
      <c r="M722" s="206" t="str">
        <f t="shared" si="190"/>
        <v/>
      </c>
      <c r="N722" s="206" t="str">
        <f t="shared" si="201"/>
        <v/>
      </c>
      <c r="O722" s="206" t="str">
        <f t="shared" si="191"/>
        <v/>
      </c>
      <c r="P722" s="165" t="str">
        <f t="shared" si="192"/>
        <v/>
      </c>
      <c r="Q722" s="207"/>
      <c r="R722" s="141" t="str">
        <f>IF(S722="IN",'BOM_Phan II'!$Y$3,"")</f>
        <v/>
      </c>
      <c r="S722" s="153" t="str">
        <f t="shared" si="193"/>
        <v/>
      </c>
      <c r="T722">
        <f t="shared" si="194"/>
        <v>6</v>
      </c>
      <c r="U722" s="208" t="str">
        <f t="shared" si="202"/>
        <v>KIỆN 9</v>
      </c>
      <c r="V722" s="208" t="str">
        <f t="shared" si="195"/>
        <v/>
      </c>
      <c r="W722" s="240"/>
      <c r="X722" s="240"/>
      <c r="Y722" s="240" t="str">
        <f t="shared" si="196"/>
        <v/>
      </c>
      <c r="Z722" s="240"/>
      <c r="AD722" s="232" t="str">
        <f t="shared" si="197"/>
        <v/>
      </c>
      <c r="AE722" s="204"/>
      <c r="AX722" s="3" t="str">
        <f t="shared" si="187"/>
        <v/>
      </c>
    </row>
    <row r="723" spans="1:50" s="155" customFormat="1" ht="30" hidden="1" customHeight="1">
      <c r="A723" s="141" t="str">
        <f t="shared" si="198"/>
        <v/>
      </c>
      <c r="B723" s="141" t="str">
        <f t="shared" si="199"/>
        <v/>
      </c>
      <c r="C723" s="205" t="str" cm="1">
        <f t="array" ref="C723">IF(D723="","",
    IF(AND(ISNUMBER(D723), D723=INT(D723)),
        $V$6 &amp; " " &amp; (IFERROR(MAX($Y$12:$Y722), 0) + 1),
        IF(ISNUMBER(SEARCH(".", D723)), "", INDEX($C$12:$C723, MATCH(2, 1/($C$12:$C723 &lt;&gt; ""))))
    )
)</f>
        <v/>
      </c>
      <c r="D723" s="206"/>
      <c r="E723" s="206" t="str">
        <f>IF(AA723 = "", "",
    IF(ISNUMBER(SEARCH("Kiện", C723)),
       " GÓI " &amp; COUNTIF($C$13:C723, "*Kiện*") &amp; "/" &amp; COUNTIF($C$13:$C$1000, "*Kiện*") &amp; " " &amp; AA723,
       AA723)
)</f>
        <v/>
      </c>
      <c r="F723" s="206"/>
      <c r="G723" s="206"/>
      <c r="H723" s="206"/>
      <c r="I723" s="206"/>
      <c r="J723" s="206" t="str">
        <f t="shared" si="200"/>
        <v/>
      </c>
      <c r="K723" s="206" t="str">
        <f t="shared" si="188"/>
        <v/>
      </c>
      <c r="L723" s="206" t="str">
        <f t="shared" si="189"/>
        <v/>
      </c>
      <c r="M723" s="206" t="str">
        <f t="shared" si="190"/>
        <v/>
      </c>
      <c r="N723" s="206" t="str">
        <f t="shared" si="201"/>
        <v/>
      </c>
      <c r="O723" s="206" t="str">
        <f t="shared" si="191"/>
        <v/>
      </c>
      <c r="P723" s="165" t="str">
        <f t="shared" si="192"/>
        <v/>
      </c>
      <c r="Q723" s="207"/>
      <c r="R723" s="141" t="str">
        <f>IF(S723="IN",'BOM_Phan II'!$Y$3,"")</f>
        <v/>
      </c>
      <c r="S723" s="153" t="str">
        <f t="shared" si="193"/>
        <v/>
      </c>
      <c r="T723">
        <f t="shared" si="194"/>
        <v>6</v>
      </c>
      <c r="U723" s="208" t="str">
        <f t="shared" si="202"/>
        <v>KIỆN 9</v>
      </c>
      <c r="V723" s="208" t="str">
        <f t="shared" si="195"/>
        <v/>
      </c>
      <c r="W723" s="240"/>
      <c r="X723" s="240"/>
      <c r="Y723" s="240" t="str">
        <f t="shared" si="196"/>
        <v/>
      </c>
      <c r="Z723" s="240"/>
      <c r="AD723" s="232" t="str">
        <f t="shared" si="197"/>
        <v/>
      </c>
      <c r="AE723" s="204"/>
      <c r="AX723" s="3" t="str">
        <f t="shared" si="187"/>
        <v/>
      </c>
    </row>
    <row r="724" spans="1:50" s="155" customFormat="1" ht="30" hidden="1" customHeight="1">
      <c r="A724" s="141" t="str">
        <f t="shared" si="198"/>
        <v/>
      </c>
      <c r="B724" s="141" t="str">
        <f t="shared" si="199"/>
        <v/>
      </c>
      <c r="C724" s="205" t="str" cm="1">
        <f t="array" ref="C724">IF(D724="","",
    IF(AND(ISNUMBER(D724), D724=INT(D724)),
        $V$6 &amp; " " &amp; (IFERROR(MAX($Y$12:$Y723), 0) + 1),
        IF(ISNUMBER(SEARCH(".", D724)), "", INDEX($C$12:$C724, MATCH(2, 1/($C$12:$C724 &lt;&gt; ""))))
    )
)</f>
        <v/>
      </c>
      <c r="D724" s="206"/>
      <c r="E724" s="206" t="str">
        <f>IF(AA724 = "", "",
    IF(ISNUMBER(SEARCH("Kiện", C724)),
       " GÓI " &amp; COUNTIF($C$13:C724, "*Kiện*") &amp; "/" &amp; COUNTIF($C$13:$C$1000, "*Kiện*") &amp; " " &amp; AA724,
       AA724)
)</f>
        <v/>
      </c>
      <c r="F724" s="206"/>
      <c r="G724" s="206"/>
      <c r="H724" s="206"/>
      <c r="I724" s="206"/>
      <c r="J724" s="206" t="str">
        <f t="shared" si="200"/>
        <v/>
      </c>
      <c r="K724" s="206" t="str">
        <f t="shared" si="188"/>
        <v/>
      </c>
      <c r="L724" s="206" t="str">
        <f t="shared" si="189"/>
        <v/>
      </c>
      <c r="M724" s="206" t="str">
        <f t="shared" si="190"/>
        <v/>
      </c>
      <c r="N724" s="206" t="str">
        <f t="shared" si="201"/>
        <v/>
      </c>
      <c r="O724" s="206" t="str">
        <f t="shared" si="191"/>
        <v/>
      </c>
      <c r="P724" s="165" t="str">
        <f t="shared" si="192"/>
        <v/>
      </c>
      <c r="Q724" s="207"/>
      <c r="R724" s="141" t="str">
        <f>IF(S724="IN",'BOM_Phan II'!$Y$3,"")</f>
        <v/>
      </c>
      <c r="S724" s="153" t="str">
        <f t="shared" si="193"/>
        <v/>
      </c>
      <c r="T724">
        <f t="shared" si="194"/>
        <v>6</v>
      </c>
      <c r="U724" s="208" t="str">
        <f t="shared" si="202"/>
        <v>KIỆN 9</v>
      </c>
      <c r="V724" s="208" t="str">
        <f t="shared" si="195"/>
        <v/>
      </c>
      <c r="W724" s="240"/>
      <c r="X724" s="240"/>
      <c r="Y724" s="240" t="str">
        <f t="shared" si="196"/>
        <v/>
      </c>
      <c r="Z724" s="240"/>
      <c r="AD724" s="232" t="str">
        <f t="shared" si="197"/>
        <v/>
      </c>
      <c r="AE724" s="204"/>
      <c r="AX724" s="3" t="str">
        <f t="shared" si="187"/>
        <v/>
      </c>
    </row>
    <row r="725" spans="1:50" s="155" customFormat="1" ht="30" hidden="1" customHeight="1">
      <c r="A725" s="141" t="str">
        <f t="shared" si="198"/>
        <v/>
      </c>
      <c r="B725" s="141" t="str">
        <f t="shared" si="199"/>
        <v/>
      </c>
      <c r="C725" s="205" t="str" cm="1">
        <f t="array" ref="C725">IF(D725="","",
    IF(AND(ISNUMBER(D725), D725=INT(D725)),
        $V$6 &amp; " " &amp; (IFERROR(MAX($Y$12:$Y724), 0) + 1),
        IF(ISNUMBER(SEARCH(".", D725)), "", INDEX($C$12:$C725, MATCH(2, 1/($C$12:$C725 &lt;&gt; ""))))
    )
)</f>
        <v/>
      </c>
      <c r="D725" s="206"/>
      <c r="E725" s="206" t="str">
        <f>IF(AA725 = "", "",
    IF(ISNUMBER(SEARCH("Kiện", C725)),
       " GÓI " &amp; COUNTIF($C$13:C725, "*Kiện*") &amp; "/" &amp; COUNTIF($C$13:$C$1000, "*Kiện*") &amp; " " &amp; AA725,
       AA725)
)</f>
        <v/>
      </c>
      <c r="F725" s="206"/>
      <c r="G725" s="206"/>
      <c r="H725" s="206"/>
      <c r="I725" s="206"/>
      <c r="J725" s="206" t="str">
        <f t="shared" si="200"/>
        <v/>
      </c>
      <c r="K725" s="206" t="str">
        <f t="shared" si="188"/>
        <v/>
      </c>
      <c r="L725" s="206" t="str">
        <f t="shared" si="189"/>
        <v/>
      </c>
      <c r="M725" s="206" t="str">
        <f t="shared" si="190"/>
        <v/>
      </c>
      <c r="N725" s="206" t="str">
        <f t="shared" si="201"/>
        <v/>
      </c>
      <c r="O725" s="206" t="str">
        <f t="shared" si="191"/>
        <v/>
      </c>
      <c r="P725" s="165" t="str">
        <f t="shared" si="192"/>
        <v/>
      </c>
      <c r="Q725" s="207"/>
      <c r="R725" s="141" t="str">
        <f>IF(S725="IN",'BOM_Phan II'!$Y$3,"")</f>
        <v/>
      </c>
      <c r="S725" s="153" t="str">
        <f t="shared" si="193"/>
        <v/>
      </c>
      <c r="T725">
        <f t="shared" si="194"/>
        <v>6</v>
      </c>
      <c r="U725" s="208" t="str">
        <f t="shared" si="202"/>
        <v>KIỆN 9</v>
      </c>
      <c r="V725" s="208" t="str">
        <f t="shared" si="195"/>
        <v/>
      </c>
      <c r="W725" s="240"/>
      <c r="X725" s="240"/>
      <c r="Y725" s="240" t="str">
        <f t="shared" si="196"/>
        <v/>
      </c>
      <c r="Z725" s="240"/>
      <c r="AD725" s="232" t="str">
        <f t="shared" si="197"/>
        <v/>
      </c>
      <c r="AE725" s="204"/>
      <c r="AX725" s="3" t="str">
        <f t="shared" si="187"/>
        <v/>
      </c>
    </row>
    <row r="726" spans="1:50" s="155" customFormat="1" ht="30" hidden="1" customHeight="1">
      <c r="A726" s="141" t="str">
        <f t="shared" si="198"/>
        <v/>
      </c>
      <c r="B726" s="141" t="str">
        <f t="shared" si="199"/>
        <v/>
      </c>
      <c r="C726" s="205" t="str" cm="1">
        <f t="array" ref="C726">IF(D726="","",
    IF(AND(ISNUMBER(D726), D726=INT(D726)),
        $V$6 &amp; " " &amp; (IFERROR(MAX($Y$12:$Y725), 0) + 1),
        IF(ISNUMBER(SEARCH(".", D726)), "", INDEX($C$12:$C726, MATCH(2, 1/($C$12:$C726 &lt;&gt; ""))))
    )
)</f>
        <v/>
      </c>
      <c r="D726" s="206"/>
      <c r="E726" s="206" t="str">
        <f>IF(AA726 = "", "",
    IF(ISNUMBER(SEARCH("Kiện", C726)),
       " GÓI " &amp; COUNTIF($C$13:C726, "*Kiện*") &amp; "/" &amp; COUNTIF($C$13:$C$1000, "*Kiện*") &amp; " " &amp; AA726,
       AA726)
)</f>
        <v/>
      </c>
      <c r="F726" s="206"/>
      <c r="G726" s="206"/>
      <c r="H726" s="206"/>
      <c r="I726" s="206"/>
      <c r="J726" s="206" t="str">
        <f t="shared" si="200"/>
        <v/>
      </c>
      <c r="K726" s="206" t="str">
        <f t="shared" si="188"/>
        <v/>
      </c>
      <c r="L726" s="206" t="str">
        <f t="shared" si="189"/>
        <v/>
      </c>
      <c r="M726" s="206" t="str">
        <f t="shared" si="190"/>
        <v/>
      </c>
      <c r="N726" s="206" t="str">
        <f t="shared" si="201"/>
        <v/>
      </c>
      <c r="O726" s="206" t="str">
        <f t="shared" si="191"/>
        <v/>
      </c>
      <c r="P726" s="165" t="str">
        <f t="shared" si="192"/>
        <v/>
      </c>
      <c r="Q726" s="207"/>
      <c r="R726" s="141" t="str">
        <f>IF(S726="IN",'BOM_Phan II'!$Y$3,"")</f>
        <v/>
      </c>
      <c r="S726" s="153" t="str">
        <f t="shared" si="193"/>
        <v/>
      </c>
      <c r="T726">
        <f t="shared" si="194"/>
        <v>6</v>
      </c>
      <c r="U726" s="208" t="str">
        <f t="shared" si="202"/>
        <v>KIỆN 9</v>
      </c>
      <c r="V726" s="208" t="str">
        <f t="shared" si="195"/>
        <v/>
      </c>
      <c r="W726" s="240"/>
      <c r="X726" s="240"/>
      <c r="Y726" s="240" t="str">
        <f t="shared" si="196"/>
        <v/>
      </c>
      <c r="Z726" s="240"/>
      <c r="AD726" s="232" t="str">
        <f t="shared" si="197"/>
        <v/>
      </c>
      <c r="AE726" s="204"/>
      <c r="AX726" s="3" t="str">
        <f t="shared" si="187"/>
        <v/>
      </c>
    </row>
    <row r="727" spans="1:50" s="155" customFormat="1" ht="30" hidden="1" customHeight="1">
      <c r="A727" s="141" t="str">
        <f t="shared" si="198"/>
        <v/>
      </c>
      <c r="B727" s="141" t="str">
        <f t="shared" si="199"/>
        <v/>
      </c>
      <c r="C727" s="205" t="str" cm="1">
        <f t="array" ref="C727">IF(D727="","",
    IF(AND(ISNUMBER(D727), D727=INT(D727)),
        $V$6 &amp; " " &amp; (IFERROR(MAX($Y$12:$Y726), 0) + 1),
        IF(ISNUMBER(SEARCH(".", D727)), "", INDEX($C$12:$C727, MATCH(2, 1/($C$12:$C727 &lt;&gt; ""))))
    )
)</f>
        <v/>
      </c>
      <c r="D727" s="206"/>
      <c r="E727" s="206" t="str">
        <f>IF(AA727 = "", "",
    IF(ISNUMBER(SEARCH("Kiện", C727)),
       " GÓI " &amp; COUNTIF($C$13:C727, "*Kiện*") &amp; "/" &amp; COUNTIF($C$13:$C$1000, "*Kiện*") &amp; " " &amp; AA727,
       AA727)
)</f>
        <v/>
      </c>
      <c r="F727" s="206"/>
      <c r="G727" s="206"/>
      <c r="H727" s="206"/>
      <c r="I727" s="206"/>
      <c r="J727" s="206" t="str">
        <f t="shared" si="200"/>
        <v/>
      </c>
      <c r="K727" s="206" t="str">
        <f t="shared" si="188"/>
        <v/>
      </c>
      <c r="L727" s="206" t="str">
        <f t="shared" si="189"/>
        <v/>
      </c>
      <c r="M727" s="206" t="str">
        <f t="shared" si="190"/>
        <v/>
      </c>
      <c r="N727" s="206" t="str">
        <f t="shared" si="201"/>
        <v/>
      </c>
      <c r="O727" s="206" t="str">
        <f t="shared" si="191"/>
        <v/>
      </c>
      <c r="P727" s="165" t="str">
        <f t="shared" si="192"/>
        <v/>
      </c>
      <c r="Q727" s="207"/>
      <c r="R727" s="141" t="str">
        <f>IF(S727="IN",'BOM_Phan II'!$Y$3,"")</f>
        <v/>
      </c>
      <c r="S727" s="153" t="str">
        <f t="shared" si="193"/>
        <v/>
      </c>
      <c r="T727">
        <f t="shared" si="194"/>
        <v>6</v>
      </c>
      <c r="U727" s="208" t="str">
        <f t="shared" si="202"/>
        <v>KIỆN 9</v>
      </c>
      <c r="V727" s="208" t="str">
        <f t="shared" si="195"/>
        <v/>
      </c>
      <c r="W727" s="240"/>
      <c r="X727" s="240"/>
      <c r="Y727" s="240" t="str">
        <f t="shared" si="196"/>
        <v/>
      </c>
      <c r="Z727" s="240"/>
      <c r="AD727" s="232" t="str">
        <f t="shared" si="197"/>
        <v/>
      </c>
      <c r="AE727" s="204"/>
      <c r="AX727" s="3" t="str">
        <f t="shared" si="187"/>
        <v/>
      </c>
    </row>
    <row r="728" spans="1:50" s="155" customFormat="1" ht="30" hidden="1" customHeight="1">
      <c r="A728" s="141" t="str">
        <f t="shared" si="198"/>
        <v/>
      </c>
      <c r="B728" s="141" t="str">
        <f t="shared" si="199"/>
        <v/>
      </c>
      <c r="C728" s="205" t="str" cm="1">
        <f t="array" ref="C728">IF(D728="","",
    IF(AND(ISNUMBER(D728), D728=INT(D728)),
        $V$6 &amp; " " &amp; (IFERROR(MAX($Y$12:$Y727), 0) + 1),
        IF(ISNUMBER(SEARCH(".", D728)), "", INDEX($C$12:$C728, MATCH(2, 1/($C$12:$C728 &lt;&gt; ""))))
    )
)</f>
        <v/>
      </c>
      <c r="D728" s="206"/>
      <c r="E728" s="206" t="str">
        <f>IF(AA728 = "", "",
    IF(ISNUMBER(SEARCH("Kiện", C728)),
       " GÓI " &amp; COUNTIF($C$13:C728, "*Kiện*") &amp; "/" &amp; COUNTIF($C$13:$C$1000, "*Kiện*") &amp; " " &amp; AA728,
       AA728)
)</f>
        <v/>
      </c>
      <c r="F728" s="206"/>
      <c r="G728" s="206"/>
      <c r="H728" s="206"/>
      <c r="I728" s="206"/>
      <c r="J728" s="206" t="str">
        <f t="shared" si="200"/>
        <v/>
      </c>
      <c r="K728" s="206" t="str">
        <f t="shared" si="188"/>
        <v/>
      </c>
      <c r="L728" s="206" t="str">
        <f t="shared" si="189"/>
        <v/>
      </c>
      <c r="M728" s="206" t="str">
        <f t="shared" si="190"/>
        <v/>
      </c>
      <c r="N728" s="206" t="str">
        <f t="shared" si="201"/>
        <v/>
      </c>
      <c r="O728" s="206" t="str">
        <f t="shared" si="191"/>
        <v/>
      </c>
      <c r="P728" s="165" t="str">
        <f t="shared" si="192"/>
        <v/>
      </c>
      <c r="Q728" s="207"/>
      <c r="R728" s="141" t="str">
        <f>IF(S728="IN",'BOM_Phan II'!$Y$3,"")</f>
        <v/>
      </c>
      <c r="S728" s="153" t="str">
        <f t="shared" si="193"/>
        <v/>
      </c>
      <c r="T728">
        <f t="shared" si="194"/>
        <v>6</v>
      </c>
      <c r="U728" s="208" t="str">
        <f t="shared" si="202"/>
        <v>KIỆN 9</v>
      </c>
      <c r="V728" s="208" t="str">
        <f t="shared" si="195"/>
        <v/>
      </c>
      <c r="W728" s="240"/>
      <c r="X728" s="240"/>
      <c r="Y728" s="240" t="str">
        <f t="shared" si="196"/>
        <v/>
      </c>
      <c r="Z728" s="240"/>
      <c r="AD728" s="232" t="str">
        <f t="shared" si="197"/>
        <v/>
      </c>
      <c r="AE728" s="204"/>
      <c r="AX728" s="3" t="str">
        <f t="shared" si="187"/>
        <v/>
      </c>
    </row>
    <row r="729" spans="1:50" s="155" customFormat="1" ht="30" hidden="1" customHeight="1">
      <c r="A729" s="141" t="str">
        <f t="shared" si="198"/>
        <v/>
      </c>
      <c r="B729" s="141" t="str">
        <f t="shared" si="199"/>
        <v/>
      </c>
      <c r="C729" s="205" t="str" cm="1">
        <f t="array" ref="C729">IF(D729="","",
    IF(AND(ISNUMBER(D729), D729=INT(D729)),
        $V$6 &amp; " " &amp; (IFERROR(MAX($Y$12:$Y728), 0) + 1),
        IF(ISNUMBER(SEARCH(".", D729)), "", INDEX($C$12:$C729, MATCH(2, 1/($C$12:$C729 &lt;&gt; ""))))
    )
)</f>
        <v/>
      </c>
      <c r="D729" s="206"/>
      <c r="E729" s="206" t="str">
        <f>IF(AA729 = "", "",
    IF(ISNUMBER(SEARCH("Kiện", C729)),
       " GÓI " &amp; COUNTIF($C$13:C729, "*Kiện*") &amp; "/" &amp; COUNTIF($C$13:$C$1000, "*Kiện*") &amp; " " &amp; AA729,
       AA729)
)</f>
        <v/>
      </c>
      <c r="F729" s="206"/>
      <c r="G729" s="206"/>
      <c r="H729" s="206"/>
      <c r="I729" s="206"/>
      <c r="J729" s="206" t="str">
        <f t="shared" si="200"/>
        <v/>
      </c>
      <c r="K729" s="206" t="str">
        <f t="shared" si="188"/>
        <v/>
      </c>
      <c r="L729" s="206" t="str">
        <f t="shared" si="189"/>
        <v/>
      </c>
      <c r="M729" s="206" t="str">
        <f t="shared" si="190"/>
        <v/>
      </c>
      <c r="N729" s="206" t="str">
        <f t="shared" si="201"/>
        <v/>
      </c>
      <c r="O729" s="206" t="str">
        <f t="shared" si="191"/>
        <v/>
      </c>
      <c r="P729" s="165" t="str">
        <f t="shared" si="192"/>
        <v/>
      </c>
      <c r="Q729" s="207"/>
      <c r="R729" s="141" t="str">
        <f>IF(S729="IN",'BOM_Phan II'!$Y$3,"")</f>
        <v/>
      </c>
      <c r="S729" s="153" t="str">
        <f t="shared" si="193"/>
        <v/>
      </c>
      <c r="T729">
        <f t="shared" si="194"/>
        <v>6</v>
      </c>
      <c r="U729" s="208" t="str">
        <f t="shared" si="202"/>
        <v>KIỆN 9</v>
      </c>
      <c r="V729" s="208" t="str">
        <f t="shared" si="195"/>
        <v/>
      </c>
      <c r="W729" s="240"/>
      <c r="X729" s="240"/>
      <c r="Y729" s="240" t="str">
        <f t="shared" si="196"/>
        <v/>
      </c>
      <c r="Z729" s="240"/>
      <c r="AD729" s="232" t="str">
        <f t="shared" si="197"/>
        <v/>
      </c>
      <c r="AE729" s="204"/>
      <c r="AX729" s="3" t="str">
        <f t="shared" si="187"/>
        <v/>
      </c>
    </row>
    <row r="730" spans="1:50" s="155" customFormat="1" ht="30" hidden="1" customHeight="1">
      <c r="A730" s="141" t="str">
        <f t="shared" si="198"/>
        <v/>
      </c>
      <c r="B730" s="141" t="str">
        <f t="shared" si="199"/>
        <v/>
      </c>
      <c r="C730" s="205" t="str" cm="1">
        <f t="array" ref="C730">IF(D730="","",
    IF(AND(ISNUMBER(D730), D730=INT(D730)),
        $V$6 &amp; " " &amp; (IFERROR(MAX($Y$12:$Y729), 0) + 1),
        IF(ISNUMBER(SEARCH(".", D730)), "", INDEX($C$12:$C730, MATCH(2, 1/($C$12:$C730 &lt;&gt; ""))))
    )
)</f>
        <v/>
      </c>
      <c r="D730" s="206"/>
      <c r="E730" s="206" t="str">
        <f>IF(AA730 = "", "",
    IF(ISNUMBER(SEARCH("Kiện", C730)),
       " GÓI " &amp; COUNTIF($C$13:C730, "*Kiện*") &amp; "/" &amp; COUNTIF($C$13:$C$1000, "*Kiện*") &amp; " " &amp; AA730,
       AA730)
)</f>
        <v/>
      </c>
      <c r="F730" s="206"/>
      <c r="G730" s="206"/>
      <c r="H730" s="206"/>
      <c r="I730" s="206"/>
      <c r="J730" s="206" t="str">
        <f t="shared" si="200"/>
        <v/>
      </c>
      <c r="K730" s="206" t="str">
        <f t="shared" si="188"/>
        <v/>
      </c>
      <c r="L730" s="206" t="str">
        <f t="shared" si="189"/>
        <v/>
      </c>
      <c r="M730" s="206" t="str">
        <f t="shared" si="190"/>
        <v/>
      </c>
      <c r="N730" s="206" t="str">
        <f t="shared" si="201"/>
        <v/>
      </c>
      <c r="O730" s="206" t="str">
        <f t="shared" si="191"/>
        <v/>
      </c>
      <c r="P730" s="165" t="str">
        <f t="shared" si="192"/>
        <v/>
      </c>
      <c r="Q730" s="207"/>
      <c r="R730" s="141" t="str">
        <f>IF(S730="IN",'BOM_Phan II'!$Y$3,"")</f>
        <v/>
      </c>
      <c r="S730" s="153" t="str">
        <f t="shared" si="193"/>
        <v/>
      </c>
      <c r="T730">
        <f t="shared" si="194"/>
        <v>6</v>
      </c>
      <c r="U730" s="208" t="str">
        <f t="shared" si="202"/>
        <v>KIỆN 9</v>
      </c>
      <c r="V730" s="208" t="str">
        <f t="shared" si="195"/>
        <v/>
      </c>
      <c r="W730" s="240"/>
      <c r="X730" s="240"/>
      <c r="Y730" s="240" t="str">
        <f t="shared" si="196"/>
        <v/>
      </c>
      <c r="Z730" s="240"/>
      <c r="AD730" s="232" t="str">
        <f t="shared" si="197"/>
        <v/>
      </c>
      <c r="AE730" s="204"/>
      <c r="AX730" s="3" t="str">
        <f t="shared" si="187"/>
        <v/>
      </c>
    </row>
    <row r="731" spans="1:50" s="155" customFormat="1" ht="30" hidden="1" customHeight="1">
      <c r="A731" s="141" t="str">
        <f t="shared" si="198"/>
        <v/>
      </c>
      <c r="B731" s="141" t="str">
        <f t="shared" si="199"/>
        <v/>
      </c>
      <c r="C731" s="205" t="str" cm="1">
        <f t="array" ref="C731">IF(D731="","",
    IF(AND(ISNUMBER(D731), D731=INT(D731)),
        $V$6 &amp; " " &amp; (IFERROR(MAX($Y$12:$Y730), 0) + 1),
        IF(ISNUMBER(SEARCH(".", D731)), "", INDEX($C$12:$C731, MATCH(2, 1/($C$12:$C731 &lt;&gt; ""))))
    )
)</f>
        <v/>
      </c>
      <c r="D731" s="206"/>
      <c r="E731" s="206" t="str">
        <f>IF(AA731 = "", "",
    IF(ISNUMBER(SEARCH("Kiện", C731)),
       " GÓI " &amp; COUNTIF($C$13:C731, "*Kiện*") &amp; "/" &amp; COUNTIF($C$13:$C$1000, "*Kiện*") &amp; " " &amp; AA731,
       AA731)
)</f>
        <v/>
      </c>
      <c r="F731" s="206"/>
      <c r="G731" s="206"/>
      <c r="H731" s="206"/>
      <c r="I731" s="206"/>
      <c r="J731" s="206" t="str">
        <f t="shared" si="200"/>
        <v/>
      </c>
      <c r="K731" s="206" t="str">
        <f t="shared" si="188"/>
        <v/>
      </c>
      <c r="L731" s="206" t="str">
        <f t="shared" si="189"/>
        <v/>
      </c>
      <c r="M731" s="206" t="str">
        <f t="shared" si="190"/>
        <v/>
      </c>
      <c r="N731" s="206" t="str">
        <f t="shared" si="201"/>
        <v/>
      </c>
      <c r="O731" s="206" t="str">
        <f t="shared" si="191"/>
        <v/>
      </c>
      <c r="P731" s="165" t="str">
        <f t="shared" si="192"/>
        <v/>
      </c>
      <c r="Q731" s="207"/>
      <c r="R731" s="141" t="str">
        <f>IF(S731="IN",'BOM_Phan II'!$Y$3,"")</f>
        <v/>
      </c>
      <c r="S731" s="153" t="str">
        <f t="shared" si="193"/>
        <v/>
      </c>
      <c r="T731">
        <f t="shared" si="194"/>
        <v>6</v>
      </c>
      <c r="U731" s="208" t="str">
        <f t="shared" si="202"/>
        <v>KIỆN 9</v>
      </c>
      <c r="V731" s="208" t="str">
        <f t="shared" si="195"/>
        <v/>
      </c>
      <c r="W731" s="240"/>
      <c r="X731" s="240"/>
      <c r="Y731" s="240" t="str">
        <f t="shared" si="196"/>
        <v/>
      </c>
      <c r="Z731" s="240"/>
      <c r="AD731" s="232" t="str">
        <f t="shared" si="197"/>
        <v/>
      </c>
      <c r="AE731" s="204"/>
      <c r="AX731" s="3" t="str">
        <f t="shared" si="187"/>
        <v/>
      </c>
    </row>
    <row r="732" spans="1:50" s="155" customFormat="1" ht="30" hidden="1" customHeight="1">
      <c r="A732" s="141" t="str">
        <f t="shared" si="198"/>
        <v/>
      </c>
      <c r="B732" s="141" t="str">
        <f t="shared" si="199"/>
        <v/>
      </c>
      <c r="C732" s="205" t="str" cm="1">
        <f t="array" ref="C732">IF(D732="","",
    IF(AND(ISNUMBER(D732), D732=INT(D732)),
        $V$6 &amp; " " &amp; (IFERROR(MAX($Y$12:$Y731), 0) + 1),
        IF(ISNUMBER(SEARCH(".", D732)), "", INDEX($C$12:$C732, MATCH(2, 1/($C$12:$C732 &lt;&gt; ""))))
    )
)</f>
        <v/>
      </c>
      <c r="D732" s="206"/>
      <c r="E732" s="206" t="str">
        <f>IF(AA732 = "", "",
    IF(ISNUMBER(SEARCH("Kiện", C732)),
       " GÓI " &amp; COUNTIF($C$13:C732, "*Kiện*") &amp; "/" &amp; COUNTIF($C$13:$C$1000, "*Kiện*") &amp; " " &amp; AA732,
       AA732)
)</f>
        <v/>
      </c>
      <c r="F732" s="206"/>
      <c r="G732" s="206"/>
      <c r="H732" s="206"/>
      <c r="I732" s="206"/>
      <c r="J732" s="206" t="str">
        <f t="shared" si="200"/>
        <v/>
      </c>
      <c r="K732" s="206" t="str">
        <f t="shared" si="188"/>
        <v/>
      </c>
      <c r="L732" s="206" t="str">
        <f t="shared" si="189"/>
        <v/>
      </c>
      <c r="M732" s="206" t="str">
        <f t="shared" si="190"/>
        <v/>
      </c>
      <c r="N732" s="206" t="str">
        <f t="shared" si="201"/>
        <v/>
      </c>
      <c r="O732" s="206" t="str">
        <f t="shared" si="191"/>
        <v/>
      </c>
      <c r="P732" s="165" t="str">
        <f t="shared" si="192"/>
        <v/>
      </c>
      <c r="Q732" s="207"/>
      <c r="R732" s="141" t="str">
        <f>IF(S732="IN",'BOM_Phan II'!$Y$3,"")</f>
        <v/>
      </c>
      <c r="S732" s="153" t="str">
        <f t="shared" si="193"/>
        <v/>
      </c>
      <c r="T732">
        <f t="shared" si="194"/>
        <v>6</v>
      </c>
      <c r="U732" s="208" t="str">
        <f t="shared" si="202"/>
        <v>KIỆN 9</v>
      </c>
      <c r="V732" s="208" t="str">
        <f t="shared" si="195"/>
        <v/>
      </c>
      <c r="W732" s="240"/>
      <c r="X732" s="240"/>
      <c r="Y732" s="240" t="str">
        <f t="shared" si="196"/>
        <v/>
      </c>
      <c r="Z732" s="240"/>
      <c r="AD732" s="232" t="str">
        <f t="shared" si="197"/>
        <v/>
      </c>
      <c r="AE732" s="204"/>
      <c r="AX732" s="3" t="str">
        <f t="shared" si="187"/>
        <v/>
      </c>
    </row>
    <row r="733" spans="1:50" s="155" customFormat="1" ht="30" hidden="1" customHeight="1">
      <c r="A733" s="141" t="str">
        <f t="shared" si="198"/>
        <v/>
      </c>
      <c r="B733" s="141" t="str">
        <f t="shared" si="199"/>
        <v/>
      </c>
      <c r="C733" s="205" t="str" cm="1">
        <f t="array" ref="C733">IF(D733="","",
    IF(AND(ISNUMBER(D733), D733=INT(D733)),
        $V$6 &amp; " " &amp; (IFERROR(MAX($Y$12:$Y732), 0) + 1),
        IF(ISNUMBER(SEARCH(".", D733)), "", INDEX($C$12:$C733, MATCH(2, 1/($C$12:$C733 &lt;&gt; ""))))
    )
)</f>
        <v/>
      </c>
      <c r="D733" s="206"/>
      <c r="E733" s="206" t="str">
        <f>IF(AA733 = "", "",
    IF(ISNUMBER(SEARCH("Kiện", C733)),
       " GÓI " &amp; COUNTIF($C$13:C733, "*Kiện*") &amp; "/" &amp; COUNTIF($C$13:$C$1000, "*Kiện*") &amp; " " &amp; AA733,
       AA733)
)</f>
        <v/>
      </c>
      <c r="F733" s="206"/>
      <c r="G733" s="206"/>
      <c r="H733" s="206"/>
      <c r="I733" s="206"/>
      <c r="J733" s="206" t="str">
        <f t="shared" si="200"/>
        <v/>
      </c>
      <c r="K733" s="206" t="str">
        <f t="shared" si="188"/>
        <v/>
      </c>
      <c r="L733" s="206" t="str">
        <f t="shared" si="189"/>
        <v/>
      </c>
      <c r="M733" s="206" t="str">
        <f t="shared" si="190"/>
        <v/>
      </c>
      <c r="N733" s="206" t="str">
        <f t="shared" si="201"/>
        <v/>
      </c>
      <c r="O733" s="206" t="str">
        <f t="shared" si="191"/>
        <v/>
      </c>
      <c r="P733" s="165" t="str">
        <f t="shared" si="192"/>
        <v/>
      </c>
      <c r="Q733" s="207"/>
      <c r="R733" s="141" t="str">
        <f>IF(S733="IN",'BOM_Phan II'!$Y$3,"")</f>
        <v/>
      </c>
      <c r="S733" s="153" t="str">
        <f t="shared" si="193"/>
        <v/>
      </c>
      <c r="T733">
        <f t="shared" si="194"/>
        <v>6</v>
      </c>
      <c r="U733" s="208" t="str">
        <f t="shared" si="202"/>
        <v>KIỆN 9</v>
      </c>
      <c r="V733" s="208" t="str">
        <f t="shared" si="195"/>
        <v/>
      </c>
      <c r="W733" s="240"/>
      <c r="X733" s="240"/>
      <c r="Y733" s="240" t="str">
        <f t="shared" si="196"/>
        <v/>
      </c>
      <c r="Z733" s="240"/>
      <c r="AD733" s="232" t="str">
        <f t="shared" si="197"/>
        <v/>
      </c>
      <c r="AE733" s="204"/>
      <c r="AX733" s="3" t="str">
        <f t="shared" si="187"/>
        <v/>
      </c>
    </row>
    <row r="734" spans="1:50" s="155" customFormat="1" ht="30" hidden="1" customHeight="1">
      <c r="A734" s="141" t="str">
        <f t="shared" si="198"/>
        <v/>
      </c>
      <c r="B734" s="141" t="str">
        <f t="shared" si="199"/>
        <v/>
      </c>
      <c r="C734" s="205" t="str" cm="1">
        <f t="array" ref="C734">IF(D734="","",
    IF(AND(ISNUMBER(D734), D734=INT(D734)),
        $V$6 &amp; " " &amp; (IFERROR(MAX($Y$12:$Y733), 0) + 1),
        IF(ISNUMBER(SEARCH(".", D734)), "", INDEX($C$12:$C734, MATCH(2, 1/($C$12:$C734 &lt;&gt; ""))))
    )
)</f>
        <v/>
      </c>
      <c r="D734" s="206"/>
      <c r="E734" s="206" t="str">
        <f>IF(AA734 = "", "",
    IF(ISNUMBER(SEARCH("Kiện", C734)),
       " GÓI " &amp; COUNTIF($C$13:C734, "*Kiện*") &amp; "/" &amp; COUNTIF($C$13:$C$1000, "*Kiện*") &amp; " " &amp; AA734,
       AA734)
)</f>
        <v/>
      </c>
      <c r="F734" s="206"/>
      <c r="G734" s="206"/>
      <c r="H734" s="206"/>
      <c r="I734" s="206"/>
      <c r="J734" s="206" t="str">
        <f t="shared" si="200"/>
        <v/>
      </c>
      <c r="K734" s="206" t="str">
        <f t="shared" si="188"/>
        <v/>
      </c>
      <c r="L734" s="206" t="str">
        <f t="shared" si="189"/>
        <v/>
      </c>
      <c r="M734" s="206" t="str">
        <f t="shared" si="190"/>
        <v/>
      </c>
      <c r="N734" s="206" t="str">
        <f t="shared" si="201"/>
        <v/>
      </c>
      <c r="O734" s="206" t="str">
        <f t="shared" si="191"/>
        <v/>
      </c>
      <c r="P734" s="165" t="str">
        <f t="shared" si="192"/>
        <v/>
      </c>
      <c r="Q734" s="207"/>
      <c r="R734" s="141" t="str">
        <f>IF(S734="IN",'BOM_Phan II'!$Y$3,"")</f>
        <v/>
      </c>
      <c r="S734" s="153" t="str">
        <f t="shared" si="193"/>
        <v/>
      </c>
      <c r="T734">
        <f t="shared" si="194"/>
        <v>6</v>
      </c>
      <c r="U734" s="208" t="str">
        <f t="shared" si="202"/>
        <v>KIỆN 9</v>
      </c>
      <c r="V734" s="208" t="str">
        <f t="shared" si="195"/>
        <v/>
      </c>
      <c r="W734" s="240"/>
      <c r="X734" s="240"/>
      <c r="Y734" s="240" t="str">
        <f t="shared" si="196"/>
        <v/>
      </c>
      <c r="Z734" s="240"/>
      <c r="AD734" s="232" t="str">
        <f t="shared" si="197"/>
        <v/>
      </c>
      <c r="AE734" s="204"/>
      <c r="AX734" s="3" t="str">
        <f t="shared" si="187"/>
        <v/>
      </c>
    </row>
    <row r="735" spans="1:50" s="155" customFormat="1" ht="30" hidden="1" customHeight="1">
      <c r="A735" s="141" t="str">
        <f t="shared" si="198"/>
        <v/>
      </c>
      <c r="B735" s="141" t="str">
        <f t="shared" si="199"/>
        <v/>
      </c>
      <c r="C735" s="205" t="str" cm="1">
        <f t="array" ref="C735">IF(D735="","",
    IF(AND(ISNUMBER(D735), D735=INT(D735)),
        $V$6 &amp; " " &amp; (IFERROR(MAX($Y$12:$Y734), 0) + 1),
        IF(ISNUMBER(SEARCH(".", D735)), "", INDEX($C$12:$C735, MATCH(2, 1/($C$12:$C735 &lt;&gt; ""))))
    )
)</f>
        <v/>
      </c>
      <c r="D735" s="206"/>
      <c r="E735" s="206" t="str">
        <f>IF(AA735 = "", "",
    IF(ISNUMBER(SEARCH("Kiện", C735)),
       " GÓI " &amp; COUNTIF($C$13:C735, "*Kiện*") &amp; "/" &amp; COUNTIF($C$13:$C$1000, "*Kiện*") &amp; " " &amp; AA735,
       AA735)
)</f>
        <v/>
      </c>
      <c r="F735" s="206"/>
      <c r="G735" s="206"/>
      <c r="H735" s="206"/>
      <c r="I735" s="206"/>
      <c r="J735" s="206" t="str">
        <f t="shared" si="200"/>
        <v/>
      </c>
      <c r="K735" s="206" t="str">
        <f t="shared" si="188"/>
        <v/>
      </c>
      <c r="L735" s="206" t="str">
        <f t="shared" si="189"/>
        <v/>
      </c>
      <c r="M735" s="206" t="str">
        <f t="shared" si="190"/>
        <v/>
      </c>
      <c r="N735" s="206" t="str">
        <f t="shared" si="201"/>
        <v/>
      </c>
      <c r="O735" s="206" t="str">
        <f t="shared" si="191"/>
        <v/>
      </c>
      <c r="P735" s="165" t="str">
        <f t="shared" si="192"/>
        <v/>
      </c>
      <c r="Q735" s="207"/>
      <c r="R735" s="141" t="str">
        <f>IF(S735="IN",'BOM_Phan II'!$Y$3,"")</f>
        <v/>
      </c>
      <c r="S735" s="153" t="str">
        <f t="shared" si="193"/>
        <v/>
      </c>
      <c r="T735">
        <f t="shared" si="194"/>
        <v>6</v>
      </c>
      <c r="U735" s="208" t="str">
        <f t="shared" si="202"/>
        <v>KIỆN 9</v>
      </c>
      <c r="V735" s="208" t="str">
        <f t="shared" si="195"/>
        <v/>
      </c>
      <c r="W735" s="240"/>
      <c r="X735" s="240"/>
      <c r="Y735" s="240" t="str">
        <f t="shared" si="196"/>
        <v/>
      </c>
      <c r="Z735" s="240"/>
      <c r="AD735" s="232" t="str">
        <f t="shared" si="197"/>
        <v/>
      </c>
      <c r="AE735" s="204"/>
      <c r="AX735" s="3" t="str">
        <f t="shared" si="187"/>
        <v/>
      </c>
    </row>
    <row r="736" spans="1:50" s="155" customFormat="1" ht="30" hidden="1" customHeight="1">
      <c r="A736" s="141" t="str">
        <f t="shared" si="198"/>
        <v/>
      </c>
      <c r="B736" s="141" t="str">
        <f t="shared" si="199"/>
        <v/>
      </c>
      <c r="C736" s="205" t="str" cm="1">
        <f t="array" ref="C736">IF(D736="","",
    IF(AND(ISNUMBER(D736), D736=INT(D736)),
        $V$6 &amp; " " &amp; (IFERROR(MAX($Y$12:$Y735), 0) + 1),
        IF(ISNUMBER(SEARCH(".", D736)), "", INDEX($C$12:$C736, MATCH(2, 1/($C$12:$C736 &lt;&gt; ""))))
    )
)</f>
        <v/>
      </c>
      <c r="D736" s="206"/>
      <c r="E736" s="206" t="str">
        <f>IF(AA736 = "", "",
    IF(ISNUMBER(SEARCH("Kiện", C736)),
       " GÓI " &amp; COUNTIF($C$13:C736, "*Kiện*") &amp; "/" &amp; COUNTIF($C$13:$C$1000, "*Kiện*") &amp; " " &amp; AA736,
       AA736)
)</f>
        <v/>
      </c>
      <c r="F736" s="206"/>
      <c r="G736" s="206"/>
      <c r="H736" s="206"/>
      <c r="I736" s="206"/>
      <c r="J736" s="206" t="str">
        <f t="shared" si="200"/>
        <v/>
      </c>
      <c r="K736" s="206" t="str">
        <f t="shared" si="188"/>
        <v/>
      </c>
      <c r="L736" s="206" t="str">
        <f t="shared" si="189"/>
        <v/>
      </c>
      <c r="M736" s="206" t="str">
        <f t="shared" si="190"/>
        <v/>
      </c>
      <c r="N736" s="206" t="str">
        <f t="shared" si="201"/>
        <v/>
      </c>
      <c r="O736" s="206" t="str">
        <f t="shared" si="191"/>
        <v/>
      </c>
      <c r="P736" s="165" t="str">
        <f t="shared" si="192"/>
        <v/>
      </c>
      <c r="Q736" s="207"/>
      <c r="R736" s="141" t="str">
        <f>IF(S736="IN",'BOM_Phan II'!$Y$3,"")</f>
        <v/>
      </c>
      <c r="S736" s="153" t="str">
        <f t="shared" si="193"/>
        <v/>
      </c>
      <c r="T736">
        <f t="shared" si="194"/>
        <v>6</v>
      </c>
      <c r="U736" s="208" t="str">
        <f t="shared" si="202"/>
        <v>KIỆN 9</v>
      </c>
      <c r="V736" s="208" t="str">
        <f t="shared" si="195"/>
        <v/>
      </c>
      <c r="W736" s="240"/>
      <c r="X736" s="240"/>
      <c r="Y736" s="240" t="str">
        <f t="shared" si="196"/>
        <v/>
      </c>
      <c r="Z736" s="240"/>
      <c r="AD736" s="232" t="str">
        <f t="shared" si="197"/>
        <v/>
      </c>
      <c r="AE736" s="204"/>
      <c r="AX736" s="3" t="str">
        <f t="shared" si="187"/>
        <v/>
      </c>
    </row>
    <row r="737" spans="1:50" s="155" customFormat="1" ht="30" hidden="1" customHeight="1">
      <c r="A737" s="141" t="str">
        <f t="shared" si="198"/>
        <v/>
      </c>
      <c r="B737" s="141" t="str">
        <f t="shared" si="199"/>
        <v/>
      </c>
      <c r="C737" s="205" t="str" cm="1">
        <f t="array" ref="C737">IF(D737="","",
    IF(AND(ISNUMBER(D737), D737=INT(D737)),
        $V$6 &amp; " " &amp; (IFERROR(MAX($Y$12:$Y736), 0) + 1),
        IF(ISNUMBER(SEARCH(".", D737)), "", INDEX($C$12:$C737, MATCH(2, 1/($C$12:$C737 &lt;&gt; ""))))
    )
)</f>
        <v/>
      </c>
      <c r="D737" s="206"/>
      <c r="E737" s="206" t="str">
        <f>IF(AA737 = "", "",
    IF(ISNUMBER(SEARCH("Kiện", C737)),
       " GÓI " &amp; COUNTIF($C$13:C737, "*Kiện*") &amp; "/" &amp; COUNTIF($C$13:$C$1000, "*Kiện*") &amp; " " &amp; AA737,
       AA737)
)</f>
        <v/>
      </c>
      <c r="F737" s="206"/>
      <c r="G737" s="206"/>
      <c r="H737" s="206"/>
      <c r="I737" s="206"/>
      <c r="J737" s="206" t="str">
        <f t="shared" si="200"/>
        <v/>
      </c>
      <c r="K737" s="206" t="str">
        <f t="shared" si="188"/>
        <v/>
      </c>
      <c r="L737" s="206" t="str">
        <f t="shared" si="189"/>
        <v/>
      </c>
      <c r="M737" s="206" t="str">
        <f t="shared" si="190"/>
        <v/>
      </c>
      <c r="N737" s="206" t="str">
        <f t="shared" si="201"/>
        <v/>
      </c>
      <c r="O737" s="206" t="str">
        <f t="shared" si="191"/>
        <v/>
      </c>
      <c r="P737" s="165" t="str">
        <f t="shared" si="192"/>
        <v/>
      </c>
      <c r="Q737" s="207"/>
      <c r="R737" s="141" t="str">
        <f>IF(S737="IN",'BOM_Phan II'!$Y$3,"")</f>
        <v/>
      </c>
      <c r="S737" s="153" t="str">
        <f t="shared" si="193"/>
        <v/>
      </c>
      <c r="T737">
        <f t="shared" si="194"/>
        <v>6</v>
      </c>
      <c r="U737" s="208" t="str">
        <f t="shared" si="202"/>
        <v>KIỆN 9</v>
      </c>
      <c r="V737" s="208" t="str">
        <f t="shared" si="195"/>
        <v/>
      </c>
      <c r="W737" s="240"/>
      <c r="X737" s="240"/>
      <c r="Y737" s="240" t="str">
        <f t="shared" si="196"/>
        <v/>
      </c>
      <c r="Z737" s="240"/>
      <c r="AD737" s="232" t="str">
        <f t="shared" si="197"/>
        <v/>
      </c>
      <c r="AE737" s="204"/>
      <c r="AX737" s="3" t="str">
        <f t="shared" si="187"/>
        <v/>
      </c>
    </row>
    <row r="738" spans="1:50" s="155" customFormat="1" ht="30" hidden="1" customHeight="1">
      <c r="A738" s="141" t="str">
        <f t="shared" si="198"/>
        <v/>
      </c>
      <c r="B738" s="141" t="str">
        <f t="shared" si="199"/>
        <v/>
      </c>
      <c r="C738" s="205" t="str" cm="1">
        <f t="array" ref="C738">IF(D738="","",
    IF(AND(ISNUMBER(D738), D738=INT(D738)),
        $V$6 &amp; " " &amp; (IFERROR(MAX($Y$12:$Y737), 0) + 1),
        IF(ISNUMBER(SEARCH(".", D738)), "", INDEX($C$12:$C738, MATCH(2, 1/($C$12:$C738 &lt;&gt; ""))))
    )
)</f>
        <v/>
      </c>
      <c r="D738" s="206"/>
      <c r="E738" s="206" t="str">
        <f>IF(AA738 = "", "",
    IF(ISNUMBER(SEARCH("Kiện", C738)),
       " GÓI " &amp; COUNTIF($C$13:C738, "*Kiện*") &amp; "/" &amp; COUNTIF($C$13:$C$1000, "*Kiện*") &amp; " " &amp; AA738,
       AA738)
)</f>
        <v/>
      </c>
      <c r="F738" s="206"/>
      <c r="G738" s="206"/>
      <c r="H738" s="206"/>
      <c r="I738" s="206"/>
      <c r="J738" s="206" t="str">
        <f t="shared" si="200"/>
        <v/>
      </c>
      <c r="K738" s="206" t="str">
        <f t="shared" si="188"/>
        <v/>
      </c>
      <c r="L738" s="206" t="str">
        <f t="shared" si="189"/>
        <v/>
      </c>
      <c r="M738" s="206" t="str">
        <f t="shared" si="190"/>
        <v/>
      </c>
      <c r="N738" s="206" t="str">
        <f t="shared" si="201"/>
        <v/>
      </c>
      <c r="O738" s="206" t="str">
        <f t="shared" si="191"/>
        <v/>
      </c>
      <c r="P738" s="165" t="str">
        <f t="shared" si="192"/>
        <v/>
      </c>
      <c r="Q738" s="207"/>
      <c r="R738" s="141" t="str">
        <f>IF(S738="IN",'BOM_Phan II'!$Y$3,"")</f>
        <v/>
      </c>
      <c r="S738" s="153" t="str">
        <f t="shared" si="193"/>
        <v/>
      </c>
      <c r="T738">
        <f t="shared" si="194"/>
        <v>6</v>
      </c>
      <c r="U738" s="208" t="str">
        <f t="shared" si="202"/>
        <v>KIỆN 9</v>
      </c>
      <c r="V738" s="208" t="str">
        <f t="shared" si="195"/>
        <v/>
      </c>
      <c r="W738" s="240"/>
      <c r="X738" s="240"/>
      <c r="Y738" s="240" t="str">
        <f t="shared" si="196"/>
        <v/>
      </c>
      <c r="Z738" s="240"/>
      <c r="AD738" s="232" t="str">
        <f t="shared" si="197"/>
        <v/>
      </c>
      <c r="AE738" s="204"/>
      <c r="AX738" s="3" t="str">
        <f t="shared" si="187"/>
        <v/>
      </c>
    </row>
    <row r="739" spans="1:50" s="155" customFormat="1" ht="30" hidden="1" customHeight="1">
      <c r="A739" s="141" t="str">
        <f t="shared" si="198"/>
        <v/>
      </c>
      <c r="B739" s="141" t="str">
        <f t="shared" si="199"/>
        <v/>
      </c>
      <c r="C739" s="205" t="str" cm="1">
        <f t="array" ref="C739">IF(D739="","",
    IF(AND(ISNUMBER(D739), D739=INT(D739)),
        $V$6 &amp; " " &amp; (IFERROR(MAX($Y$12:$Y738), 0) + 1),
        IF(ISNUMBER(SEARCH(".", D739)), "", INDEX($C$12:$C739, MATCH(2, 1/($C$12:$C739 &lt;&gt; ""))))
    )
)</f>
        <v/>
      </c>
      <c r="D739" s="206"/>
      <c r="E739" s="206" t="str">
        <f>IF(AA739 = "", "",
    IF(ISNUMBER(SEARCH("Kiện", C739)),
       " GÓI " &amp; COUNTIF($C$13:C739, "*Kiện*") &amp; "/" &amp; COUNTIF($C$13:$C$1000, "*Kiện*") &amp; " " &amp; AA739,
       AA739)
)</f>
        <v/>
      </c>
      <c r="F739" s="206"/>
      <c r="G739" s="206"/>
      <c r="H739" s="206"/>
      <c r="I739" s="206"/>
      <c r="J739" s="206" t="str">
        <f t="shared" si="200"/>
        <v/>
      </c>
      <c r="K739" s="206" t="str">
        <f t="shared" si="188"/>
        <v/>
      </c>
      <c r="L739" s="206" t="str">
        <f t="shared" si="189"/>
        <v/>
      </c>
      <c r="M739" s="206" t="str">
        <f t="shared" si="190"/>
        <v/>
      </c>
      <c r="N739" s="206" t="str">
        <f t="shared" si="201"/>
        <v/>
      </c>
      <c r="O739" s="206" t="str">
        <f t="shared" si="191"/>
        <v/>
      </c>
      <c r="P739" s="165" t="str">
        <f t="shared" si="192"/>
        <v/>
      </c>
      <c r="Q739" s="207"/>
      <c r="R739" s="141" t="str">
        <f>IF(S739="IN",'BOM_Phan II'!$Y$3,"")</f>
        <v/>
      </c>
      <c r="S739" s="153" t="str">
        <f t="shared" si="193"/>
        <v/>
      </c>
      <c r="T739">
        <f t="shared" si="194"/>
        <v>6</v>
      </c>
      <c r="U739" s="208" t="str">
        <f t="shared" si="202"/>
        <v>KIỆN 9</v>
      </c>
      <c r="V739" s="208" t="str">
        <f t="shared" si="195"/>
        <v/>
      </c>
      <c r="W739" s="240"/>
      <c r="X739" s="240"/>
      <c r="Y739" s="240" t="str">
        <f t="shared" si="196"/>
        <v/>
      </c>
      <c r="Z739" s="240"/>
      <c r="AD739" s="232" t="str">
        <f t="shared" si="197"/>
        <v/>
      </c>
      <c r="AE739" s="204"/>
      <c r="AX739" s="3" t="str">
        <f t="shared" si="187"/>
        <v/>
      </c>
    </row>
    <row r="740" spans="1:50" s="155" customFormat="1" ht="30" hidden="1" customHeight="1">
      <c r="A740" s="141" t="str">
        <f t="shared" si="198"/>
        <v/>
      </c>
      <c r="B740" s="141" t="str">
        <f t="shared" si="199"/>
        <v/>
      </c>
      <c r="C740" s="205" t="str" cm="1">
        <f t="array" ref="C740">IF(D740="","",
    IF(AND(ISNUMBER(D740), D740=INT(D740)),
        $V$6 &amp; " " &amp; (IFERROR(MAX($Y$12:$Y739), 0) + 1),
        IF(ISNUMBER(SEARCH(".", D740)), "", INDEX($C$12:$C740, MATCH(2, 1/($C$12:$C740 &lt;&gt; ""))))
    )
)</f>
        <v/>
      </c>
      <c r="D740" s="206"/>
      <c r="E740" s="206" t="str">
        <f>IF(AA740 = "", "",
    IF(ISNUMBER(SEARCH("Kiện", C740)),
       " GÓI " &amp; COUNTIF($C$13:C740, "*Kiện*") &amp; "/" &amp; COUNTIF($C$13:$C$1000, "*Kiện*") &amp; " " &amp; AA740,
       AA740)
)</f>
        <v/>
      </c>
      <c r="F740" s="206"/>
      <c r="G740" s="206"/>
      <c r="H740" s="206"/>
      <c r="I740" s="206"/>
      <c r="J740" s="206" t="str">
        <f t="shared" si="200"/>
        <v/>
      </c>
      <c r="K740" s="206" t="str">
        <f t="shared" si="188"/>
        <v/>
      </c>
      <c r="L740" s="206" t="str">
        <f t="shared" si="189"/>
        <v/>
      </c>
      <c r="M740" s="206" t="str">
        <f t="shared" si="190"/>
        <v/>
      </c>
      <c r="N740" s="206" t="str">
        <f t="shared" si="201"/>
        <v/>
      </c>
      <c r="O740" s="206" t="str">
        <f t="shared" si="191"/>
        <v/>
      </c>
      <c r="P740" s="165" t="str">
        <f t="shared" si="192"/>
        <v/>
      </c>
      <c r="Q740" s="207"/>
      <c r="R740" s="141" t="str">
        <f>IF(S740="IN",'BOM_Phan II'!$Y$3,"")</f>
        <v/>
      </c>
      <c r="S740" s="153" t="str">
        <f t="shared" si="193"/>
        <v/>
      </c>
      <c r="T740">
        <f t="shared" si="194"/>
        <v>6</v>
      </c>
      <c r="U740" s="208" t="str">
        <f t="shared" si="202"/>
        <v>KIỆN 9</v>
      </c>
      <c r="V740" s="208" t="str">
        <f t="shared" si="195"/>
        <v/>
      </c>
      <c r="W740" s="240"/>
      <c r="X740" s="240"/>
      <c r="Y740" s="240" t="str">
        <f t="shared" si="196"/>
        <v/>
      </c>
      <c r="Z740" s="240"/>
      <c r="AD740" s="232" t="str">
        <f t="shared" si="197"/>
        <v/>
      </c>
      <c r="AE740" s="204"/>
      <c r="AX740" s="3" t="str">
        <f t="shared" si="187"/>
        <v/>
      </c>
    </row>
    <row r="741" spans="1:50" s="155" customFormat="1" ht="30" hidden="1" customHeight="1">
      <c r="A741" s="141" t="str">
        <f t="shared" si="198"/>
        <v/>
      </c>
      <c r="B741" s="141" t="str">
        <f t="shared" si="199"/>
        <v/>
      </c>
      <c r="C741" s="205" t="str" cm="1">
        <f t="array" ref="C741">IF(D741="","",
    IF(AND(ISNUMBER(D741), D741=INT(D741)),
        $V$6 &amp; " " &amp; (IFERROR(MAX($Y$12:$Y740), 0) + 1),
        IF(ISNUMBER(SEARCH(".", D741)), "", INDEX($C$12:$C741, MATCH(2, 1/($C$12:$C741 &lt;&gt; ""))))
    )
)</f>
        <v/>
      </c>
      <c r="D741" s="206"/>
      <c r="E741" s="206" t="str">
        <f>IF(AA741 = "", "",
    IF(ISNUMBER(SEARCH("Kiện", C741)),
       " GÓI " &amp; COUNTIF($C$13:C741, "*Kiện*") &amp; "/" &amp; COUNTIF($C$13:$C$1000, "*Kiện*") &amp; " " &amp; AA741,
       AA741)
)</f>
        <v/>
      </c>
      <c r="F741" s="206"/>
      <c r="G741" s="206"/>
      <c r="H741" s="206"/>
      <c r="I741" s="206"/>
      <c r="J741" s="206" t="str">
        <f t="shared" si="200"/>
        <v/>
      </c>
      <c r="K741" s="206" t="str">
        <f t="shared" si="188"/>
        <v/>
      </c>
      <c r="L741" s="206" t="str">
        <f t="shared" si="189"/>
        <v/>
      </c>
      <c r="M741" s="206" t="str">
        <f t="shared" si="190"/>
        <v/>
      </c>
      <c r="N741" s="206" t="str">
        <f t="shared" si="201"/>
        <v/>
      </c>
      <c r="O741" s="206" t="str">
        <f t="shared" si="191"/>
        <v/>
      </c>
      <c r="P741" s="165" t="str">
        <f t="shared" si="192"/>
        <v/>
      </c>
      <c r="Q741" s="207"/>
      <c r="R741" s="141" t="str">
        <f>IF(S741="IN",'BOM_Phan II'!$Y$3,"")</f>
        <v/>
      </c>
      <c r="S741" s="153" t="str">
        <f t="shared" si="193"/>
        <v/>
      </c>
      <c r="T741">
        <f t="shared" si="194"/>
        <v>6</v>
      </c>
      <c r="U741" s="208" t="str">
        <f t="shared" si="202"/>
        <v>KIỆN 9</v>
      </c>
      <c r="V741" s="208" t="str">
        <f t="shared" si="195"/>
        <v/>
      </c>
      <c r="W741" s="240"/>
      <c r="X741" s="240"/>
      <c r="Y741" s="240" t="str">
        <f t="shared" si="196"/>
        <v/>
      </c>
      <c r="Z741" s="240"/>
      <c r="AD741" s="232" t="str">
        <f t="shared" si="197"/>
        <v/>
      </c>
      <c r="AE741" s="204"/>
      <c r="AX741" s="3" t="str">
        <f t="shared" si="187"/>
        <v/>
      </c>
    </row>
    <row r="742" spans="1:50" s="155" customFormat="1" ht="30" hidden="1" customHeight="1">
      <c r="A742" s="141" t="str">
        <f t="shared" si="198"/>
        <v/>
      </c>
      <c r="B742" s="141" t="str">
        <f t="shared" si="199"/>
        <v/>
      </c>
      <c r="C742" s="205" t="str" cm="1">
        <f t="array" ref="C742">IF(D742="","",
    IF(AND(ISNUMBER(D742), D742=INT(D742)),
        $V$6 &amp; " " &amp; (IFERROR(MAX($Y$12:$Y741), 0) + 1),
        IF(ISNUMBER(SEARCH(".", D742)), "", INDEX($C$12:$C742, MATCH(2, 1/($C$12:$C742 &lt;&gt; ""))))
    )
)</f>
        <v/>
      </c>
      <c r="D742" s="206"/>
      <c r="E742" s="206" t="str">
        <f>IF(AA742 = "", "",
    IF(ISNUMBER(SEARCH("Kiện", C742)),
       " GÓI " &amp; COUNTIF($C$13:C742, "*Kiện*") &amp; "/" &amp; COUNTIF($C$13:$C$1000, "*Kiện*") &amp; " " &amp; AA742,
       AA742)
)</f>
        <v/>
      </c>
      <c r="F742" s="206"/>
      <c r="G742" s="206"/>
      <c r="H742" s="206"/>
      <c r="I742" s="206"/>
      <c r="J742" s="206" t="str">
        <f t="shared" si="200"/>
        <v/>
      </c>
      <c r="K742" s="206" t="str">
        <f t="shared" si="188"/>
        <v/>
      </c>
      <c r="L742" s="206" t="str">
        <f t="shared" si="189"/>
        <v/>
      </c>
      <c r="M742" s="206" t="str">
        <f t="shared" si="190"/>
        <v/>
      </c>
      <c r="N742" s="206" t="str">
        <f t="shared" si="201"/>
        <v/>
      </c>
      <c r="O742" s="206" t="str">
        <f t="shared" si="191"/>
        <v/>
      </c>
      <c r="P742" s="165" t="str">
        <f t="shared" si="192"/>
        <v/>
      </c>
      <c r="Q742" s="207"/>
      <c r="R742" s="141" t="str">
        <f>IF(S742="IN",'BOM_Phan II'!$Y$3,"")</f>
        <v/>
      </c>
      <c r="S742" s="153" t="str">
        <f t="shared" si="193"/>
        <v/>
      </c>
      <c r="T742">
        <f t="shared" si="194"/>
        <v>6</v>
      </c>
      <c r="U742" s="208" t="str">
        <f t="shared" si="202"/>
        <v>KIỆN 9</v>
      </c>
      <c r="V742" s="208" t="str">
        <f t="shared" si="195"/>
        <v/>
      </c>
      <c r="W742" s="240"/>
      <c r="X742" s="240"/>
      <c r="Y742" s="240" t="str">
        <f t="shared" si="196"/>
        <v/>
      </c>
      <c r="Z742" s="240"/>
      <c r="AD742" s="232" t="str">
        <f t="shared" si="197"/>
        <v/>
      </c>
      <c r="AE742" s="204"/>
      <c r="AX742" s="3" t="str">
        <f t="shared" si="187"/>
        <v/>
      </c>
    </row>
    <row r="743" spans="1:50" s="155" customFormat="1" ht="30" hidden="1" customHeight="1">
      <c r="A743" s="141" t="str">
        <f t="shared" si="198"/>
        <v/>
      </c>
      <c r="B743" s="141" t="str">
        <f t="shared" si="199"/>
        <v/>
      </c>
      <c r="C743" s="205" t="str" cm="1">
        <f t="array" ref="C743">IF(D743="","",
    IF(AND(ISNUMBER(D743), D743=INT(D743)),
        $V$6 &amp; " " &amp; (IFERROR(MAX($Y$12:$Y742), 0) + 1),
        IF(ISNUMBER(SEARCH(".", D743)), "", INDEX($C$12:$C743, MATCH(2, 1/($C$12:$C743 &lt;&gt; ""))))
    )
)</f>
        <v/>
      </c>
      <c r="D743" s="206"/>
      <c r="E743" s="206" t="str">
        <f>IF(AA743 = "", "",
    IF(ISNUMBER(SEARCH("Kiện", C743)),
       " GÓI " &amp; COUNTIF($C$13:C743, "*Kiện*") &amp; "/" &amp; COUNTIF($C$13:$C$1000, "*Kiện*") &amp; " " &amp; AA743,
       AA743)
)</f>
        <v/>
      </c>
      <c r="F743" s="206"/>
      <c r="G743" s="206"/>
      <c r="H743" s="206"/>
      <c r="I743" s="206"/>
      <c r="J743" s="206" t="str">
        <f t="shared" si="200"/>
        <v/>
      </c>
      <c r="K743" s="206" t="str">
        <f t="shared" si="188"/>
        <v/>
      </c>
      <c r="L743" s="206" t="str">
        <f t="shared" si="189"/>
        <v/>
      </c>
      <c r="M743" s="206" t="str">
        <f t="shared" si="190"/>
        <v/>
      </c>
      <c r="N743" s="206" t="str">
        <f t="shared" si="201"/>
        <v/>
      </c>
      <c r="O743" s="206" t="str">
        <f t="shared" si="191"/>
        <v/>
      </c>
      <c r="P743" s="165" t="str">
        <f t="shared" si="192"/>
        <v/>
      </c>
      <c r="Q743" s="207"/>
      <c r="R743" s="141" t="str">
        <f>IF(S743="IN",'BOM_Phan II'!$Y$3,"")</f>
        <v/>
      </c>
      <c r="S743" s="153" t="str">
        <f t="shared" si="193"/>
        <v/>
      </c>
      <c r="T743">
        <f t="shared" si="194"/>
        <v>6</v>
      </c>
      <c r="U743" s="208" t="str">
        <f t="shared" si="202"/>
        <v>KIỆN 9</v>
      </c>
      <c r="V743" s="208" t="str">
        <f t="shared" si="195"/>
        <v/>
      </c>
      <c r="W743" s="240"/>
      <c r="X743" s="240"/>
      <c r="Y743" s="240" t="str">
        <f t="shared" si="196"/>
        <v/>
      </c>
      <c r="Z743" s="240"/>
      <c r="AD743" s="232" t="str">
        <f t="shared" si="197"/>
        <v/>
      </c>
      <c r="AE743" s="204"/>
      <c r="AX743" s="3" t="str">
        <f t="shared" si="187"/>
        <v/>
      </c>
    </row>
    <row r="744" spans="1:50" s="155" customFormat="1" ht="30" hidden="1" customHeight="1">
      <c r="A744" s="141" t="str">
        <f t="shared" si="198"/>
        <v/>
      </c>
      <c r="B744" s="141" t="str">
        <f t="shared" si="199"/>
        <v/>
      </c>
      <c r="C744" s="205" t="str" cm="1">
        <f t="array" ref="C744">IF(D744="","",
    IF(AND(ISNUMBER(D744), D744=INT(D744)),
        $V$6 &amp; " " &amp; (IFERROR(MAX($Y$12:$Y743), 0) + 1),
        IF(ISNUMBER(SEARCH(".", D744)), "", INDEX($C$12:$C744, MATCH(2, 1/($C$12:$C744 &lt;&gt; ""))))
    )
)</f>
        <v/>
      </c>
      <c r="D744" s="206"/>
      <c r="E744" s="206" t="str">
        <f>IF(AA744 = "", "",
    IF(ISNUMBER(SEARCH("Kiện", C744)),
       " GÓI " &amp; COUNTIF($C$13:C744, "*Kiện*") &amp; "/" &amp; COUNTIF($C$13:$C$1000, "*Kiện*") &amp; " " &amp; AA744,
       AA744)
)</f>
        <v/>
      </c>
      <c r="F744" s="206"/>
      <c r="G744" s="206"/>
      <c r="H744" s="206"/>
      <c r="I744" s="206"/>
      <c r="J744" s="206" t="str">
        <f t="shared" si="200"/>
        <v/>
      </c>
      <c r="K744" s="206" t="str">
        <f t="shared" si="188"/>
        <v/>
      </c>
      <c r="L744" s="206" t="str">
        <f t="shared" si="189"/>
        <v/>
      </c>
      <c r="M744" s="206" t="str">
        <f t="shared" si="190"/>
        <v/>
      </c>
      <c r="N744" s="206" t="str">
        <f t="shared" si="201"/>
        <v/>
      </c>
      <c r="O744" s="206" t="str">
        <f t="shared" si="191"/>
        <v/>
      </c>
      <c r="P744" s="165" t="str">
        <f t="shared" si="192"/>
        <v/>
      </c>
      <c r="Q744" s="207"/>
      <c r="R744" s="141" t="str">
        <f>IF(S744="IN",'BOM_Phan II'!$Y$3,"")</f>
        <v/>
      </c>
      <c r="S744" s="153" t="str">
        <f t="shared" si="193"/>
        <v/>
      </c>
      <c r="T744">
        <f t="shared" si="194"/>
        <v>6</v>
      </c>
      <c r="U744" s="208" t="str">
        <f t="shared" si="202"/>
        <v>KIỆN 9</v>
      </c>
      <c r="V744" s="208" t="str">
        <f t="shared" si="195"/>
        <v/>
      </c>
      <c r="W744" s="240"/>
      <c r="X744" s="240"/>
      <c r="Y744" s="240" t="str">
        <f t="shared" si="196"/>
        <v/>
      </c>
      <c r="Z744" s="240"/>
      <c r="AD744" s="232" t="str">
        <f t="shared" si="197"/>
        <v/>
      </c>
      <c r="AE744" s="204"/>
      <c r="AX744" s="3" t="str">
        <f t="shared" si="187"/>
        <v/>
      </c>
    </row>
    <row r="745" spans="1:50" s="155" customFormat="1" ht="30" hidden="1" customHeight="1">
      <c r="A745" s="141" t="str">
        <f t="shared" si="198"/>
        <v/>
      </c>
      <c r="B745" s="141" t="str">
        <f t="shared" si="199"/>
        <v/>
      </c>
      <c r="C745" s="205" t="str" cm="1">
        <f t="array" ref="C745">IF(D745="","",
    IF(AND(ISNUMBER(D745), D745=INT(D745)),
        $V$6 &amp; " " &amp; (IFERROR(MAX($Y$12:$Y744), 0) + 1),
        IF(ISNUMBER(SEARCH(".", D745)), "", INDEX($C$12:$C745, MATCH(2, 1/($C$12:$C745 &lt;&gt; ""))))
    )
)</f>
        <v/>
      </c>
      <c r="D745" s="206"/>
      <c r="E745" s="206" t="str">
        <f>IF(AA745 = "", "",
    IF(ISNUMBER(SEARCH("Kiện", C745)),
       " GÓI " &amp; COUNTIF($C$13:C745, "*Kiện*") &amp; "/" &amp; COUNTIF($C$13:$C$1000, "*Kiện*") &amp; " " &amp; AA745,
       AA745)
)</f>
        <v/>
      </c>
      <c r="F745" s="206"/>
      <c r="G745" s="206"/>
      <c r="H745" s="206"/>
      <c r="I745" s="206"/>
      <c r="J745" s="206" t="str">
        <f t="shared" si="200"/>
        <v/>
      </c>
      <c r="K745" s="206" t="str">
        <f t="shared" si="188"/>
        <v/>
      </c>
      <c r="L745" s="206" t="str">
        <f t="shared" si="189"/>
        <v/>
      </c>
      <c r="M745" s="206" t="str">
        <f t="shared" si="190"/>
        <v/>
      </c>
      <c r="N745" s="206" t="str">
        <f t="shared" si="201"/>
        <v/>
      </c>
      <c r="O745" s="206" t="str">
        <f t="shared" si="191"/>
        <v/>
      </c>
      <c r="P745" s="165" t="str">
        <f t="shared" si="192"/>
        <v/>
      </c>
      <c r="Q745" s="207"/>
      <c r="R745" s="141" t="str">
        <f>IF(S745="IN",'BOM_Phan II'!$Y$3,"")</f>
        <v/>
      </c>
      <c r="S745" s="153" t="str">
        <f t="shared" si="193"/>
        <v/>
      </c>
      <c r="T745">
        <f t="shared" si="194"/>
        <v>6</v>
      </c>
      <c r="U745" s="208" t="str">
        <f t="shared" si="202"/>
        <v>KIỆN 9</v>
      </c>
      <c r="V745" s="208" t="str">
        <f t="shared" si="195"/>
        <v/>
      </c>
      <c r="W745" s="240"/>
      <c r="X745" s="240"/>
      <c r="Y745" s="240" t="str">
        <f t="shared" si="196"/>
        <v/>
      </c>
      <c r="Z745" s="240"/>
      <c r="AD745" s="232" t="str">
        <f t="shared" si="197"/>
        <v/>
      </c>
      <c r="AE745" s="204"/>
      <c r="AX745" s="3" t="str">
        <f t="shared" si="187"/>
        <v/>
      </c>
    </row>
    <row r="746" spans="1:50" s="155" customFormat="1" ht="30" hidden="1" customHeight="1">
      <c r="A746" s="141" t="str">
        <f t="shared" si="198"/>
        <v/>
      </c>
      <c r="B746" s="141" t="str">
        <f t="shared" si="199"/>
        <v/>
      </c>
      <c r="C746" s="205" t="str" cm="1">
        <f t="array" ref="C746">IF(D746="","",
    IF(AND(ISNUMBER(D746), D746=INT(D746)),
        $V$6 &amp; " " &amp; (IFERROR(MAX($Y$12:$Y745), 0) + 1),
        IF(ISNUMBER(SEARCH(".", D746)), "", INDEX($C$12:$C746, MATCH(2, 1/($C$12:$C746 &lt;&gt; ""))))
    )
)</f>
        <v/>
      </c>
      <c r="D746" s="206"/>
      <c r="E746" s="206" t="str">
        <f>IF(AA746 = "", "",
    IF(ISNUMBER(SEARCH("Kiện", C746)),
       " GÓI " &amp; COUNTIF($C$13:C746, "*Kiện*") &amp; "/" &amp; COUNTIF($C$13:$C$1000, "*Kiện*") &amp; " " &amp; AA746,
       AA746)
)</f>
        <v/>
      </c>
      <c r="F746" s="206"/>
      <c r="G746" s="206"/>
      <c r="H746" s="206"/>
      <c r="I746" s="206"/>
      <c r="J746" s="206" t="str">
        <f t="shared" si="200"/>
        <v/>
      </c>
      <c r="K746" s="206" t="str">
        <f t="shared" si="188"/>
        <v/>
      </c>
      <c r="L746" s="206" t="str">
        <f t="shared" si="189"/>
        <v/>
      </c>
      <c r="M746" s="206" t="str">
        <f t="shared" si="190"/>
        <v/>
      </c>
      <c r="N746" s="206" t="str">
        <f t="shared" si="201"/>
        <v/>
      </c>
      <c r="O746" s="206" t="str">
        <f t="shared" si="191"/>
        <v/>
      </c>
      <c r="P746" s="165" t="str">
        <f t="shared" si="192"/>
        <v/>
      </c>
      <c r="Q746" s="207"/>
      <c r="R746" s="141" t="str">
        <f>IF(S746="IN",'BOM_Phan II'!$Y$3,"")</f>
        <v/>
      </c>
      <c r="S746" s="153" t="str">
        <f t="shared" si="193"/>
        <v/>
      </c>
      <c r="T746">
        <f t="shared" si="194"/>
        <v>6</v>
      </c>
      <c r="U746" s="208" t="str">
        <f t="shared" si="202"/>
        <v>KIỆN 9</v>
      </c>
      <c r="V746" s="208" t="str">
        <f t="shared" si="195"/>
        <v/>
      </c>
      <c r="W746" s="240"/>
      <c r="X746" s="240"/>
      <c r="Y746" s="240" t="str">
        <f t="shared" si="196"/>
        <v/>
      </c>
      <c r="Z746" s="240"/>
      <c r="AD746" s="232" t="str">
        <f t="shared" si="197"/>
        <v/>
      </c>
      <c r="AE746" s="204"/>
      <c r="AX746" s="3" t="str">
        <f t="shared" si="187"/>
        <v/>
      </c>
    </row>
    <row r="747" spans="1:50" s="155" customFormat="1" ht="30" hidden="1" customHeight="1">
      <c r="A747" s="141" t="str">
        <f t="shared" si="198"/>
        <v/>
      </c>
      <c r="B747" s="141" t="str">
        <f t="shared" si="199"/>
        <v/>
      </c>
      <c r="C747" s="205" t="str" cm="1">
        <f t="array" ref="C747">IF(D747="","",
    IF(AND(ISNUMBER(D747), D747=INT(D747)),
        $V$6 &amp; " " &amp; (IFERROR(MAX($Y$12:$Y746), 0) + 1),
        IF(ISNUMBER(SEARCH(".", D747)), "", INDEX($C$12:$C747, MATCH(2, 1/($C$12:$C747 &lt;&gt; ""))))
    )
)</f>
        <v/>
      </c>
      <c r="D747" s="206"/>
      <c r="E747" s="206" t="str">
        <f>IF(AA747 = "", "",
    IF(ISNUMBER(SEARCH("Kiện", C747)),
       " GÓI " &amp; COUNTIF($C$13:C747, "*Kiện*") &amp; "/" &amp; COUNTIF($C$13:$C$1000, "*Kiện*") &amp; " " &amp; AA747,
       AA747)
)</f>
        <v/>
      </c>
      <c r="F747" s="206"/>
      <c r="G747" s="206"/>
      <c r="H747" s="206"/>
      <c r="I747" s="206"/>
      <c r="J747" s="206" t="str">
        <f t="shared" si="200"/>
        <v/>
      </c>
      <c r="K747" s="206" t="str">
        <f t="shared" si="188"/>
        <v/>
      </c>
      <c r="L747" s="206" t="str">
        <f t="shared" si="189"/>
        <v/>
      </c>
      <c r="M747" s="206" t="str">
        <f t="shared" si="190"/>
        <v/>
      </c>
      <c r="N747" s="206" t="str">
        <f t="shared" si="201"/>
        <v/>
      </c>
      <c r="O747" s="206" t="str">
        <f t="shared" si="191"/>
        <v/>
      </c>
      <c r="P747" s="165" t="str">
        <f t="shared" si="192"/>
        <v/>
      </c>
      <c r="Q747" s="207"/>
      <c r="R747" s="141" t="str">
        <f>IF(S747="IN",'BOM_Phan II'!$Y$3,"")</f>
        <v/>
      </c>
      <c r="S747" s="153" t="str">
        <f t="shared" si="193"/>
        <v/>
      </c>
      <c r="T747">
        <f t="shared" si="194"/>
        <v>6</v>
      </c>
      <c r="U747" s="208" t="str">
        <f t="shared" si="202"/>
        <v>KIỆN 9</v>
      </c>
      <c r="V747" s="208" t="str">
        <f t="shared" si="195"/>
        <v/>
      </c>
      <c r="W747" s="240"/>
      <c r="X747" s="240"/>
      <c r="Y747" s="240" t="str">
        <f t="shared" si="196"/>
        <v/>
      </c>
      <c r="Z747" s="240"/>
      <c r="AD747" s="232" t="str">
        <f t="shared" si="197"/>
        <v/>
      </c>
      <c r="AE747" s="204"/>
      <c r="AX747" s="3" t="str">
        <f t="shared" si="187"/>
        <v/>
      </c>
    </row>
    <row r="748" spans="1:50" s="155" customFormat="1" ht="30" hidden="1" customHeight="1">
      <c r="A748" s="141" t="str">
        <f t="shared" si="198"/>
        <v/>
      </c>
      <c r="B748" s="141" t="str">
        <f t="shared" si="199"/>
        <v/>
      </c>
      <c r="C748" s="205" t="str" cm="1">
        <f t="array" ref="C748">IF(D748="","",
    IF(AND(ISNUMBER(D748), D748=INT(D748)),
        $V$6 &amp; " " &amp; (IFERROR(MAX($Y$12:$Y747), 0) + 1),
        IF(ISNUMBER(SEARCH(".", D748)), "", INDEX($C$12:$C748, MATCH(2, 1/($C$12:$C748 &lt;&gt; ""))))
    )
)</f>
        <v/>
      </c>
      <c r="D748" s="206"/>
      <c r="E748" s="206" t="str">
        <f>IF(AA748 = "", "",
    IF(ISNUMBER(SEARCH("Kiện", C748)),
       " GÓI " &amp; COUNTIF($C$13:C748, "*Kiện*") &amp; "/" &amp; COUNTIF($C$13:$C$1000, "*Kiện*") &amp; " " &amp; AA748,
       AA748)
)</f>
        <v/>
      </c>
      <c r="F748" s="206"/>
      <c r="G748" s="206"/>
      <c r="H748" s="206"/>
      <c r="I748" s="206"/>
      <c r="J748" s="206" t="str">
        <f t="shared" si="200"/>
        <v/>
      </c>
      <c r="K748" s="206" t="str">
        <f t="shared" si="188"/>
        <v/>
      </c>
      <c r="L748" s="206" t="str">
        <f t="shared" si="189"/>
        <v/>
      </c>
      <c r="M748" s="206" t="str">
        <f t="shared" si="190"/>
        <v/>
      </c>
      <c r="N748" s="206" t="str">
        <f t="shared" si="201"/>
        <v/>
      </c>
      <c r="O748" s="206" t="str">
        <f t="shared" si="191"/>
        <v/>
      </c>
      <c r="P748" s="165" t="str">
        <f t="shared" si="192"/>
        <v/>
      </c>
      <c r="Q748" s="207"/>
      <c r="R748" s="141" t="str">
        <f>IF(S748="IN",'BOM_Phan II'!$Y$3,"")</f>
        <v/>
      </c>
      <c r="S748" s="153" t="str">
        <f t="shared" si="193"/>
        <v/>
      </c>
      <c r="T748">
        <f t="shared" si="194"/>
        <v>6</v>
      </c>
      <c r="U748" s="208" t="str">
        <f t="shared" si="202"/>
        <v>KIỆN 9</v>
      </c>
      <c r="V748" s="208" t="str">
        <f t="shared" si="195"/>
        <v/>
      </c>
      <c r="W748" s="240"/>
      <c r="X748" s="240"/>
      <c r="Y748" s="240" t="str">
        <f t="shared" si="196"/>
        <v/>
      </c>
      <c r="Z748" s="240"/>
      <c r="AD748" s="232" t="str">
        <f t="shared" si="197"/>
        <v/>
      </c>
      <c r="AE748" s="204"/>
      <c r="AX748" s="3" t="str">
        <f t="shared" si="187"/>
        <v/>
      </c>
    </row>
    <row r="749" spans="1:50" s="155" customFormat="1" ht="30" hidden="1" customHeight="1">
      <c r="A749" s="141" t="str">
        <f t="shared" si="198"/>
        <v/>
      </c>
      <c r="B749" s="141" t="str">
        <f t="shared" si="199"/>
        <v/>
      </c>
      <c r="C749" s="205" t="str" cm="1">
        <f t="array" ref="C749">IF(D749="","",
    IF(AND(ISNUMBER(D749), D749=INT(D749)),
        $V$6 &amp; " " &amp; (IFERROR(MAX($Y$12:$Y748), 0) + 1),
        IF(ISNUMBER(SEARCH(".", D749)), "", INDEX($C$12:$C749, MATCH(2, 1/($C$12:$C749 &lt;&gt; ""))))
    )
)</f>
        <v/>
      </c>
      <c r="D749" s="206"/>
      <c r="E749" s="206" t="str">
        <f>IF(AA749 = "", "",
    IF(ISNUMBER(SEARCH("Kiện", C749)),
       " GÓI " &amp; COUNTIF($C$13:C749, "*Kiện*") &amp; "/" &amp; COUNTIF($C$13:$C$1000, "*Kiện*") &amp; " " &amp; AA749,
       AA749)
)</f>
        <v/>
      </c>
      <c r="F749" s="206"/>
      <c r="G749" s="206"/>
      <c r="H749" s="206"/>
      <c r="I749" s="206"/>
      <c r="J749" s="206" t="str">
        <f t="shared" si="200"/>
        <v/>
      </c>
      <c r="K749" s="206" t="str">
        <f t="shared" si="188"/>
        <v/>
      </c>
      <c r="L749" s="206" t="str">
        <f t="shared" si="189"/>
        <v/>
      </c>
      <c r="M749" s="206" t="str">
        <f t="shared" si="190"/>
        <v/>
      </c>
      <c r="N749" s="206" t="str">
        <f t="shared" si="201"/>
        <v/>
      </c>
      <c r="O749" s="206" t="str">
        <f t="shared" si="191"/>
        <v/>
      </c>
      <c r="P749" s="165" t="str">
        <f t="shared" si="192"/>
        <v/>
      </c>
      <c r="Q749" s="207"/>
      <c r="R749" s="141" t="str">
        <f>IF(S749="IN",'BOM_Phan II'!$Y$3,"")</f>
        <v/>
      </c>
      <c r="S749" s="153" t="str">
        <f t="shared" si="193"/>
        <v/>
      </c>
      <c r="T749">
        <f t="shared" si="194"/>
        <v>6</v>
      </c>
      <c r="U749" s="208" t="str">
        <f t="shared" si="202"/>
        <v>KIỆN 9</v>
      </c>
      <c r="V749" s="208" t="str">
        <f t="shared" si="195"/>
        <v/>
      </c>
      <c r="W749" s="240"/>
      <c r="X749" s="240"/>
      <c r="Y749" s="240" t="str">
        <f t="shared" si="196"/>
        <v/>
      </c>
      <c r="Z749" s="240"/>
      <c r="AD749" s="232" t="str">
        <f t="shared" si="197"/>
        <v/>
      </c>
      <c r="AE749" s="204"/>
      <c r="AX749" s="3" t="str">
        <f t="shared" si="187"/>
        <v/>
      </c>
    </row>
    <row r="750" spans="1:50" s="155" customFormat="1" ht="30" hidden="1" customHeight="1">
      <c r="A750" s="141" t="str">
        <f t="shared" si="198"/>
        <v/>
      </c>
      <c r="B750" s="141" t="str">
        <f t="shared" si="199"/>
        <v/>
      </c>
      <c r="C750" s="205" t="str" cm="1">
        <f t="array" ref="C750">IF(D750="","",
    IF(AND(ISNUMBER(D750), D750=INT(D750)),
        $V$6 &amp; " " &amp; (IFERROR(MAX($Y$12:$Y749), 0) + 1),
        IF(ISNUMBER(SEARCH(".", D750)), "", INDEX($C$12:$C750, MATCH(2, 1/($C$12:$C750 &lt;&gt; ""))))
    )
)</f>
        <v/>
      </c>
      <c r="D750" s="206"/>
      <c r="E750" s="206" t="str">
        <f>IF(AA750 = "", "",
    IF(ISNUMBER(SEARCH("Kiện", C750)),
       " GÓI " &amp; COUNTIF($C$13:C750, "*Kiện*") &amp; "/" &amp; COUNTIF($C$13:$C$1000, "*Kiện*") &amp; " " &amp; AA750,
       AA750)
)</f>
        <v/>
      </c>
      <c r="F750" s="206"/>
      <c r="G750" s="206"/>
      <c r="H750" s="206"/>
      <c r="I750" s="206"/>
      <c r="J750" s="206" t="str">
        <f t="shared" si="200"/>
        <v/>
      </c>
      <c r="K750" s="206" t="str">
        <f t="shared" si="188"/>
        <v/>
      </c>
      <c r="L750" s="206" t="str">
        <f t="shared" si="189"/>
        <v/>
      </c>
      <c r="M750" s="206" t="str">
        <f t="shared" si="190"/>
        <v/>
      </c>
      <c r="N750" s="206" t="str">
        <f t="shared" si="201"/>
        <v/>
      </c>
      <c r="O750" s="206" t="str">
        <f t="shared" si="191"/>
        <v/>
      </c>
      <c r="P750" s="165" t="str">
        <f t="shared" si="192"/>
        <v/>
      </c>
      <c r="Q750" s="207"/>
      <c r="R750" s="141" t="str">
        <f>IF(S750="IN",'BOM_Phan II'!$Y$3,"")</f>
        <v/>
      </c>
      <c r="S750" s="153" t="str">
        <f t="shared" si="193"/>
        <v/>
      </c>
      <c r="T750">
        <f t="shared" si="194"/>
        <v>6</v>
      </c>
      <c r="U750" s="208" t="str">
        <f t="shared" si="202"/>
        <v>KIỆN 9</v>
      </c>
      <c r="V750" s="208" t="str">
        <f t="shared" si="195"/>
        <v/>
      </c>
      <c r="W750" s="240"/>
      <c r="X750" s="240"/>
      <c r="Y750" s="240" t="str">
        <f t="shared" si="196"/>
        <v/>
      </c>
      <c r="Z750" s="240"/>
      <c r="AD750" s="232" t="str">
        <f t="shared" si="197"/>
        <v/>
      </c>
      <c r="AE750" s="204"/>
      <c r="AX750" s="3" t="str">
        <f t="shared" si="187"/>
        <v/>
      </c>
    </row>
    <row r="751" spans="1:50" s="155" customFormat="1" ht="30" hidden="1" customHeight="1">
      <c r="A751" s="141" t="str">
        <f t="shared" si="198"/>
        <v/>
      </c>
      <c r="B751" s="141" t="str">
        <f t="shared" si="199"/>
        <v/>
      </c>
      <c r="C751" s="205" t="str" cm="1">
        <f t="array" ref="C751">IF(D751="","",
    IF(AND(ISNUMBER(D751), D751=INT(D751)),
        $V$6 &amp; " " &amp; (IFERROR(MAX($Y$12:$Y750), 0) + 1),
        IF(ISNUMBER(SEARCH(".", D751)), "", INDEX($C$12:$C751, MATCH(2, 1/($C$12:$C751 &lt;&gt; ""))))
    )
)</f>
        <v/>
      </c>
      <c r="D751" s="206"/>
      <c r="E751" s="206" t="str">
        <f>IF(AA751 = "", "",
    IF(ISNUMBER(SEARCH("Kiện", C751)),
       " GÓI " &amp; COUNTIF($C$13:C751, "*Kiện*") &amp; "/" &amp; COUNTIF($C$13:$C$1000, "*Kiện*") &amp; " " &amp; AA751,
       AA751)
)</f>
        <v/>
      </c>
      <c r="F751" s="206"/>
      <c r="G751" s="206"/>
      <c r="H751" s="206"/>
      <c r="I751" s="206"/>
      <c r="J751" s="206" t="str">
        <f t="shared" si="200"/>
        <v/>
      </c>
      <c r="K751" s="206" t="str">
        <f t="shared" si="188"/>
        <v/>
      </c>
      <c r="L751" s="206" t="str">
        <f t="shared" si="189"/>
        <v/>
      </c>
      <c r="M751" s="206" t="str">
        <f t="shared" si="190"/>
        <v/>
      </c>
      <c r="N751" s="206" t="str">
        <f t="shared" si="201"/>
        <v/>
      </c>
      <c r="O751" s="206" t="str">
        <f t="shared" si="191"/>
        <v/>
      </c>
      <c r="P751" s="165" t="str">
        <f t="shared" si="192"/>
        <v/>
      </c>
      <c r="Q751" s="207"/>
      <c r="R751" s="141" t="str">
        <f>IF(S751="IN",'BOM_Phan II'!$Y$3,"")</f>
        <v/>
      </c>
      <c r="S751" s="153" t="str">
        <f t="shared" si="193"/>
        <v/>
      </c>
      <c r="T751">
        <f t="shared" si="194"/>
        <v>6</v>
      </c>
      <c r="U751" s="208" t="str">
        <f t="shared" si="202"/>
        <v>KIỆN 9</v>
      </c>
      <c r="V751" s="208" t="str">
        <f t="shared" si="195"/>
        <v/>
      </c>
      <c r="W751" s="240"/>
      <c r="X751" s="240"/>
      <c r="Y751" s="240" t="str">
        <f t="shared" si="196"/>
        <v/>
      </c>
      <c r="Z751" s="240"/>
      <c r="AD751" s="232" t="str">
        <f t="shared" si="197"/>
        <v/>
      </c>
      <c r="AE751" s="204"/>
      <c r="AX751" s="3" t="str">
        <f t="shared" si="187"/>
        <v/>
      </c>
    </row>
    <row r="752" spans="1:50" s="155" customFormat="1" ht="30" hidden="1" customHeight="1">
      <c r="A752" s="141" t="str">
        <f t="shared" si="198"/>
        <v/>
      </c>
      <c r="B752" s="141" t="str">
        <f t="shared" si="199"/>
        <v/>
      </c>
      <c r="C752" s="205" t="str" cm="1">
        <f t="array" ref="C752">IF(D752="","",
    IF(AND(ISNUMBER(D752), D752=INT(D752)),
        $V$6 &amp; " " &amp; (IFERROR(MAX($Y$12:$Y751), 0) + 1),
        IF(ISNUMBER(SEARCH(".", D752)), "", INDEX($C$12:$C752, MATCH(2, 1/($C$12:$C752 &lt;&gt; ""))))
    )
)</f>
        <v/>
      </c>
      <c r="D752" s="206"/>
      <c r="E752" s="206" t="str">
        <f>IF(AA752 = "", "",
    IF(ISNUMBER(SEARCH("Kiện", C752)),
       " GÓI " &amp; COUNTIF($C$13:C752, "*Kiện*") &amp; "/" &amp; COUNTIF($C$13:$C$1000, "*Kiện*") &amp; " " &amp; AA752,
       AA752)
)</f>
        <v/>
      </c>
      <c r="F752" s="206"/>
      <c r="G752" s="206"/>
      <c r="H752" s="206"/>
      <c r="I752" s="206"/>
      <c r="J752" s="206" t="str">
        <f t="shared" si="200"/>
        <v/>
      </c>
      <c r="K752" s="206" t="str">
        <f t="shared" si="188"/>
        <v/>
      </c>
      <c r="L752" s="206" t="str">
        <f t="shared" si="189"/>
        <v/>
      </c>
      <c r="M752" s="206" t="str">
        <f t="shared" si="190"/>
        <v/>
      </c>
      <c r="N752" s="206" t="str">
        <f t="shared" si="201"/>
        <v/>
      </c>
      <c r="O752" s="206" t="str">
        <f t="shared" si="191"/>
        <v/>
      </c>
      <c r="P752" s="165" t="str">
        <f t="shared" si="192"/>
        <v/>
      </c>
      <c r="Q752" s="207"/>
      <c r="R752" s="141" t="str">
        <f>IF(S752="IN",'BOM_Phan II'!$Y$3,"")</f>
        <v/>
      </c>
      <c r="S752" s="153" t="str">
        <f t="shared" si="193"/>
        <v/>
      </c>
      <c r="T752">
        <f t="shared" si="194"/>
        <v>6</v>
      </c>
      <c r="U752" s="208" t="str">
        <f t="shared" si="202"/>
        <v>KIỆN 9</v>
      </c>
      <c r="V752" s="208" t="str">
        <f t="shared" si="195"/>
        <v/>
      </c>
      <c r="W752" s="240"/>
      <c r="X752" s="240"/>
      <c r="Y752" s="240" t="str">
        <f t="shared" si="196"/>
        <v/>
      </c>
      <c r="Z752" s="240"/>
      <c r="AD752" s="232" t="str">
        <f t="shared" si="197"/>
        <v/>
      </c>
      <c r="AE752" s="204"/>
      <c r="AX752" s="3" t="str">
        <f t="shared" si="187"/>
        <v/>
      </c>
    </row>
    <row r="753" spans="1:50" s="155" customFormat="1" ht="30" hidden="1" customHeight="1">
      <c r="A753" s="141" t="str">
        <f t="shared" si="198"/>
        <v/>
      </c>
      <c r="B753" s="141" t="str">
        <f t="shared" si="199"/>
        <v/>
      </c>
      <c r="C753" s="205" t="str" cm="1">
        <f t="array" ref="C753">IF(D753="","",
    IF(AND(ISNUMBER(D753), D753=INT(D753)),
        $V$6 &amp; " " &amp; (IFERROR(MAX($Y$12:$Y752), 0) + 1),
        IF(ISNUMBER(SEARCH(".", D753)), "", INDEX($C$12:$C753, MATCH(2, 1/($C$12:$C753 &lt;&gt; ""))))
    )
)</f>
        <v/>
      </c>
      <c r="D753" s="206"/>
      <c r="E753" s="206" t="str">
        <f>IF(AA753 = "", "",
    IF(ISNUMBER(SEARCH("Kiện", C753)),
       " GÓI " &amp; COUNTIF($C$13:C753, "*Kiện*") &amp; "/" &amp; COUNTIF($C$13:$C$1000, "*Kiện*") &amp; " " &amp; AA753,
       AA753)
)</f>
        <v/>
      </c>
      <c r="F753" s="206"/>
      <c r="G753" s="206"/>
      <c r="H753" s="206"/>
      <c r="I753" s="206"/>
      <c r="J753" s="206" t="str">
        <f t="shared" si="200"/>
        <v/>
      </c>
      <c r="K753" s="206" t="str">
        <f t="shared" si="188"/>
        <v/>
      </c>
      <c r="L753" s="206" t="str">
        <f t="shared" si="189"/>
        <v/>
      </c>
      <c r="M753" s="206" t="str">
        <f t="shared" si="190"/>
        <v/>
      </c>
      <c r="N753" s="206" t="str">
        <f t="shared" si="201"/>
        <v/>
      </c>
      <c r="O753" s="206" t="str">
        <f t="shared" si="191"/>
        <v/>
      </c>
      <c r="P753" s="165" t="str">
        <f t="shared" si="192"/>
        <v/>
      </c>
      <c r="Q753" s="207"/>
      <c r="R753" s="141" t="str">
        <f>IF(S753="IN",'BOM_Phan II'!$Y$3,"")</f>
        <v/>
      </c>
      <c r="S753" s="153" t="str">
        <f t="shared" si="193"/>
        <v/>
      </c>
      <c r="T753">
        <f t="shared" si="194"/>
        <v>6</v>
      </c>
      <c r="U753" s="208" t="str">
        <f t="shared" si="202"/>
        <v>KIỆN 9</v>
      </c>
      <c r="V753" s="208" t="str">
        <f t="shared" si="195"/>
        <v/>
      </c>
      <c r="W753" s="240"/>
      <c r="X753" s="240"/>
      <c r="Y753" s="240" t="str">
        <f t="shared" si="196"/>
        <v/>
      </c>
      <c r="Z753" s="240"/>
      <c r="AD753" s="232" t="str">
        <f t="shared" si="197"/>
        <v/>
      </c>
      <c r="AE753" s="204"/>
      <c r="AX753" s="3" t="str">
        <f t="shared" si="187"/>
        <v/>
      </c>
    </row>
    <row r="754" spans="1:50" s="155" customFormat="1" ht="30" hidden="1" customHeight="1">
      <c r="A754" s="141" t="str">
        <f t="shared" si="198"/>
        <v/>
      </c>
      <c r="B754" s="141" t="str">
        <f t="shared" si="199"/>
        <v/>
      </c>
      <c r="C754" s="205" t="str" cm="1">
        <f t="array" ref="C754">IF(D754="","",
    IF(AND(ISNUMBER(D754), D754=INT(D754)),
        $V$6 &amp; " " &amp; (IFERROR(MAX($Y$12:$Y753), 0) + 1),
        IF(ISNUMBER(SEARCH(".", D754)), "", INDEX($C$12:$C754, MATCH(2, 1/($C$12:$C754 &lt;&gt; ""))))
    )
)</f>
        <v/>
      </c>
      <c r="D754" s="206"/>
      <c r="E754" s="206" t="str">
        <f>IF(AA754 = "", "",
    IF(ISNUMBER(SEARCH("Kiện", C754)),
       " GÓI " &amp; COUNTIF($C$13:C754, "*Kiện*") &amp; "/" &amp; COUNTIF($C$13:$C$1000, "*Kiện*") &amp; " " &amp; AA754,
       AA754)
)</f>
        <v/>
      </c>
      <c r="F754" s="206"/>
      <c r="G754" s="206"/>
      <c r="H754" s="206"/>
      <c r="I754" s="206"/>
      <c r="J754" s="206" t="str">
        <f t="shared" si="200"/>
        <v/>
      </c>
      <c r="K754" s="206" t="str">
        <f t="shared" si="188"/>
        <v/>
      </c>
      <c r="L754" s="206" t="str">
        <f t="shared" si="189"/>
        <v/>
      </c>
      <c r="M754" s="206" t="str">
        <f t="shared" si="190"/>
        <v/>
      </c>
      <c r="N754" s="206" t="str">
        <f t="shared" si="201"/>
        <v/>
      </c>
      <c r="O754" s="206" t="str">
        <f t="shared" si="191"/>
        <v/>
      </c>
      <c r="P754" s="165" t="str">
        <f t="shared" si="192"/>
        <v/>
      </c>
      <c r="Q754" s="207"/>
      <c r="R754" s="141" t="str">
        <f>IF(S754="IN",'BOM_Phan II'!$Y$3,"")</f>
        <v/>
      </c>
      <c r="S754" s="153" t="str">
        <f t="shared" si="193"/>
        <v/>
      </c>
      <c r="T754">
        <f t="shared" si="194"/>
        <v>6</v>
      </c>
      <c r="U754" s="208" t="str">
        <f t="shared" si="202"/>
        <v>KIỆN 9</v>
      </c>
      <c r="V754" s="208" t="str">
        <f t="shared" si="195"/>
        <v/>
      </c>
      <c r="W754" s="240"/>
      <c r="X754" s="240"/>
      <c r="Y754" s="240" t="str">
        <f t="shared" si="196"/>
        <v/>
      </c>
      <c r="Z754" s="240"/>
      <c r="AD754" s="232" t="str">
        <f t="shared" si="197"/>
        <v/>
      </c>
      <c r="AE754" s="204"/>
      <c r="AX754" s="3" t="str">
        <f t="shared" si="187"/>
        <v/>
      </c>
    </row>
    <row r="755" spans="1:50" s="155" customFormat="1" ht="30" hidden="1" customHeight="1">
      <c r="A755" s="141" t="str">
        <f t="shared" si="198"/>
        <v/>
      </c>
      <c r="B755" s="141" t="str">
        <f t="shared" si="199"/>
        <v/>
      </c>
      <c r="C755" s="205" t="str" cm="1">
        <f t="array" ref="C755">IF(D755="","",
    IF(AND(ISNUMBER(D755), D755=INT(D755)),
        $V$6 &amp; " " &amp; (IFERROR(MAX($Y$12:$Y754), 0) + 1),
        IF(ISNUMBER(SEARCH(".", D755)), "", INDEX($C$12:$C755, MATCH(2, 1/($C$12:$C755 &lt;&gt; ""))))
    )
)</f>
        <v/>
      </c>
      <c r="D755" s="206"/>
      <c r="E755" s="206" t="str">
        <f>IF(AA755 = "", "",
    IF(ISNUMBER(SEARCH("Kiện", C755)),
       " GÓI " &amp; COUNTIF($C$13:C755, "*Kiện*") &amp; "/" &amp; COUNTIF($C$13:$C$1000, "*Kiện*") &amp; " " &amp; AA755,
       AA755)
)</f>
        <v/>
      </c>
      <c r="F755" s="206"/>
      <c r="G755" s="206"/>
      <c r="H755" s="206"/>
      <c r="I755" s="206"/>
      <c r="J755" s="206" t="str">
        <f t="shared" si="200"/>
        <v/>
      </c>
      <c r="K755" s="206" t="str">
        <f t="shared" si="188"/>
        <v/>
      </c>
      <c r="L755" s="206" t="str">
        <f t="shared" si="189"/>
        <v/>
      </c>
      <c r="M755" s="206" t="str">
        <f t="shared" si="190"/>
        <v/>
      </c>
      <c r="N755" s="206" t="str">
        <f t="shared" si="201"/>
        <v/>
      </c>
      <c r="O755" s="206" t="str">
        <f t="shared" si="191"/>
        <v/>
      </c>
      <c r="P755" s="165" t="str">
        <f t="shared" si="192"/>
        <v/>
      </c>
      <c r="Q755" s="207"/>
      <c r="R755" s="141" t="str">
        <f>IF(S755="IN",'BOM_Phan II'!$Y$3,"")</f>
        <v/>
      </c>
      <c r="S755" s="153" t="str">
        <f t="shared" si="193"/>
        <v/>
      </c>
      <c r="T755">
        <f t="shared" si="194"/>
        <v>6</v>
      </c>
      <c r="U755" s="208" t="str">
        <f t="shared" si="202"/>
        <v>KIỆN 9</v>
      </c>
      <c r="V755" s="208" t="str">
        <f t="shared" si="195"/>
        <v/>
      </c>
      <c r="W755" s="240"/>
      <c r="X755" s="240"/>
      <c r="Y755" s="240" t="str">
        <f t="shared" si="196"/>
        <v/>
      </c>
      <c r="Z755" s="240"/>
      <c r="AD755" s="232" t="str">
        <f t="shared" si="197"/>
        <v/>
      </c>
      <c r="AE755" s="204"/>
      <c r="AX755" s="3" t="str">
        <f t="shared" si="187"/>
        <v/>
      </c>
    </row>
    <row r="756" spans="1:50" s="155" customFormat="1" ht="30" hidden="1" customHeight="1">
      <c r="A756" s="141" t="str">
        <f t="shared" si="198"/>
        <v/>
      </c>
      <c r="B756" s="141" t="str">
        <f t="shared" si="199"/>
        <v/>
      </c>
      <c r="C756" s="205" t="str" cm="1">
        <f t="array" ref="C756">IF(D756="","",
    IF(AND(ISNUMBER(D756), D756=INT(D756)),
        $V$6 &amp; " " &amp; (IFERROR(MAX($Y$12:$Y755), 0) + 1),
        IF(ISNUMBER(SEARCH(".", D756)), "", INDEX($C$12:$C756, MATCH(2, 1/($C$12:$C756 &lt;&gt; ""))))
    )
)</f>
        <v/>
      </c>
      <c r="D756" s="206"/>
      <c r="E756" s="206" t="str">
        <f>IF(AA756 = "", "",
    IF(ISNUMBER(SEARCH("Kiện", C756)),
       " GÓI " &amp; COUNTIF($C$13:C756, "*Kiện*") &amp; "/" &amp; COUNTIF($C$13:$C$1000, "*Kiện*") &amp; " " &amp; AA756,
       AA756)
)</f>
        <v/>
      </c>
      <c r="F756" s="206"/>
      <c r="G756" s="206"/>
      <c r="H756" s="206"/>
      <c r="I756" s="206"/>
      <c r="J756" s="206" t="str">
        <f t="shared" si="200"/>
        <v/>
      </c>
      <c r="K756" s="206" t="str">
        <f t="shared" si="188"/>
        <v/>
      </c>
      <c r="L756" s="206" t="str">
        <f t="shared" si="189"/>
        <v/>
      </c>
      <c r="M756" s="206" t="str">
        <f t="shared" si="190"/>
        <v/>
      </c>
      <c r="N756" s="206" t="str">
        <f t="shared" si="201"/>
        <v/>
      </c>
      <c r="O756" s="206" t="str">
        <f t="shared" si="191"/>
        <v/>
      </c>
      <c r="P756" s="165" t="str">
        <f t="shared" si="192"/>
        <v/>
      </c>
      <c r="Q756" s="207"/>
      <c r="R756" s="141" t="str">
        <f>IF(S756="IN",'BOM_Phan II'!$Y$3,"")</f>
        <v/>
      </c>
      <c r="S756" s="153" t="str">
        <f t="shared" si="193"/>
        <v/>
      </c>
      <c r="T756">
        <f t="shared" si="194"/>
        <v>6</v>
      </c>
      <c r="U756" s="208" t="str">
        <f t="shared" si="202"/>
        <v>KIỆN 9</v>
      </c>
      <c r="V756" s="208" t="str">
        <f t="shared" si="195"/>
        <v/>
      </c>
      <c r="W756" s="240"/>
      <c r="X756" s="240"/>
      <c r="Y756" s="240" t="str">
        <f t="shared" si="196"/>
        <v/>
      </c>
      <c r="Z756" s="240"/>
      <c r="AD756" s="232" t="str">
        <f t="shared" si="197"/>
        <v/>
      </c>
      <c r="AE756" s="204"/>
      <c r="AX756" s="3" t="str">
        <f t="shared" si="187"/>
        <v/>
      </c>
    </row>
    <row r="757" spans="1:50" s="155" customFormat="1" ht="30" hidden="1" customHeight="1">
      <c r="A757" s="141" t="str">
        <f t="shared" si="198"/>
        <v/>
      </c>
      <c r="B757" s="141" t="str">
        <f t="shared" si="199"/>
        <v/>
      </c>
      <c r="C757" s="205" t="str" cm="1">
        <f t="array" ref="C757">IF(D757="","",
    IF(AND(ISNUMBER(D757), D757=INT(D757)),
        $V$6 &amp; " " &amp; (IFERROR(MAX($Y$12:$Y756), 0) + 1),
        IF(ISNUMBER(SEARCH(".", D757)), "", INDEX($C$12:$C757, MATCH(2, 1/($C$12:$C757 &lt;&gt; ""))))
    )
)</f>
        <v/>
      </c>
      <c r="D757" s="206"/>
      <c r="E757" s="206" t="str">
        <f>IF(AA757 = "", "",
    IF(ISNUMBER(SEARCH("Kiện", C757)),
       " GÓI " &amp; COUNTIF($C$13:C757, "*Kiện*") &amp; "/" &amp; COUNTIF($C$13:$C$1000, "*Kiện*") &amp; " " &amp; AA757,
       AA757)
)</f>
        <v/>
      </c>
      <c r="F757" s="206"/>
      <c r="G757" s="206"/>
      <c r="H757" s="206"/>
      <c r="I757" s="206"/>
      <c r="J757" s="206" t="str">
        <f t="shared" si="200"/>
        <v/>
      </c>
      <c r="K757" s="206" t="str">
        <f t="shared" si="188"/>
        <v/>
      </c>
      <c r="L757" s="206" t="str">
        <f t="shared" si="189"/>
        <v/>
      </c>
      <c r="M757" s="206" t="str">
        <f t="shared" si="190"/>
        <v/>
      </c>
      <c r="N757" s="206" t="str">
        <f t="shared" si="201"/>
        <v/>
      </c>
      <c r="O757" s="206" t="str">
        <f t="shared" si="191"/>
        <v/>
      </c>
      <c r="P757" s="165" t="str">
        <f t="shared" si="192"/>
        <v/>
      </c>
      <c r="Q757" s="207"/>
      <c r="R757" s="141" t="str">
        <f>IF(S757="IN",'BOM_Phan II'!$Y$3,"")</f>
        <v/>
      </c>
      <c r="S757" s="153" t="str">
        <f t="shared" si="193"/>
        <v/>
      </c>
      <c r="T757">
        <f t="shared" si="194"/>
        <v>6</v>
      </c>
      <c r="U757" s="208" t="str">
        <f t="shared" si="202"/>
        <v>KIỆN 9</v>
      </c>
      <c r="V757" s="208" t="str">
        <f t="shared" si="195"/>
        <v/>
      </c>
      <c r="W757" s="240"/>
      <c r="X757" s="240"/>
      <c r="Y757" s="240" t="str">
        <f t="shared" si="196"/>
        <v/>
      </c>
      <c r="Z757" s="240"/>
      <c r="AD757" s="232" t="str">
        <f t="shared" si="197"/>
        <v/>
      </c>
      <c r="AE757" s="204"/>
      <c r="AX757" s="3" t="str">
        <f t="shared" si="187"/>
        <v/>
      </c>
    </row>
    <row r="758" spans="1:50" s="155" customFormat="1" ht="30" hidden="1" customHeight="1">
      <c r="A758" s="141" t="str">
        <f t="shared" si="198"/>
        <v/>
      </c>
      <c r="B758" s="141" t="str">
        <f t="shared" si="199"/>
        <v/>
      </c>
      <c r="C758" s="205" t="str" cm="1">
        <f t="array" ref="C758">IF(D758="","",
    IF(AND(ISNUMBER(D758), D758=INT(D758)),
        $V$6 &amp; " " &amp; (IFERROR(MAX($Y$12:$Y757), 0) + 1),
        IF(ISNUMBER(SEARCH(".", D758)), "", INDEX($C$12:$C758, MATCH(2, 1/($C$12:$C758 &lt;&gt; ""))))
    )
)</f>
        <v/>
      </c>
      <c r="D758" s="206"/>
      <c r="E758" s="206" t="str">
        <f>IF(AA758 = "", "",
    IF(ISNUMBER(SEARCH("Kiện", C758)),
       " GÓI " &amp; COUNTIF($C$13:C758, "*Kiện*") &amp; "/" &amp; COUNTIF($C$13:$C$1000, "*Kiện*") &amp; " " &amp; AA758,
       AA758)
)</f>
        <v/>
      </c>
      <c r="F758" s="206"/>
      <c r="G758" s="206"/>
      <c r="H758" s="206"/>
      <c r="I758" s="206"/>
      <c r="J758" s="206" t="str">
        <f t="shared" si="200"/>
        <v/>
      </c>
      <c r="K758" s="206" t="str">
        <f t="shared" si="188"/>
        <v/>
      </c>
      <c r="L758" s="206" t="str">
        <f t="shared" si="189"/>
        <v/>
      </c>
      <c r="M758" s="206" t="str">
        <f t="shared" si="190"/>
        <v/>
      </c>
      <c r="N758" s="206" t="str">
        <f t="shared" si="201"/>
        <v/>
      </c>
      <c r="O758" s="206" t="str">
        <f t="shared" si="191"/>
        <v/>
      </c>
      <c r="P758" s="165" t="str">
        <f t="shared" si="192"/>
        <v/>
      </c>
      <c r="Q758" s="207"/>
      <c r="R758" s="141" t="str">
        <f>IF(S758="IN",'BOM_Phan II'!$Y$3,"")</f>
        <v/>
      </c>
      <c r="S758" s="153" t="str">
        <f t="shared" si="193"/>
        <v/>
      </c>
      <c r="T758">
        <f t="shared" si="194"/>
        <v>6</v>
      </c>
      <c r="U758" s="208" t="str">
        <f t="shared" si="202"/>
        <v>KIỆN 9</v>
      </c>
      <c r="V758" s="208" t="str">
        <f t="shared" si="195"/>
        <v/>
      </c>
      <c r="W758" s="240"/>
      <c r="X758" s="240"/>
      <c r="Y758" s="240" t="str">
        <f t="shared" si="196"/>
        <v/>
      </c>
      <c r="Z758" s="240"/>
      <c r="AD758" s="232" t="str">
        <f t="shared" si="197"/>
        <v/>
      </c>
      <c r="AE758" s="204"/>
      <c r="AX758" s="3" t="str">
        <f t="shared" si="187"/>
        <v/>
      </c>
    </row>
    <row r="759" spans="1:50" s="155" customFormat="1" ht="30" hidden="1" customHeight="1">
      <c r="A759" s="141" t="str">
        <f t="shared" si="198"/>
        <v/>
      </c>
      <c r="B759" s="141" t="str">
        <f t="shared" si="199"/>
        <v/>
      </c>
      <c r="C759" s="205" t="str" cm="1">
        <f t="array" ref="C759">IF(D759="","",
    IF(AND(ISNUMBER(D759), D759=INT(D759)),
        $V$6 &amp; " " &amp; (IFERROR(MAX($Y$12:$Y758), 0) + 1),
        IF(ISNUMBER(SEARCH(".", D759)), "", INDEX($C$12:$C759, MATCH(2, 1/($C$12:$C759 &lt;&gt; ""))))
    )
)</f>
        <v/>
      </c>
      <c r="D759" s="206"/>
      <c r="E759" s="206" t="str">
        <f>IF(AA759 = "", "",
    IF(ISNUMBER(SEARCH("Kiện", C759)),
       " GÓI " &amp; COUNTIF($C$13:C759, "*Kiện*") &amp; "/" &amp; COUNTIF($C$13:$C$1000, "*Kiện*") &amp; " " &amp; AA759,
       AA759)
)</f>
        <v/>
      </c>
      <c r="F759" s="206"/>
      <c r="G759" s="206"/>
      <c r="H759" s="206"/>
      <c r="I759" s="206"/>
      <c r="J759" s="206" t="str">
        <f t="shared" si="200"/>
        <v/>
      </c>
      <c r="K759" s="206" t="str">
        <f t="shared" si="188"/>
        <v/>
      </c>
      <c r="L759" s="206" t="str">
        <f t="shared" si="189"/>
        <v/>
      </c>
      <c r="M759" s="206" t="str">
        <f t="shared" si="190"/>
        <v/>
      </c>
      <c r="N759" s="206" t="str">
        <f t="shared" si="201"/>
        <v/>
      </c>
      <c r="O759" s="206" t="str">
        <f t="shared" si="191"/>
        <v/>
      </c>
      <c r="P759" s="165" t="str">
        <f t="shared" si="192"/>
        <v/>
      </c>
      <c r="Q759" s="207"/>
      <c r="R759" s="141" t="str">
        <f>IF(S759="IN",'BOM_Phan II'!$Y$3,"")</f>
        <v/>
      </c>
      <c r="S759" s="153" t="str">
        <f t="shared" si="193"/>
        <v/>
      </c>
      <c r="T759">
        <f t="shared" si="194"/>
        <v>6</v>
      </c>
      <c r="U759" s="208" t="str">
        <f t="shared" si="202"/>
        <v>KIỆN 9</v>
      </c>
      <c r="V759" s="208" t="str">
        <f t="shared" si="195"/>
        <v/>
      </c>
      <c r="W759" s="240"/>
      <c r="X759" s="240"/>
      <c r="Y759" s="240" t="str">
        <f t="shared" si="196"/>
        <v/>
      </c>
      <c r="Z759" s="240"/>
      <c r="AD759" s="232" t="str">
        <f t="shared" si="197"/>
        <v/>
      </c>
      <c r="AE759" s="204"/>
      <c r="AX759" s="3" t="str">
        <f t="shared" si="187"/>
        <v/>
      </c>
    </row>
    <row r="760" spans="1:50" s="155" customFormat="1" ht="30" hidden="1" customHeight="1">
      <c r="A760" s="141" t="str">
        <f t="shared" si="198"/>
        <v/>
      </c>
      <c r="B760" s="141" t="str">
        <f t="shared" si="199"/>
        <v/>
      </c>
      <c r="C760" s="205" t="str" cm="1">
        <f t="array" ref="C760">IF(D760="","",
    IF(AND(ISNUMBER(D760), D760=INT(D760)),
        $V$6 &amp; " " &amp; (IFERROR(MAX($Y$12:$Y759), 0) + 1),
        IF(ISNUMBER(SEARCH(".", D760)), "", INDEX($C$12:$C760, MATCH(2, 1/($C$12:$C760 &lt;&gt; ""))))
    )
)</f>
        <v/>
      </c>
      <c r="D760" s="206"/>
      <c r="E760" s="206" t="str">
        <f>IF(AA760 = "", "",
    IF(ISNUMBER(SEARCH("Kiện", C760)),
       " GÓI " &amp; COUNTIF($C$13:C760, "*Kiện*") &amp; "/" &amp; COUNTIF($C$13:$C$1000, "*Kiện*") &amp; " " &amp; AA760,
       AA760)
)</f>
        <v/>
      </c>
      <c r="F760" s="206"/>
      <c r="G760" s="206"/>
      <c r="H760" s="206"/>
      <c r="I760" s="206"/>
      <c r="J760" s="206" t="str">
        <f t="shared" si="200"/>
        <v/>
      </c>
      <c r="K760" s="206" t="str">
        <f t="shared" si="188"/>
        <v/>
      </c>
      <c r="L760" s="206" t="str">
        <f t="shared" si="189"/>
        <v/>
      </c>
      <c r="M760" s="206" t="str">
        <f t="shared" si="190"/>
        <v/>
      </c>
      <c r="N760" s="206" t="str">
        <f t="shared" si="201"/>
        <v/>
      </c>
      <c r="O760" s="206" t="str">
        <f t="shared" si="191"/>
        <v/>
      </c>
      <c r="P760" s="165" t="str">
        <f t="shared" si="192"/>
        <v/>
      </c>
      <c r="Q760" s="207"/>
      <c r="R760" s="141" t="str">
        <f>IF(S760="IN",'BOM_Phan II'!$Y$3,"")</f>
        <v/>
      </c>
      <c r="S760" s="153" t="str">
        <f t="shared" si="193"/>
        <v/>
      </c>
      <c r="T760">
        <f t="shared" si="194"/>
        <v>6</v>
      </c>
      <c r="U760" s="208" t="str">
        <f t="shared" si="202"/>
        <v>KIỆN 9</v>
      </c>
      <c r="V760" s="208" t="str">
        <f t="shared" si="195"/>
        <v/>
      </c>
      <c r="W760" s="240"/>
      <c r="X760" s="240"/>
      <c r="Y760" s="240" t="str">
        <f t="shared" si="196"/>
        <v/>
      </c>
      <c r="Z760" s="240"/>
      <c r="AD760" s="232" t="str">
        <f t="shared" si="197"/>
        <v/>
      </c>
      <c r="AE760" s="204"/>
      <c r="AX760" s="3" t="str">
        <f t="shared" si="187"/>
        <v/>
      </c>
    </row>
    <row r="761" spans="1:50" s="155" customFormat="1" ht="30" hidden="1" customHeight="1">
      <c r="A761" s="141" t="str">
        <f t="shared" si="198"/>
        <v/>
      </c>
      <c r="B761" s="141" t="str">
        <f t="shared" si="199"/>
        <v/>
      </c>
      <c r="C761" s="205" t="str" cm="1">
        <f t="array" ref="C761">IF(D761="","",
    IF(AND(ISNUMBER(D761), D761=INT(D761)),
        $V$6 &amp; " " &amp; (IFERROR(MAX($Y$12:$Y760), 0) + 1),
        IF(ISNUMBER(SEARCH(".", D761)), "", INDEX($C$12:$C761, MATCH(2, 1/($C$12:$C761 &lt;&gt; ""))))
    )
)</f>
        <v/>
      </c>
      <c r="D761" s="206"/>
      <c r="E761" s="206" t="str">
        <f>IF(AA761 = "", "",
    IF(ISNUMBER(SEARCH("Kiện", C761)),
       " GÓI " &amp; COUNTIF($C$13:C761, "*Kiện*") &amp; "/" &amp; COUNTIF($C$13:$C$1000, "*Kiện*") &amp; " " &amp; AA761,
       AA761)
)</f>
        <v/>
      </c>
      <c r="F761" s="206"/>
      <c r="G761" s="206"/>
      <c r="H761" s="206"/>
      <c r="I761" s="206"/>
      <c r="J761" s="206" t="str">
        <f t="shared" si="200"/>
        <v/>
      </c>
      <c r="K761" s="206" t="str">
        <f t="shared" si="188"/>
        <v/>
      </c>
      <c r="L761" s="206" t="str">
        <f t="shared" si="189"/>
        <v/>
      </c>
      <c r="M761" s="206" t="str">
        <f t="shared" si="190"/>
        <v/>
      </c>
      <c r="N761" s="206" t="str">
        <f t="shared" si="201"/>
        <v/>
      </c>
      <c r="O761" s="206" t="str">
        <f t="shared" si="191"/>
        <v/>
      </c>
      <c r="P761" s="165" t="str">
        <f t="shared" si="192"/>
        <v/>
      </c>
      <c r="Q761" s="207"/>
      <c r="R761" s="141" t="str">
        <f>IF(S761="IN",'BOM_Phan II'!$Y$3,"")</f>
        <v/>
      </c>
      <c r="S761" s="153" t="str">
        <f t="shared" si="193"/>
        <v/>
      </c>
      <c r="T761">
        <f t="shared" si="194"/>
        <v>6</v>
      </c>
      <c r="U761" s="208" t="str">
        <f t="shared" si="202"/>
        <v>KIỆN 9</v>
      </c>
      <c r="V761" s="208" t="str">
        <f t="shared" si="195"/>
        <v/>
      </c>
      <c r="W761" s="240"/>
      <c r="X761" s="240"/>
      <c r="Y761" s="240" t="str">
        <f t="shared" si="196"/>
        <v/>
      </c>
      <c r="Z761" s="240"/>
      <c r="AD761" s="232" t="str">
        <f t="shared" si="197"/>
        <v/>
      </c>
      <c r="AE761" s="204"/>
      <c r="AX761" s="3" t="str">
        <f t="shared" si="187"/>
        <v/>
      </c>
    </row>
    <row r="762" spans="1:50" s="155" customFormat="1" ht="30" hidden="1" customHeight="1">
      <c r="A762" s="141" t="str">
        <f t="shared" si="198"/>
        <v/>
      </c>
      <c r="B762" s="141" t="str">
        <f t="shared" si="199"/>
        <v/>
      </c>
      <c r="C762" s="205" t="str" cm="1">
        <f t="array" ref="C762">IF(D762="","",
    IF(AND(ISNUMBER(D762), D762=INT(D762)),
        $V$6 &amp; " " &amp; (IFERROR(MAX($Y$12:$Y761), 0) + 1),
        IF(ISNUMBER(SEARCH(".", D762)), "", INDEX($C$12:$C762, MATCH(2, 1/($C$12:$C762 &lt;&gt; ""))))
    )
)</f>
        <v/>
      </c>
      <c r="D762" s="206"/>
      <c r="E762" s="206" t="str">
        <f>IF(AA762 = "", "",
    IF(ISNUMBER(SEARCH("Kiện", C762)),
       " GÓI " &amp; COUNTIF($C$13:C762, "*Kiện*") &amp; "/" &amp; COUNTIF($C$13:$C$1000, "*Kiện*") &amp; " " &amp; AA762,
       AA762)
)</f>
        <v/>
      </c>
      <c r="F762" s="206"/>
      <c r="G762" s="206"/>
      <c r="H762" s="206"/>
      <c r="I762" s="206"/>
      <c r="J762" s="206" t="str">
        <f t="shared" si="200"/>
        <v/>
      </c>
      <c r="K762" s="206" t="str">
        <f t="shared" si="188"/>
        <v/>
      </c>
      <c r="L762" s="206" t="str">
        <f t="shared" si="189"/>
        <v/>
      </c>
      <c r="M762" s="206" t="str">
        <f t="shared" si="190"/>
        <v/>
      </c>
      <c r="N762" s="206" t="str">
        <f t="shared" si="201"/>
        <v/>
      </c>
      <c r="O762" s="206" t="str">
        <f t="shared" si="191"/>
        <v/>
      </c>
      <c r="P762" s="165" t="str">
        <f t="shared" si="192"/>
        <v/>
      </c>
      <c r="Q762" s="207"/>
      <c r="R762" s="141" t="str">
        <f>IF(S762="IN",'BOM_Phan II'!$Y$3,"")</f>
        <v/>
      </c>
      <c r="S762" s="153" t="str">
        <f t="shared" si="193"/>
        <v/>
      </c>
      <c r="T762">
        <f t="shared" si="194"/>
        <v>6</v>
      </c>
      <c r="U762" s="208" t="str">
        <f t="shared" si="202"/>
        <v>KIỆN 9</v>
      </c>
      <c r="V762" s="208" t="str">
        <f t="shared" si="195"/>
        <v/>
      </c>
      <c r="W762" s="240"/>
      <c r="X762" s="240"/>
      <c r="Y762" s="240" t="str">
        <f t="shared" si="196"/>
        <v/>
      </c>
      <c r="Z762" s="240"/>
      <c r="AD762" s="232" t="str">
        <f t="shared" si="197"/>
        <v/>
      </c>
      <c r="AE762" s="204"/>
      <c r="AX762" s="3" t="str">
        <f t="shared" si="187"/>
        <v/>
      </c>
    </row>
    <row r="763" spans="1:50" s="155" customFormat="1" ht="30" hidden="1" customHeight="1">
      <c r="A763" s="141" t="str">
        <f t="shared" si="198"/>
        <v/>
      </c>
      <c r="B763" s="141" t="str">
        <f t="shared" si="199"/>
        <v/>
      </c>
      <c r="C763" s="205" t="str" cm="1">
        <f t="array" ref="C763">IF(D763="","",
    IF(AND(ISNUMBER(D763), D763=INT(D763)),
        $V$6 &amp; " " &amp; (IFERROR(MAX($Y$12:$Y762), 0) + 1),
        IF(ISNUMBER(SEARCH(".", D763)), "", INDEX($C$12:$C763, MATCH(2, 1/($C$12:$C763 &lt;&gt; ""))))
    )
)</f>
        <v/>
      </c>
      <c r="D763" s="206"/>
      <c r="E763" s="206" t="str">
        <f>IF(AA763 = "", "",
    IF(ISNUMBER(SEARCH("Kiện", C763)),
       " GÓI " &amp; COUNTIF($C$13:C763, "*Kiện*") &amp; "/" &amp; COUNTIF($C$13:$C$1000, "*Kiện*") &amp; " " &amp; AA763,
       AA763)
)</f>
        <v/>
      </c>
      <c r="F763" s="206"/>
      <c r="G763" s="206"/>
      <c r="H763" s="206"/>
      <c r="I763" s="206"/>
      <c r="J763" s="206" t="str">
        <f t="shared" si="200"/>
        <v/>
      </c>
      <c r="K763" s="206" t="str">
        <f t="shared" si="188"/>
        <v/>
      </c>
      <c r="L763" s="206" t="str">
        <f t="shared" si="189"/>
        <v/>
      </c>
      <c r="M763" s="206" t="str">
        <f t="shared" si="190"/>
        <v/>
      </c>
      <c r="N763" s="206" t="str">
        <f t="shared" si="201"/>
        <v/>
      </c>
      <c r="O763" s="206" t="str">
        <f t="shared" si="191"/>
        <v/>
      </c>
      <c r="P763" s="165" t="str">
        <f t="shared" si="192"/>
        <v/>
      </c>
      <c r="Q763" s="207"/>
      <c r="R763" s="141" t="str">
        <f>IF(S763="IN",'BOM_Phan II'!$Y$3,"")</f>
        <v/>
      </c>
      <c r="S763" s="153" t="str">
        <f t="shared" si="193"/>
        <v/>
      </c>
      <c r="T763">
        <f t="shared" si="194"/>
        <v>6</v>
      </c>
      <c r="U763" s="208" t="str">
        <f t="shared" si="202"/>
        <v>KIỆN 9</v>
      </c>
      <c r="V763" s="208" t="str">
        <f t="shared" si="195"/>
        <v/>
      </c>
      <c r="W763" s="240"/>
      <c r="X763" s="240"/>
      <c r="Y763" s="240" t="str">
        <f t="shared" si="196"/>
        <v/>
      </c>
      <c r="Z763" s="240"/>
      <c r="AD763" s="232" t="str">
        <f t="shared" si="197"/>
        <v/>
      </c>
      <c r="AE763" s="204"/>
      <c r="AX763" s="3" t="str">
        <f t="shared" si="187"/>
        <v/>
      </c>
    </row>
    <row r="764" spans="1:50" s="155" customFormat="1" ht="30" hidden="1" customHeight="1">
      <c r="A764" s="141" t="str">
        <f t="shared" si="198"/>
        <v/>
      </c>
      <c r="B764" s="141" t="str">
        <f t="shared" si="199"/>
        <v/>
      </c>
      <c r="C764" s="205" t="str" cm="1">
        <f t="array" ref="C764">IF(D764="","",
    IF(AND(ISNUMBER(D764), D764=INT(D764)),
        $V$6 &amp; " " &amp; (IFERROR(MAX($Y$12:$Y763), 0) + 1),
        IF(ISNUMBER(SEARCH(".", D764)), "", INDEX($C$12:$C764, MATCH(2, 1/($C$12:$C764 &lt;&gt; ""))))
    )
)</f>
        <v/>
      </c>
      <c r="D764" s="206"/>
      <c r="E764" s="206" t="str">
        <f>IF(AA764 = "", "",
    IF(ISNUMBER(SEARCH("Kiện", C764)),
       " GÓI " &amp; COUNTIF($C$13:C764, "*Kiện*") &amp; "/" &amp; COUNTIF($C$13:$C$1000, "*Kiện*") &amp; " " &amp; AA764,
       AA764)
)</f>
        <v/>
      </c>
      <c r="F764" s="206"/>
      <c r="G764" s="206"/>
      <c r="H764" s="206"/>
      <c r="I764" s="206"/>
      <c r="J764" s="206" t="str">
        <f t="shared" si="200"/>
        <v/>
      </c>
      <c r="K764" s="206" t="str">
        <f t="shared" si="188"/>
        <v/>
      </c>
      <c r="L764" s="206" t="str">
        <f t="shared" si="189"/>
        <v/>
      </c>
      <c r="M764" s="206" t="str">
        <f t="shared" si="190"/>
        <v/>
      </c>
      <c r="N764" s="206" t="str">
        <f t="shared" si="201"/>
        <v/>
      </c>
      <c r="O764" s="206" t="str">
        <f t="shared" si="191"/>
        <v/>
      </c>
      <c r="P764" s="165" t="str">
        <f t="shared" si="192"/>
        <v/>
      </c>
      <c r="Q764" s="207"/>
      <c r="R764" s="141" t="str">
        <f>IF(S764="IN",'BOM_Phan II'!$Y$3,"")</f>
        <v/>
      </c>
      <c r="S764" s="153" t="str">
        <f t="shared" si="193"/>
        <v/>
      </c>
      <c r="T764">
        <f t="shared" si="194"/>
        <v>6</v>
      </c>
      <c r="U764" s="208" t="str">
        <f t="shared" si="202"/>
        <v>KIỆN 9</v>
      </c>
      <c r="V764" s="208" t="str">
        <f t="shared" si="195"/>
        <v/>
      </c>
      <c r="W764" s="240"/>
      <c r="X764" s="240"/>
      <c r="Y764" s="240" t="str">
        <f t="shared" si="196"/>
        <v/>
      </c>
      <c r="Z764" s="240"/>
      <c r="AD764" s="232" t="str">
        <f t="shared" si="197"/>
        <v/>
      </c>
      <c r="AE764" s="204"/>
      <c r="AX764" s="3" t="str">
        <f t="shared" si="187"/>
        <v/>
      </c>
    </row>
    <row r="765" spans="1:50" s="155" customFormat="1" ht="30" hidden="1" customHeight="1">
      <c r="A765" s="141" t="str">
        <f t="shared" si="198"/>
        <v/>
      </c>
      <c r="B765" s="141" t="str">
        <f t="shared" si="199"/>
        <v/>
      </c>
      <c r="C765" s="205" t="str" cm="1">
        <f t="array" ref="C765">IF(D765="","",
    IF(AND(ISNUMBER(D765), D765=INT(D765)),
        $V$6 &amp; " " &amp; (IFERROR(MAX($Y$12:$Y764), 0) + 1),
        IF(ISNUMBER(SEARCH(".", D765)), "", INDEX($C$12:$C765, MATCH(2, 1/($C$12:$C765 &lt;&gt; ""))))
    )
)</f>
        <v/>
      </c>
      <c r="D765" s="206"/>
      <c r="E765" s="206" t="str">
        <f>IF(AA765 = "", "",
    IF(ISNUMBER(SEARCH("Kiện", C765)),
       " GÓI " &amp; COUNTIF($C$13:C765, "*Kiện*") &amp; "/" &amp; COUNTIF($C$13:$C$1000, "*Kiện*") &amp; " " &amp; AA765,
       AA765)
)</f>
        <v/>
      </c>
      <c r="F765" s="206"/>
      <c r="G765" s="206"/>
      <c r="H765" s="206"/>
      <c r="I765" s="206"/>
      <c r="J765" s="206" t="str">
        <f t="shared" si="200"/>
        <v/>
      </c>
      <c r="K765" s="206" t="str">
        <f t="shared" si="188"/>
        <v/>
      </c>
      <c r="L765" s="206" t="str">
        <f t="shared" si="189"/>
        <v/>
      </c>
      <c r="M765" s="206" t="str">
        <f t="shared" si="190"/>
        <v/>
      </c>
      <c r="N765" s="206" t="str">
        <f t="shared" si="201"/>
        <v/>
      </c>
      <c r="O765" s="206" t="str">
        <f t="shared" si="191"/>
        <v/>
      </c>
      <c r="P765" s="165" t="str">
        <f t="shared" si="192"/>
        <v/>
      </c>
      <c r="Q765" s="207"/>
      <c r="R765" s="141" t="str">
        <f>IF(S765="IN",'BOM_Phan II'!$Y$3,"")</f>
        <v/>
      </c>
      <c r="S765" s="153" t="str">
        <f t="shared" si="193"/>
        <v/>
      </c>
      <c r="T765">
        <f t="shared" si="194"/>
        <v>6</v>
      </c>
      <c r="U765" s="208" t="str">
        <f t="shared" si="202"/>
        <v>KIỆN 9</v>
      </c>
      <c r="V765" s="208" t="str">
        <f t="shared" si="195"/>
        <v/>
      </c>
      <c r="W765" s="240"/>
      <c r="X765" s="240"/>
      <c r="Y765" s="240" t="str">
        <f t="shared" si="196"/>
        <v/>
      </c>
      <c r="Z765" s="240"/>
      <c r="AD765" s="232" t="str">
        <f t="shared" si="197"/>
        <v/>
      </c>
      <c r="AE765" s="204"/>
      <c r="AX765" s="3" t="str">
        <f t="shared" si="187"/>
        <v/>
      </c>
    </row>
    <row r="766" spans="1:50" s="155" customFormat="1" ht="30" hidden="1" customHeight="1">
      <c r="A766" s="141" t="str">
        <f t="shared" si="198"/>
        <v/>
      </c>
      <c r="B766" s="141" t="str">
        <f t="shared" si="199"/>
        <v/>
      </c>
      <c r="C766" s="205" t="str" cm="1">
        <f t="array" ref="C766">IF(D766="","",
    IF(AND(ISNUMBER(D766), D766=INT(D766)),
        $V$6 &amp; " " &amp; (IFERROR(MAX($Y$12:$Y765), 0) + 1),
        IF(ISNUMBER(SEARCH(".", D766)), "", INDEX($C$12:$C766, MATCH(2, 1/($C$12:$C766 &lt;&gt; ""))))
    )
)</f>
        <v/>
      </c>
      <c r="D766" s="206"/>
      <c r="E766" s="206" t="str">
        <f>IF(AA766 = "", "",
    IF(ISNUMBER(SEARCH("Kiện", C766)),
       " GÓI " &amp; COUNTIF($C$13:C766, "*Kiện*") &amp; "/" &amp; COUNTIF($C$13:$C$1000, "*Kiện*") &amp; " " &amp; AA766,
       AA766)
)</f>
        <v/>
      </c>
      <c r="F766" s="206"/>
      <c r="G766" s="206"/>
      <c r="H766" s="206"/>
      <c r="I766" s="206"/>
      <c r="J766" s="206" t="str">
        <f t="shared" si="200"/>
        <v/>
      </c>
      <c r="K766" s="206" t="str">
        <f t="shared" si="188"/>
        <v/>
      </c>
      <c r="L766" s="206" t="str">
        <f t="shared" si="189"/>
        <v/>
      </c>
      <c r="M766" s="206" t="str">
        <f t="shared" si="190"/>
        <v/>
      </c>
      <c r="N766" s="206" t="str">
        <f t="shared" si="201"/>
        <v/>
      </c>
      <c r="O766" s="206" t="str">
        <f t="shared" si="191"/>
        <v/>
      </c>
      <c r="P766" s="165" t="str">
        <f t="shared" si="192"/>
        <v/>
      </c>
      <c r="Q766" s="207"/>
      <c r="R766" s="141" t="str">
        <f>IF(S766="IN",'BOM_Phan II'!$Y$3,"")</f>
        <v/>
      </c>
      <c r="S766" s="153" t="str">
        <f t="shared" si="193"/>
        <v/>
      </c>
      <c r="T766">
        <f t="shared" si="194"/>
        <v>6</v>
      </c>
      <c r="U766" s="208" t="str">
        <f t="shared" si="202"/>
        <v>KIỆN 9</v>
      </c>
      <c r="V766" s="208" t="str">
        <f t="shared" si="195"/>
        <v/>
      </c>
      <c r="W766" s="240"/>
      <c r="X766" s="240"/>
      <c r="Y766" s="240" t="str">
        <f t="shared" si="196"/>
        <v/>
      </c>
      <c r="Z766" s="240"/>
      <c r="AD766" s="232" t="str">
        <f t="shared" si="197"/>
        <v/>
      </c>
      <c r="AE766" s="204"/>
      <c r="AX766" s="3" t="str">
        <f t="shared" si="187"/>
        <v/>
      </c>
    </row>
    <row r="767" spans="1:50" s="155" customFormat="1" ht="30" hidden="1" customHeight="1">
      <c r="A767" s="141" t="str">
        <f t="shared" si="198"/>
        <v/>
      </c>
      <c r="B767" s="141" t="str">
        <f t="shared" si="199"/>
        <v/>
      </c>
      <c r="C767" s="205" t="str" cm="1">
        <f t="array" ref="C767">IF(D767="","",
    IF(AND(ISNUMBER(D767), D767=INT(D767)),
        $V$6 &amp; " " &amp; (IFERROR(MAX($Y$12:$Y766), 0) + 1),
        IF(ISNUMBER(SEARCH(".", D767)), "", INDEX($C$12:$C767, MATCH(2, 1/($C$12:$C767 &lt;&gt; ""))))
    )
)</f>
        <v/>
      </c>
      <c r="D767" s="206"/>
      <c r="E767" s="206" t="str">
        <f>IF(AA767 = "", "",
    IF(ISNUMBER(SEARCH("Kiện", C767)),
       " GÓI " &amp; COUNTIF($C$13:C767, "*Kiện*") &amp; "/" &amp; COUNTIF($C$13:$C$1000, "*Kiện*") &amp; " " &amp; AA767,
       AA767)
)</f>
        <v/>
      </c>
      <c r="F767" s="206"/>
      <c r="G767" s="206"/>
      <c r="H767" s="206"/>
      <c r="I767" s="206"/>
      <c r="J767" s="206" t="str">
        <f t="shared" si="200"/>
        <v/>
      </c>
      <c r="K767" s="206" t="str">
        <f t="shared" si="188"/>
        <v/>
      </c>
      <c r="L767" s="206" t="str">
        <f t="shared" si="189"/>
        <v/>
      </c>
      <c r="M767" s="206" t="str">
        <f t="shared" si="190"/>
        <v/>
      </c>
      <c r="N767" s="206" t="str">
        <f t="shared" si="201"/>
        <v/>
      </c>
      <c r="O767" s="206" t="str">
        <f t="shared" si="191"/>
        <v/>
      </c>
      <c r="P767" s="165" t="str">
        <f t="shared" si="192"/>
        <v/>
      </c>
      <c r="Q767" s="207"/>
      <c r="R767" s="141" t="str">
        <f>IF(S767="IN",'BOM_Phan II'!$Y$3,"")</f>
        <v/>
      </c>
      <c r="S767" s="153" t="str">
        <f t="shared" si="193"/>
        <v/>
      </c>
      <c r="T767">
        <f t="shared" si="194"/>
        <v>6</v>
      </c>
      <c r="U767" s="208" t="str">
        <f t="shared" si="202"/>
        <v>KIỆN 9</v>
      </c>
      <c r="V767" s="208" t="str">
        <f t="shared" si="195"/>
        <v/>
      </c>
      <c r="W767" s="240"/>
      <c r="X767" s="240"/>
      <c r="Y767" s="240" t="str">
        <f t="shared" si="196"/>
        <v/>
      </c>
      <c r="Z767" s="240"/>
      <c r="AD767" s="232" t="str">
        <f t="shared" si="197"/>
        <v/>
      </c>
      <c r="AE767" s="204"/>
      <c r="AX767" s="3" t="str">
        <f t="shared" si="187"/>
        <v/>
      </c>
    </row>
    <row r="768" spans="1:50" s="155" customFormat="1" ht="30" hidden="1" customHeight="1">
      <c r="A768" s="141" t="str">
        <f t="shared" si="198"/>
        <v/>
      </c>
      <c r="B768" s="141" t="str">
        <f t="shared" si="199"/>
        <v/>
      </c>
      <c r="C768" s="205" t="str" cm="1">
        <f t="array" ref="C768">IF(D768="","",
    IF(AND(ISNUMBER(D768), D768=INT(D768)),
        $V$6 &amp; " " &amp; (IFERROR(MAX($Y$12:$Y767), 0) + 1),
        IF(ISNUMBER(SEARCH(".", D768)), "", INDEX($C$12:$C768, MATCH(2, 1/($C$12:$C768 &lt;&gt; ""))))
    )
)</f>
        <v/>
      </c>
      <c r="D768" s="206"/>
      <c r="E768" s="206" t="str">
        <f>IF(AA768 = "", "",
    IF(ISNUMBER(SEARCH("Kiện", C768)),
       " GÓI " &amp; COUNTIF($C$13:C768, "*Kiện*") &amp; "/" &amp; COUNTIF($C$13:$C$1000, "*Kiện*") &amp; " " &amp; AA768,
       AA768)
)</f>
        <v/>
      </c>
      <c r="F768" s="206"/>
      <c r="G768" s="206"/>
      <c r="H768" s="206"/>
      <c r="I768" s="206"/>
      <c r="J768" s="206" t="str">
        <f t="shared" si="200"/>
        <v/>
      </c>
      <c r="K768" s="206" t="str">
        <f t="shared" si="188"/>
        <v/>
      </c>
      <c r="L768" s="206" t="str">
        <f t="shared" si="189"/>
        <v/>
      </c>
      <c r="M768" s="206" t="str">
        <f t="shared" si="190"/>
        <v/>
      </c>
      <c r="N768" s="206" t="str">
        <f t="shared" si="201"/>
        <v/>
      </c>
      <c r="O768" s="206" t="str">
        <f t="shared" si="191"/>
        <v/>
      </c>
      <c r="P768" s="165" t="str">
        <f t="shared" si="192"/>
        <v/>
      </c>
      <c r="Q768" s="207"/>
      <c r="R768" s="141" t="str">
        <f>IF(S768="IN",'BOM_Phan II'!$Y$3,"")</f>
        <v/>
      </c>
      <c r="S768" s="153" t="str">
        <f t="shared" si="193"/>
        <v/>
      </c>
      <c r="T768">
        <f t="shared" si="194"/>
        <v>6</v>
      </c>
      <c r="U768" s="208" t="str">
        <f t="shared" si="202"/>
        <v>KIỆN 9</v>
      </c>
      <c r="V768" s="208" t="str">
        <f t="shared" si="195"/>
        <v/>
      </c>
      <c r="W768" s="240"/>
      <c r="X768" s="240"/>
      <c r="Y768" s="240" t="str">
        <f t="shared" si="196"/>
        <v/>
      </c>
      <c r="Z768" s="240"/>
      <c r="AD768" s="232" t="str">
        <f t="shared" si="197"/>
        <v/>
      </c>
      <c r="AE768" s="204"/>
      <c r="AX768" s="3" t="str">
        <f t="shared" si="187"/>
        <v/>
      </c>
    </row>
    <row r="769" spans="1:50" s="155" customFormat="1" ht="30" hidden="1" customHeight="1">
      <c r="A769" s="141" t="str">
        <f t="shared" si="198"/>
        <v/>
      </c>
      <c r="B769" s="141" t="str">
        <f t="shared" si="199"/>
        <v/>
      </c>
      <c r="C769" s="205" t="str" cm="1">
        <f t="array" ref="C769">IF(D769="","",
    IF(AND(ISNUMBER(D769), D769=INT(D769)),
        $V$6 &amp; " " &amp; (IFERROR(MAX($Y$12:$Y768), 0) + 1),
        IF(ISNUMBER(SEARCH(".", D769)), "", INDEX($C$12:$C769, MATCH(2, 1/($C$12:$C769 &lt;&gt; ""))))
    )
)</f>
        <v/>
      </c>
      <c r="D769" s="206"/>
      <c r="E769" s="206" t="str">
        <f>IF(AA769 = "", "",
    IF(ISNUMBER(SEARCH("Kiện", C769)),
       " GÓI " &amp; COUNTIF($C$13:C769, "*Kiện*") &amp; "/" &amp; COUNTIF($C$13:$C$1000, "*Kiện*") &amp; " " &amp; AA769,
       AA769)
)</f>
        <v/>
      </c>
      <c r="F769" s="206"/>
      <c r="G769" s="206"/>
      <c r="H769" s="206"/>
      <c r="I769" s="206"/>
      <c r="J769" s="206" t="str">
        <f t="shared" si="200"/>
        <v/>
      </c>
      <c r="K769" s="206" t="str">
        <f t="shared" si="188"/>
        <v/>
      </c>
      <c r="L769" s="206" t="str">
        <f t="shared" si="189"/>
        <v/>
      </c>
      <c r="M769" s="206" t="str">
        <f t="shared" si="190"/>
        <v/>
      </c>
      <c r="N769" s="206" t="str">
        <f t="shared" si="201"/>
        <v/>
      </c>
      <c r="O769" s="206" t="str">
        <f t="shared" si="191"/>
        <v/>
      </c>
      <c r="P769" s="165" t="str">
        <f t="shared" si="192"/>
        <v/>
      </c>
      <c r="Q769" s="207"/>
      <c r="R769" s="141" t="str">
        <f>IF(S769="IN",'BOM_Phan II'!$Y$3,"")</f>
        <v/>
      </c>
      <c r="S769" s="153" t="str">
        <f t="shared" si="193"/>
        <v/>
      </c>
      <c r="T769">
        <f t="shared" si="194"/>
        <v>6</v>
      </c>
      <c r="U769" s="208" t="str">
        <f t="shared" si="202"/>
        <v>KIỆN 9</v>
      </c>
      <c r="V769" s="208" t="str">
        <f t="shared" si="195"/>
        <v/>
      </c>
      <c r="W769" s="240"/>
      <c r="X769" s="240"/>
      <c r="Y769" s="240" t="str">
        <f t="shared" si="196"/>
        <v/>
      </c>
      <c r="Z769" s="240"/>
      <c r="AD769" s="232" t="str">
        <f t="shared" si="197"/>
        <v/>
      </c>
      <c r="AE769" s="204"/>
      <c r="AX769" s="3" t="str">
        <f t="shared" si="187"/>
        <v/>
      </c>
    </row>
    <row r="770" spans="1:50" s="155" customFormat="1" ht="30" hidden="1" customHeight="1">
      <c r="A770" s="141" t="str">
        <f t="shared" si="198"/>
        <v/>
      </c>
      <c r="B770" s="141" t="str">
        <f t="shared" si="199"/>
        <v/>
      </c>
      <c r="C770" s="205" t="str" cm="1">
        <f t="array" ref="C770">IF(D770="","",
    IF(AND(ISNUMBER(D770), D770=INT(D770)),
        $V$6 &amp; " " &amp; (IFERROR(MAX($Y$12:$Y769), 0) + 1),
        IF(ISNUMBER(SEARCH(".", D770)), "", INDEX($C$12:$C770, MATCH(2, 1/($C$12:$C770 &lt;&gt; ""))))
    )
)</f>
        <v/>
      </c>
      <c r="D770" s="206"/>
      <c r="E770" s="206" t="str">
        <f>IF(AA770 = "", "",
    IF(ISNUMBER(SEARCH("Kiện", C770)),
       " GÓI " &amp; COUNTIF($C$13:C770, "*Kiện*") &amp; "/" &amp; COUNTIF($C$13:$C$1000, "*Kiện*") &amp; " " &amp; AA770,
       AA770)
)</f>
        <v/>
      </c>
      <c r="F770" s="206"/>
      <c r="G770" s="206"/>
      <c r="H770" s="206"/>
      <c r="I770" s="206"/>
      <c r="J770" s="206" t="str">
        <f t="shared" si="200"/>
        <v/>
      </c>
      <c r="K770" s="206" t="str">
        <f t="shared" si="188"/>
        <v/>
      </c>
      <c r="L770" s="206" t="str">
        <f t="shared" si="189"/>
        <v/>
      </c>
      <c r="M770" s="206" t="str">
        <f t="shared" si="190"/>
        <v/>
      </c>
      <c r="N770" s="206" t="str">
        <f t="shared" si="201"/>
        <v/>
      </c>
      <c r="O770" s="206" t="str">
        <f t="shared" si="191"/>
        <v/>
      </c>
      <c r="P770" s="165" t="str">
        <f t="shared" si="192"/>
        <v/>
      </c>
      <c r="Q770" s="207"/>
      <c r="R770" s="141" t="str">
        <f>IF(S770="IN",'BOM_Phan II'!$Y$3,"")</f>
        <v/>
      </c>
      <c r="S770" s="153" t="str">
        <f t="shared" si="193"/>
        <v/>
      </c>
      <c r="T770">
        <f t="shared" si="194"/>
        <v>6</v>
      </c>
      <c r="U770" s="208" t="str">
        <f t="shared" si="202"/>
        <v>KIỆN 9</v>
      </c>
      <c r="V770" s="208" t="str">
        <f t="shared" si="195"/>
        <v/>
      </c>
      <c r="W770" s="240"/>
      <c r="X770" s="240"/>
      <c r="Y770" s="240" t="str">
        <f t="shared" si="196"/>
        <v/>
      </c>
      <c r="Z770" s="240"/>
      <c r="AD770" s="232" t="str">
        <f t="shared" si="197"/>
        <v/>
      </c>
      <c r="AE770" s="204"/>
      <c r="AX770" s="3" t="str">
        <f t="shared" si="187"/>
        <v/>
      </c>
    </row>
    <row r="771" spans="1:50" s="155" customFormat="1" ht="30" hidden="1" customHeight="1">
      <c r="A771" s="141" t="str">
        <f t="shared" si="198"/>
        <v/>
      </c>
      <c r="B771" s="141" t="str">
        <f t="shared" si="199"/>
        <v/>
      </c>
      <c r="C771" s="205" t="str" cm="1">
        <f t="array" ref="C771">IF(D771="","",
    IF(AND(ISNUMBER(D771), D771=INT(D771)),
        $V$6 &amp; " " &amp; (IFERROR(MAX($Y$12:$Y770), 0) + 1),
        IF(ISNUMBER(SEARCH(".", D771)), "", INDEX($C$12:$C771, MATCH(2, 1/($C$12:$C771 &lt;&gt; ""))))
    )
)</f>
        <v/>
      </c>
      <c r="D771" s="206"/>
      <c r="E771" s="206" t="str">
        <f>IF(AA771 = "", "",
    IF(ISNUMBER(SEARCH("Kiện", C771)),
       " GÓI " &amp; COUNTIF($C$13:C771, "*Kiện*") &amp; "/" &amp; COUNTIF($C$13:$C$1000, "*Kiện*") &amp; " " &amp; AA771,
       AA771)
)</f>
        <v/>
      </c>
      <c r="F771" s="206"/>
      <c r="G771" s="206"/>
      <c r="H771" s="206"/>
      <c r="I771" s="206"/>
      <c r="J771" s="206" t="str">
        <f t="shared" si="200"/>
        <v/>
      </c>
      <c r="K771" s="206" t="str">
        <f t="shared" si="188"/>
        <v/>
      </c>
      <c r="L771" s="206" t="str">
        <f t="shared" si="189"/>
        <v/>
      </c>
      <c r="M771" s="206" t="str">
        <f t="shared" si="190"/>
        <v/>
      </c>
      <c r="N771" s="206" t="str">
        <f t="shared" si="201"/>
        <v/>
      </c>
      <c r="O771" s="206" t="str">
        <f t="shared" si="191"/>
        <v/>
      </c>
      <c r="P771" s="165" t="str">
        <f t="shared" si="192"/>
        <v/>
      </c>
      <c r="Q771" s="207"/>
      <c r="R771" s="141" t="str">
        <f>IF(S771="IN",'BOM_Phan II'!$Y$3,"")</f>
        <v/>
      </c>
      <c r="S771" s="153" t="str">
        <f t="shared" si="193"/>
        <v/>
      </c>
      <c r="T771">
        <f t="shared" si="194"/>
        <v>6</v>
      </c>
      <c r="U771" s="208" t="str">
        <f t="shared" si="202"/>
        <v>KIỆN 9</v>
      </c>
      <c r="V771" s="208" t="str">
        <f t="shared" si="195"/>
        <v/>
      </c>
      <c r="W771" s="240"/>
      <c r="X771" s="240"/>
      <c r="Y771" s="240" t="str">
        <f t="shared" si="196"/>
        <v/>
      </c>
      <c r="Z771" s="240"/>
      <c r="AD771" s="232" t="str">
        <f t="shared" si="197"/>
        <v/>
      </c>
      <c r="AE771" s="204"/>
      <c r="AX771" s="3" t="str">
        <f t="shared" si="187"/>
        <v/>
      </c>
    </row>
    <row r="772" spans="1:50" s="155" customFormat="1" ht="30" hidden="1" customHeight="1">
      <c r="A772" s="141" t="str">
        <f t="shared" si="198"/>
        <v/>
      </c>
      <c r="B772" s="141" t="str">
        <f t="shared" si="199"/>
        <v/>
      </c>
      <c r="C772" s="205" t="str" cm="1">
        <f t="array" ref="C772">IF(D772="","",
    IF(AND(ISNUMBER(D772), D772=INT(D772)),
        $V$6 &amp; " " &amp; (IFERROR(MAX($Y$12:$Y771), 0) + 1),
        IF(ISNUMBER(SEARCH(".", D772)), "", INDEX($C$12:$C772, MATCH(2, 1/($C$12:$C772 &lt;&gt; ""))))
    )
)</f>
        <v/>
      </c>
      <c r="D772" s="206"/>
      <c r="E772" s="206" t="str">
        <f>IF(AA772 = "", "",
    IF(ISNUMBER(SEARCH("Kiện", C772)),
       " GÓI " &amp; COUNTIF($C$13:C772, "*Kiện*") &amp; "/" &amp; COUNTIF($C$13:$C$1000, "*Kiện*") &amp; " " &amp; AA772,
       AA772)
)</f>
        <v/>
      </c>
      <c r="F772" s="206"/>
      <c r="G772" s="206"/>
      <c r="H772" s="206"/>
      <c r="I772" s="206"/>
      <c r="J772" s="206" t="str">
        <f t="shared" si="200"/>
        <v/>
      </c>
      <c r="K772" s="206" t="str">
        <f t="shared" si="188"/>
        <v/>
      </c>
      <c r="L772" s="206" t="str">
        <f t="shared" si="189"/>
        <v/>
      </c>
      <c r="M772" s="206" t="str">
        <f t="shared" si="190"/>
        <v/>
      </c>
      <c r="N772" s="206" t="str">
        <f t="shared" si="201"/>
        <v/>
      </c>
      <c r="O772" s="206" t="str">
        <f t="shared" si="191"/>
        <v/>
      </c>
      <c r="P772" s="165" t="str">
        <f t="shared" si="192"/>
        <v/>
      </c>
      <c r="Q772" s="207"/>
      <c r="R772" s="141" t="str">
        <f>IF(S772="IN",'BOM_Phan II'!$Y$3,"")</f>
        <v/>
      </c>
      <c r="S772" s="153" t="str">
        <f t="shared" si="193"/>
        <v/>
      </c>
      <c r="T772">
        <f t="shared" si="194"/>
        <v>6</v>
      </c>
      <c r="U772" s="208" t="str">
        <f t="shared" si="202"/>
        <v>KIỆN 9</v>
      </c>
      <c r="V772" s="208" t="str">
        <f t="shared" si="195"/>
        <v/>
      </c>
      <c r="W772" s="240"/>
      <c r="X772" s="240"/>
      <c r="Y772" s="240" t="str">
        <f t="shared" si="196"/>
        <v/>
      </c>
      <c r="Z772" s="240"/>
      <c r="AD772" s="232" t="str">
        <f t="shared" si="197"/>
        <v/>
      </c>
      <c r="AE772" s="204"/>
      <c r="AX772" s="3" t="str">
        <f t="shared" si="187"/>
        <v/>
      </c>
    </row>
    <row r="773" spans="1:50" s="155" customFormat="1" ht="30" hidden="1" customHeight="1">
      <c r="A773" s="141" t="str">
        <f t="shared" si="198"/>
        <v/>
      </c>
      <c r="B773" s="141" t="str">
        <f t="shared" si="199"/>
        <v/>
      </c>
      <c r="C773" s="205" t="str" cm="1">
        <f t="array" ref="C773">IF(D773="","",
    IF(AND(ISNUMBER(D773), D773=INT(D773)),
        $V$6 &amp; " " &amp; (IFERROR(MAX($Y$12:$Y772), 0) + 1),
        IF(ISNUMBER(SEARCH(".", D773)), "", INDEX($C$12:$C773, MATCH(2, 1/($C$12:$C773 &lt;&gt; ""))))
    )
)</f>
        <v/>
      </c>
      <c r="D773" s="206"/>
      <c r="E773" s="206" t="str">
        <f>IF(AA773 = "", "",
    IF(ISNUMBER(SEARCH("Kiện", C773)),
       " GÓI " &amp; COUNTIF($C$13:C773, "*Kiện*") &amp; "/" &amp; COUNTIF($C$13:$C$1000, "*Kiện*") &amp; " " &amp; AA773,
       AA773)
)</f>
        <v/>
      </c>
      <c r="F773" s="206"/>
      <c r="G773" s="206"/>
      <c r="H773" s="206"/>
      <c r="I773" s="206"/>
      <c r="J773" s="206" t="str">
        <f t="shared" si="200"/>
        <v/>
      </c>
      <c r="K773" s="206" t="str">
        <f t="shared" si="188"/>
        <v/>
      </c>
      <c r="L773" s="206" t="str">
        <f t="shared" si="189"/>
        <v/>
      </c>
      <c r="M773" s="206" t="str">
        <f t="shared" si="190"/>
        <v/>
      </c>
      <c r="N773" s="206" t="str">
        <f t="shared" si="201"/>
        <v/>
      </c>
      <c r="O773" s="206" t="str">
        <f t="shared" si="191"/>
        <v/>
      </c>
      <c r="P773" s="165" t="str">
        <f t="shared" si="192"/>
        <v/>
      </c>
      <c r="Q773" s="207"/>
      <c r="R773" s="141" t="str">
        <f>IF(S773="IN",'BOM_Phan II'!$Y$3,"")</f>
        <v/>
      </c>
      <c r="S773" s="153" t="str">
        <f t="shared" si="193"/>
        <v/>
      </c>
      <c r="T773">
        <f t="shared" si="194"/>
        <v>6</v>
      </c>
      <c r="U773" s="208" t="str">
        <f t="shared" si="202"/>
        <v>KIỆN 9</v>
      </c>
      <c r="V773" s="208" t="str">
        <f t="shared" si="195"/>
        <v/>
      </c>
      <c r="W773" s="240"/>
      <c r="X773" s="240"/>
      <c r="Y773" s="240" t="str">
        <f t="shared" si="196"/>
        <v/>
      </c>
      <c r="Z773" s="240"/>
      <c r="AD773" s="232" t="str">
        <f t="shared" si="197"/>
        <v/>
      </c>
      <c r="AE773" s="204"/>
      <c r="AX773" s="3" t="str">
        <f t="shared" si="187"/>
        <v/>
      </c>
    </row>
    <row r="774" spans="1:50" s="155" customFormat="1" ht="30" hidden="1" customHeight="1">
      <c r="A774" s="141" t="str">
        <f t="shared" si="198"/>
        <v/>
      </c>
      <c r="B774" s="141" t="str">
        <f t="shared" si="199"/>
        <v/>
      </c>
      <c r="C774" s="205" t="str" cm="1">
        <f t="array" ref="C774">IF(D774="","",
    IF(AND(ISNUMBER(D774), D774=INT(D774)),
        $V$6 &amp; " " &amp; (IFERROR(MAX($Y$12:$Y773), 0) + 1),
        IF(ISNUMBER(SEARCH(".", D774)), "", INDEX($C$12:$C774, MATCH(2, 1/($C$12:$C774 &lt;&gt; ""))))
    )
)</f>
        <v/>
      </c>
      <c r="D774" s="206"/>
      <c r="E774" s="206" t="str">
        <f>IF(AA774 = "", "",
    IF(ISNUMBER(SEARCH("Kiện", C774)),
       " GÓI " &amp; COUNTIF($C$13:C774, "*Kiện*") &amp; "/" &amp; COUNTIF($C$13:$C$1000, "*Kiện*") &amp; " " &amp; AA774,
       AA774)
)</f>
        <v/>
      </c>
      <c r="F774" s="206"/>
      <c r="G774" s="206"/>
      <c r="H774" s="206"/>
      <c r="I774" s="206"/>
      <c r="J774" s="206" t="str">
        <f t="shared" si="200"/>
        <v/>
      </c>
      <c r="K774" s="206" t="str">
        <f t="shared" si="188"/>
        <v/>
      </c>
      <c r="L774" s="206" t="str">
        <f t="shared" si="189"/>
        <v/>
      </c>
      <c r="M774" s="206" t="str">
        <f t="shared" si="190"/>
        <v/>
      </c>
      <c r="N774" s="206" t="str">
        <f t="shared" si="201"/>
        <v/>
      </c>
      <c r="O774" s="206" t="str">
        <f t="shared" si="191"/>
        <v/>
      </c>
      <c r="P774" s="165" t="str">
        <f t="shared" si="192"/>
        <v/>
      </c>
      <c r="Q774" s="207"/>
      <c r="R774" s="141" t="str">
        <f>IF(S774="IN",'BOM_Phan II'!$Y$3,"")</f>
        <v/>
      </c>
      <c r="S774" s="153" t="str">
        <f t="shared" si="193"/>
        <v/>
      </c>
      <c r="T774">
        <f t="shared" si="194"/>
        <v>6</v>
      </c>
      <c r="U774" s="208" t="str">
        <f t="shared" si="202"/>
        <v>KIỆN 9</v>
      </c>
      <c r="V774" s="208" t="str">
        <f t="shared" si="195"/>
        <v/>
      </c>
      <c r="W774" s="240"/>
      <c r="X774" s="240"/>
      <c r="Y774" s="240" t="str">
        <f t="shared" si="196"/>
        <v/>
      </c>
      <c r="Z774" s="240"/>
      <c r="AD774" s="232" t="str">
        <f t="shared" si="197"/>
        <v/>
      </c>
      <c r="AE774" s="204"/>
      <c r="AX774" s="3" t="str">
        <f t="shared" si="187"/>
        <v/>
      </c>
    </row>
    <row r="775" spans="1:50" s="155" customFormat="1" ht="30" hidden="1" customHeight="1">
      <c r="A775" s="141" t="str">
        <f t="shared" si="198"/>
        <v/>
      </c>
      <c r="B775" s="141" t="str">
        <f t="shared" si="199"/>
        <v/>
      </c>
      <c r="C775" s="205" t="str" cm="1">
        <f t="array" ref="C775">IF(D775="","",
    IF(AND(ISNUMBER(D775), D775=INT(D775)),
        $V$6 &amp; " " &amp; (IFERROR(MAX($Y$12:$Y774), 0) + 1),
        IF(ISNUMBER(SEARCH(".", D775)), "", INDEX($C$12:$C775, MATCH(2, 1/($C$12:$C775 &lt;&gt; ""))))
    )
)</f>
        <v/>
      </c>
      <c r="D775" s="206"/>
      <c r="E775" s="206" t="str">
        <f>IF(AA775 = "", "",
    IF(ISNUMBER(SEARCH("Kiện", C775)),
       " GÓI " &amp; COUNTIF($C$13:C775, "*Kiện*") &amp; "/" &amp; COUNTIF($C$13:$C$1000, "*Kiện*") &amp; " " &amp; AA775,
       AA775)
)</f>
        <v/>
      </c>
      <c r="F775" s="206"/>
      <c r="G775" s="206"/>
      <c r="H775" s="206"/>
      <c r="I775" s="206"/>
      <c r="J775" s="206" t="str">
        <f t="shared" si="200"/>
        <v/>
      </c>
      <c r="K775" s="206" t="str">
        <f t="shared" si="188"/>
        <v/>
      </c>
      <c r="L775" s="206" t="str">
        <f t="shared" si="189"/>
        <v/>
      </c>
      <c r="M775" s="206" t="str">
        <f t="shared" si="190"/>
        <v/>
      </c>
      <c r="N775" s="206" t="str">
        <f t="shared" si="201"/>
        <v/>
      </c>
      <c r="O775" s="206" t="str">
        <f t="shared" si="191"/>
        <v/>
      </c>
      <c r="P775" s="165" t="str">
        <f t="shared" si="192"/>
        <v/>
      </c>
      <c r="Q775" s="207"/>
      <c r="R775" s="141" t="str">
        <f>IF(S775="IN",'BOM_Phan II'!$Y$3,"")</f>
        <v/>
      </c>
      <c r="S775" s="153" t="str">
        <f t="shared" si="193"/>
        <v/>
      </c>
      <c r="T775">
        <f t="shared" si="194"/>
        <v>6</v>
      </c>
      <c r="U775" s="208" t="str">
        <f t="shared" si="202"/>
        <v>KIỆN 9</v>
      </c>
      <c r="V775" s="208" t="str">
        <f t="shared" si="195"/>
        <v/>
      </c>
      <c r="W775" s="240"/>
      <c r="X775" s="240"/>
      <c r="Y775" s="240" t="str">
        <f t="shared" si="196"/>
        <v/>
      </c>
      <c r="Z775" s="240"/>
      <c r="AD775" s="232" t="str">
        <f t="shared" si="197"/>
        <v/>
      </c>
      <c r="AE775" s="204"/>
      <c r="AX775" s="3" t="str">
        <f t="shared" si="187"/>
        <v/>
      </c>
    </row>
    <row r="776" spans="1:50" s="155" customFormat="1" ht="30" hidden="1" customHeight="1">
      <c r="A776" s="141" t="str">
        <f t="shared" si="198"/>
        <v/>
      </c>
      <c r="B776" s="141" t="str">
        <f t="shared" si="199"/>
        <v/>
      </c>
      <c r="C776" s="205" t="str" cm="1">
        <f t="array" ref="C776">IF(D776="","",
    IF(AND(ISNUMBER(D776), D776=INT(D776)),
        $V$6 &amp; " " &amp; (IFERROR(MAX($Y$12:$Y775), 0) + 1),
        IF(ISNUMBER(SEARCH(".", D776)), "", INDEX($C$12:$C776, MATCH(2, 1/($C$12:$C776 &lt;&gt; ""))))
    )
)</f>
        <v/>
      </c>
      <c r="D776" s="206"/>
      <c r="E776" s="206" t="str">
        <f>IF(AA776 = "", "",
    IF(ISNUMBER(SEARCH("Kiện", C776)),
       " GÓI " &amp; COUNTIF($C$13:C776, "*Kiện*") &amp; "/" &amp; COUNTIF($C$13:$C$1000, "*Kiện*") &amp; " " &amp; AA776,
       AA776)
)</f>
        <v/>
      </c>
      <c r="F776" s="206"/>
      <c r="G776" s="206"/>
      <c r="H776" s="206"/>
      <c r="I776" s="206"/>
      <c r="J776" s="206" t="str">
        <f t="shared" si="200"/>
        <v/>
      </c>
      <c r="K776" s="206" t="str">
        <f t="shared" si="188"/>
        <v/>
      </c>
      <c r="L776" s="206" t="str">
        <f t="shared" si="189"/>
        <v/>
      </c>
      <c r="M776" s="206" t="str">
        <f t="shared" si="190"/>
        <v/>
      </c>
      <c r="N776" s="206" t="str">
        <f t="shared" si="201"/>
        <v/>
      </c>
      <c r="O776" s="206" t="str">
        <f t="shared" si="191"/>
        <v/>
      </c>
      <c r="P776" s="165" t="str">
        <f t="shared" si="192"/>
        <v/>
      </c>
      <c r="Q776" s="207"/>
      <c r="R776" s="141" t="str">
        <f>IF(S776="IN",'BOM_Phan II'!$Y$3,"")</f>
        <v/>
      </c>
      <c r="S776" s="153" t="str">
        <f t="shared" si="193"/>
        <v/>
      </c>
      <c r="T776">
        <f t="shared" si="194"/>
        <v>6</v>
      </c>
      <c r="U776" s="208" t="str">
        <f t="shared" si="202"/>
        <v>KIỆN 9</v>
      </c>
      <c r="V776" s="208" t="str">
        <f t="shared" si="195"/>
        <v/>
      </c>
      <c r="W776" s="240"/>
      <c r="X776" s="240"/>
      <c r="Y776" s="240" t="str">
        <f t="shared" si="196"/>
        <v/>
      </c>
      <c r="Z776" s="240"/>
      <c r="AD776" s="232" t="str">
        <f t="shared" si="197"/>
        <v/>
      </c>
      <c r="AE776" s="204"/>
      <c r="AX776" s="3" t="str">
        <f t="shared" si="187"/>
        <v/>
      </c>
    </row>
    <row r="777" spans="1:50" s="155" customFormat="1" ht="30" hidden="1" customHeight="1">
      <c r="A777" s="141" t="str">
        <f t="shared" si="198"/>
        <v/>
      </c>
      <c r="B777" s="141" t="str">
        <f t="shared" si="199"/>
        <v/>
      </c>
      <c r="C777" s="205" t="str" cm="1">
        <f t="array" ref="C777">IF(D777="","",
    IF(AND(ISNUMBER(D777), D777=INT(D777)),
        $V$6 &amp; " " &amp; (IFERROR(MAX($Y$12:$Y776), 0) + 1),
        IF(ISNUMBER(SEARCH(".", D777)), "", INDEX($C$12:$C777, MATCH(2, 1/($C$12:$C777 &lt;&gt; ""))))
    )
)</f>
        <v/>
      </c>
      <c r="D777" s="206"/>
      <c r="E777" s="206" t="str">
        <f>IF(AA777 = "", "",
    IF(ISNUMBER(SEARCH("Kiện", C777)),
       " GÓI " &amp; COUNTIF($C$13:C777, "*Kiện*") &amp; "/" &amp; COUNTIF($C$13:$C$1000, "*Kiện*") &amp; " " &amp; AA777,
       AA777)
)</f>
        <v/>
      </c>
      <c r="F777" s="206"/>
      <c r="G777" s="206"/>
      <c r="H777" s="206"/>
      <c r="I777" s="206"/>
      <c r="J777" s="206" t="str">
        <f t="shared" si="200"/>
        <v/>
      </c>
      <c r="K777" s="206" t="str">
        <f t="shared" si="188"/>
        <v/>
      </c>
      <c r="L777" s="206" t="str">
        <f t="shared" si="189"/>
        <v/>
      </c>
      <c r="M777" s="206" t="str">
        <f t="shared" si="190"/>
        <v/>
      </c>
      <c r="N777" s="206" t="str">
        <f t="shared" si="201"/>
        <v/>
      </c>
      <c r="O777" s="206" t="str">
        <f t="shared" si="191"/>
        <v/>
      </c>
      <c r="P777" s="165" t="str">
        <f t="shared" si="192"/>
        <v/>
      </c>
      <c r="Q777" s="207"/>
      <c r="R777" s="141" t="str">
        <f>IF(S777="IN",'BOM_Phan II'!$Y$3,"")</f>
        <v/>
      </c>
      <c r="S777" s="153" t="str">
        <f t="shared" si="193"/>
        <v/>
      </c>
      <c r="T777">
        <f t="shared" si="194"/>
        <v>6</v>
      </c>
      <c r="U777" s="208" t="str">
        <f t="shared" si="202"/>
        <v>KIỆN 9</v>
      </c>
      <c r="V777" s="208" t="str">
        <f t="shared" si="195"/>
        <v/>
      </c>
      <c r="W777" s="240"/>
      <c r="X777" s="240"/>
      <c r="Y777" s="240" t="str">
        <f t="shared" si="196"/>
        <v/>
      </c>
      <c r="Z777" s="240"/>
      <c r="AD777" s="232" t="str">
        <f t="shared" si="197"/>
        <v/>
      </c>
      <c r="AE777" s="204"/>
      <c r="AX777" s="3" t="str">
        <f t="shared" si="187"/>
        <v/>
      </c>
    </row>
    <row r="778" spans="1:50" s="155" customFormat="1" ht="30" hidden="1" customHeight="1">
      <c r="A778" s="141" t="str">
        <f t="shared" si="198"/>
        <v/>
      </c>
      <c r="B778" s="141" t="str">
        <f t="shared" si="199"/>
        <v/>
      </c>
      <c r="C778" s="205" t="str" cm="1">
        <f t="array" ref="C778">IF(D778="","",
    IF(AND(ISNUMBER(D778), D778=INT(D778)),
        $V$6 &amp; " " &amp; (IFERROR(MAX($Y$12:$Y777), 0) + 1),
        IF(ISNUMBER(SEARCH(".", D778)), "", INDEX($C$12:$C778, MATCH(2, 1/($C$12:$C778 &lt;&gt; ""))))
    )
)</f>
        <v/>
      </c>
      <c r="D778" s="206"/>
      <c r="E778" s="206" t="str">
        <f>IF(AA778 = "", "",
    IF(ISNUMBER(SEARCH("Kiện", C778)),
       " GÓI " &amp; COUNTIF($C$13:C778, "*Kiện*") &amp; "/" &amp; COUNTIF($C$13:$C$1000, "*Kiện*") &amp; " " &amp; AA778,
       AA778)
)</f>
        <v/>
      </c>
      <c r="F778" s="206"/>
      <c r="G778" s="206"/>
      <c r="H778" s="206"/>
      <c r="I778" s="206"/>
      <c r="J778" s="206" t="str">
        <f t="shared" si="200"/>
        <v/>
      </c>
      <c r="K778" s="206" t="str">
        <f t="shared" si="188"/>
        <v/>
      </c>
      <c r="L778" s="206" t="str">
        <f t="shared" si="189"/>
        <v/>
      </c>
      <c r="M778" s="206" t="str">
        <f t="shared" si="190"/>
        <v/>
      </c>
      <c r="N778" s="206" t="str">
        <f t="shared" si="201"/>
        <v/>
      </c>
      <c r="O778" s="206" t="str">
        <f t="shared" si="191"/>
        <v/>
      </c>
      <c r="P778" s="165" t="str">
        <f t="shared" si="192"/>
        <v/>
      </c>
      <c r="Q778" s="207"/>
      <c r="R778" s="141" t="str">
        <f>IF(S778="IN",'BOM_Phan II'!$Y$3,"")</f>
        <v/>
      </c>
      <c r="S778" s="153" t="str">
        <f t="shared" si="193"/>
        <v/>
      </c>
      <c r="T778">
        <f t="shared" si="194"/>
        <v>6</v>
      </c>
      <c r="U778" s="208" t="str">
        <f t="shared" si="202"/>
        <v>KIỆN 9</v>
      </c>
      <c r="V778" s="208" t="str">
        <f t="shared" si="195"/>
        <v/>
      </c>
      <c r="W778" s="240"/>
      <c r="X778" s="240"/>
      <c r="Y778" s="240" t="str">
        <f t="shared" si="196"/>
        <v/>
      </c>
      <c r="Z778" s="240"/>
      <c r="AD778" s="232" t="str">
        <f t="shared" si="197"/>
        <v/>
      </c>
      <c r="AE778" s="204"/>
      <c r="AX778" s="3" t="str">
        <f t="shared" si="187"/>
        <v/>
      </c>
    </row>
    <row r="779" spans="1:50" s="155" customFormat="1" ht="30" hidden="1" customHeight="1">
      <c r="A779" s="141" t="str">
        <f t="shared" si="198"/>
        <v/>
      </c>
      <c r="B779" s="141" t="str">
        <f t="shared" si="199"/>
        <v/>
      </c>
      <c r="C779" s="205" t="str" cm="1">
        <f t="array" ref="C779">IF(D779="","",
    IF(AND(ISNUMBER(D779), D779=INT(D779)),
        $V$6 &amp; " " &amp; (IFERROR(MAX($Y$12:$Y778), 0) + 1),
        IF(ISNUMBER(SEARCH(".", D779)), "", INDEX($C$12:$C779, MATCH(2, 1/($C$12:$C779 &lt;&gt; ""))))
    )
)</f>
        <v/>
      </c>
      <c r="D779" s="206"/>
      <c r="E779" s="206" t="str">
        <f>IF(AA779 = "", "",
    IF(ISNUMBER(SEARCH("Kiện", C779)),
       " GÓI " &amp; COUNTIF($C$13:C779, "*Kiện*") &amp; "/" &amp; COUNTIF($C$13:$C$1000, "*Kiện*") &amp; " " &amp; AA779,
       AA779)
)</f>
        <v/>
      </c>
      <c r="F779" s="206"/>
      <c r="G779" s="206"/>
      <c r="H779" s="206"/>
      <c r="I779" s="206"/>
      <c r="J779" s="206" t="str">
        <f t="shared" si="200"/>
        <v/>
      </c>
      <c r="K779" s="206" t="str">
        <f t="shared" si="188"/>
        <v/>
      </c>
      <c r="L779" s="206" t="str">
        <f t="shared" si="189"/>
        <v/>
      </c>
      <c r="M779" s="206" t="str">
        <f t="shared" si="190"/>
        <v/>
      </c>
      <c r="N779" s="206" t="str">
        <f t="shared" si="201"/>
        <v/>
      </c>
      <c r="O779" s="206" t="str">
        <f t="shared" si="191"/>
        <v/>
      </c>
      <c r="P779" s="165" t="str">
        <f t="shared" si="192"/>
        <v/>
      </c>
      <c r="Q779" s="207"/>
      <c r="R779" s="141" t="str">
        <f>IF(S779="IN",'BOM_Phan II'!$Y$3,"")</f>
        <v/>
      </c>
      <c r="S779" s="153" t="str">
        <f t="shared" si="193"/>
        <v/>
      </c>
      <c r="T779">
        <f t="shared" si="194"/>
        <v>6</v>
      </c>
      <c r="U779" s="208" t="str">
        <f t="shared" si="202"/>
        <v>KIỆN 9</v>
      </c>
      <c r="V779" s="208" t="str">
        <f t="shared" si="195"/>
        <v/>
      </c>
      <c r="W779" s="240"/>
      <c r="X779" s="240"/>
      <c r="Y779" s="240" t="str">
        <f t="shared" si="196"/>
        <v/>
      </c>
      <c r="Z779" s="240"/>
      <c r="AD779" s="232" t="str">
        <f t="shared" si="197"/>
        <v/>
      </c>
      <c r="AE779" s="204"/>
      <c r="AX779" s="3" t="str">
        <f t="shared" si="187"/>
        <v/>
      </c>
    </row>
    <row r="780" spans="1:50" s="155" customFormat="1" ht="30" hidden="1" customHeight="1">
      <c r="A780" s="141" t="str">
        <f t="shared" si="198"/>
        <v/>
      </c>
      <c r="B780" s="141" t="str">
        <f t="shared" si="199"/>
        <v/>
      </c>
      <c r="C780" s="205" t="str" cm="1">
        <f t="array" ref="C780">IF(D780="","",
    IF(AND(ISNUMBER(D780), D780=INT(D780)),
        $V$6 &amp; " " &amp; (IFERROR(MAX($Y$12:$Y779), 0) + 1),
        IF(ISNUMBER(SEARCH(".", D780)), "", INDEX($C$12:$C780, MATCH(2, 1/($C$12:$C780 &lt;&gt; ""))))
    )
)</f>
        <v/>
      </c>
      <c r="D780" s="206"/>
      <c r="E780" s="206" t="str">
        <f>IF(AA780 = "", "",
    IF(ISNUMBER(SEARCH("Kiện", C780)),
       " GÓI " &amp; COUNTIF($C$13:C780, "*Kiện*") &amp; "/" &amp; COUNTIF($C$13:$C$1000, "*Kiện*") &amp; " " &amp; AA780,
       AA780)
)</f>
        <v/>
      </c>
      <c r="F780" s="206"/>
      <c r="G780" s="206"/>
      <c r="H780" s="206"/>
      <c r="I780" s="206"/>
      <c r="J780" s="206" t="str">
        <f t="shared" si="200"/>
        <v/>
      </c>
      <c r="K780" s="206" t="str">
        <f t="shared" si="188"/>
        <v/>
      </c>
      <c r="L780" s="206" t="str">
        <f t="shared" si="189"/>
        <v/>
      </c>
      <c r="M780" s="206" t="str">
        <f t="shared" si="190"/>
        <v/>
      </c>
      <c r="N780" s="206" t="str">
        <f t="shared" si="201"/>
        <v/>
      </c>
      <c r="O780" s="206" t="str">
        <f t="shared" si="191"/>
        <v/>
      </c>
      <c r="P780" s="165" t="str">
        <f t="shared" si="192"/>
        <v/>
      </c>
      <c r="Q780" s="207"/>
      <c r="R780" s="141" t="str">
        <f>IF(S780="IN",'BOM_Phan II'!$Y$3,"")</f>
        <v/>
      </c>
      <c r="S780" s="153" t="str">
        <f t="shared" si="193"/>
        <v/>
      </c>
      <c r="T780">
        <f t="shared" si="194"/>
        <v>6</v>
      </c>
      <c r="U780" s="208" t="str">
        <f t="shared" si="202"/>
        <v>KIỆN 9</v>
      </c>
      <c r="V780" s="208" t="str">
        <f t="shared" si="195"/>
        <v/>
      </c>
      <c r="W780" s="240"/>
      <c r="X780" s="240"/>
      <c r="Y780" s="240" t="str">
        <f t="shared" si="196"/>
        <v/>
      </c>
      <c r="Z780" s="240"/>
      <c r="AD780" s="232" t="str">
        <f t="shared" si="197"/>
        <v/>
      </c>
      <c r="AE780" s="204"/>
      <c r="AX780" s="3" t="str">
        <f t="shared" ref="AX780:AX842" si="203">+S780</f>
        <v/>
      </c>
    </row>
    <row r="781" spans="1:50" s="155" customFormat="1" ht="30" hidden="1" customHeight="1">
      <c r="A781" s="141" t="str">
        <f t="shared" si="198"/>
        <v/>
      </c>
      <c r="B781" s="141" t="str">
        <f t="shared" si="199"/>
        <v/>
      </c>
      <c r="C781" s="205" t="str" cm="1">
        <f t="array" ref="C781">IF(D781="","",
    IF(AND(ISNUMBER(D781), D781=INT(D781)),
        $V$6 &amp; " " &amp; (IFERROR(MAX($Y$12:$Y780), 0) + 1),
        IF(ISNUMBER(SEARCH(".", D781)), "", INDEX($C$12:$C781, MATCH(2, 1/($C$12:$C781 &lt;&gt; ""))))
    )
)</f>
        <v/>
      </c>
      <c r="D781" s="206"/>
      <c r="E781" s="206" t="str">
        <f>IF(AA781 = "", "",
    IF(ISNUMBER(SEARCH("Kiện", C781)),
       " GÓI " &amp; COUNTIF($C$13:C781, "*Kiện*") &amp; "/" &amp; COUNTIF($C$13:$C$1000, "*Kiện*") &amp; " " &amp; AA781,
       AA781)
)</f>
        <v/>
      </c>
      <c r="F781" s="206"/>
      <c r="G781" s="206"/>
      <c r="H781" s="206"/>
      <c r="I781" s="206"/>
      <c r="J781" s="206" t="str">
        <f t="shared" si="200"/>
        <v/>
      </c>
      <c r="K781" s="206" t="str">
        <f t="shared" si="188"/>
        <v/>
      </c>
      <c r="L781" s="206" t="str">
        <f t="shared" si="189"/>
        <v/>
      </c>
      <c r="M781" s="206" t="str">
        <f t="shared" si="190"/>
        <v/>
      </c>
      <c r="N781" s="206" t="str">
        <f t="shared" si="201"/>
        <v/>
      </c>
      <c r="O781" s="206" t="str">
        <f t="shared" si="191"/>
        <v/>
      </c>
      <c r="P781" s="165" t="str">
        <f t="shared" si="192"/>
        <v/>
      </c>
      <c r="Q781" s="207"/>
      <c r="R781" s="141" t="str">
        <f>IF(S781="IN",'BOM_Phan II'!$Y$3,"")</f>
        <v/>
      </c>
      <c r="S781" s="153" t="str">
        <f t="shared" si="193"/>
        <v/>
      </c>
      <c r="T781">
        <f t="shared" si="194"/>
        <v>6</v>
      </c>
      <c r="U781" s="208" t="str">
        <f t="shared" si="202"/>
        <v>KIỆN 9</v>
      </c>
      <c r="V781" s="208" t="str">
        <f t="shared" si="195"/>
        <v/>
      </c>
      <c r="W781" s="240"/>
      <c r="X781" s="240"/>
      <c r="Y781" s="240" t="str">
        <f t="shared" si="196"/>
        <v/>
      </c>
      <c r="Z781" s="240"/>
      <c r="AD781" s="232" t="str">
        <f t="shared" si="197"/>
        <v/>
      </c>
      <c r="AE781" s="204"/>
      <c r="AX781" s="3" t="str">
        <f t="shared" si="203"/>
        <v/>
      </c>
    </row>
    <row r="782" spans="1:50" s="155" customFormat="1" ht="30" hidden="1" customHeight="1">
      <c r="A782" s="141" t="str">
        <f t="shared" si="198"/>
        <v/>
      </c>
      <c r="B782" s="141" t="str">
        <f t="shared" si="199"/>
        <v/>
      </c>
      <c r="C782" s="205" t="str" cm="1">
        <f t="array" ref="C782">IF(D782="","",
    IF(AND(ISNUMBER(D782), D782=INT(D782)),
        $V$6 &amp; " " &amp; (IFERROR(MAX($Y$12:$Y781), 0) + 1),
        IF(ISNUMBER(SEARCH(".", D782)), "", INDEX($C$12:$C782, MATCH(2, 1/($C$12:$C782 &lt;&gt; ""))))
    )
)</f>
        <v/>
      </c>
      <c r="D782" s="206"/>
      <c r="E782" s="206" t="str">
        <f>IF(AA782 = "", "",
    IF(ISNUMBER(SEARCH("Kiện", C782)),
       " GÓI " &amp; COUNTIF($C$13:C782, "*Kiện*") &amp; "/" &amp; COUNTIF($C$13:$C$1000, "*Kiện*") &amp; " " &amp; AA782,
       AA782)
)</f>
        <v/>
      </c>
      <c r="F782" s="206"/>
      <c r="G782" s="206"/>
      <c r="H782" s="206"/>
      <c r="I782" s="206"/>
      <c r="J782" s="206" t="str">
        <f t="shared" si="200"/>
        <v/>
      </c>
      <c r="K782" s="206" t="str">
        <f t="shared" ref="K782:K835" si="204">IFERROR(IF($C782&lt;&gt;"",IF($T$13=1,F782+20,IF($T$13=2,F782+20,IF($T$13=3,F782+50,IF($T$13=4,F782+40,IF($T$13=5,F782+50,IF($T$13=51,F782+50,IF($T$13=6,F782+50,IF($T$13=7,F782+50,"")))))))),""),"")</f>
        <v/>
      </c>
      <c r="L782" s="206" t="str">
        <f t="shared" ref="L782:L835" si="205">IFERROR(IF($C782&lt;&gt;"",IF($T$13=1,G782+20,IF($T$13=2,G782+20,IF($T$13=3,G782+50,IF($T$13=4,G782+40,IF($T$13=5,G782+50,IF($T$13=51,G782+50,IF($T$13=6,G782+50,IF($T$13=7,G782+50,"")))))))),""),"")</f>
        <v/>
      </c>
      <c r="M782" s="206" t="str">
        <f t="shared" ref="M782:M835" si="206">IFERROR(IF($C782&lt;&gt;"",IF($T$13=1,H782+20,IF($T$13=2,H782+20,IF($T$13=3,H782+70,IF($T$13=4,H782+40,IF($T$13=5,H782+50,IF($T$13=51,H782+150,IF($T$13=6,H782+50,IF($T$13=7,H782+50,"")))))))),""),"")</f>
        <v/>
      </c>
      <c r="N782" s="206" t="str">
        <f t="shared" si="201"/>
        <v/>
      </c>
      <c r="O782" s="206" t="str">
        <f t="shared" ref="O782:O835" si="207">IF(C782&lt;&gt;"",$O$12,"")</f>
        <v/>
      </c>
      <c r="P782" s="165" t="str">
        <f t="shared" ref="P782:P835" si="208">IFERROR(IF(C782&lt;&gt;"",SUMIFS($V$13:$V$969,$U$13:$U$969,C782)*$S$6,V782*$S$6),"")</f>
        <v/>
      </c>
      <c r="Q782" s="207"/>
      <c r="R782" s="141" t="str">
        <f>IF(S782="IN",'BOM_Phan II'!$Y$3,"")</f>
        <v/>
      </c>
      <c r="S782" s="153" t="str">
        <f t="shared" ref="S782:S842" si="209">IF(OR(E782&lt;&gt;"",D782&lt;&gt;""),"IN","")</f>
        <v/>
      </c>
      <c r="T782">
        <f t="shared" ref="T782:T835" si="210">IF($O$12="XK_CHUẨN 1",1,IF($O$12="XK_CHUẨN 2",2,IF($O$12="XK_CHUẨN 3",3,IF($O$12="XK_CHUẨN 4-ĐI CONT",4,IF($O$12="XK_CHUẨN 5-ĐI AIR",5,IF($O$12="XK_CHUẨN 5-AIR PALLET",51,IF($O$12="TIÊU CHUẨN DỰ ÁN",6,IF($O$12="TC_CUA",7,IF($O$12="TC_KH",8,"")))))))))</f>
        <v>6</v>
      </c>
      <c r="U782" s="208" t="str">
        <f t="shared" si="202"/>
        <v>KIỆN 9</v>
      </c>
      <c r="V782" s="208" t="str">
        <f t="shared" ref="V782:V835" si="211">IFERROR(IF(AND(C782="", OR($W782="1", $W782="2")), IF(I782="", "", F782*G782*H782*I782/10^9), ""), "")</f>
        <v/>
      </c>
      <c r="W782" s="240"/>
      <c r="X782" s="240"/>
      <c r="Y782" s="240" t="str">
        <f t="shared" ref="Y782:Y835" si="212">IFERROR(VALUE(RIGHT(C782,LEN(C782)-5)),"")</f>
        <v/>
      </c>
      <c r="Z782" s="240"/>
      <c r="AD782" s="232" t="str">
        <f t="shared" ref="AD782:AD835" si="213">IFERROR(VALUE(RIGHT(C782,LEN(C782)-5)),"")</f>
        <v/>
      </c>
      <c r="AE782" s="204"/>
      <c r="AX782" s="3" t="str">
        <f t="shared" si="203"/>
        <v/>
      </c>
    </row>
    <row r="783" spans="1:50" s="155" customFormat="1" ht="30" hidden="1" customHeight="1">
      <c r="A783" s="141" t="str">
        <f t="shared" si="198"/>
        <v/>
      </c>
      <c r="B783" s="141" t="str">
        <f t="shared" si="199"/>
        <v/>
      </c>
      <c r="C783" s="205" t="str" cm="1">
        <f t="array" ref="C783">IF(D783="","",
    IF(AND(ISNUMBER(D783), D783=INT(D783)),
        $V$6 &amp; " " &amp; (IFERROR(MAX($Y$12:$Y782), 0) + 1),
        IF(ISNUMBER(SEARCH(".", D783)), "", INDEX($C$12:$C783, MATCH(2, 1/($C$12:$C783 &lt;&gt; ""))))
    )
)</f>
        <v/>
      </c>
      <c r="D783" s="206"/>
      <c r="E783" s="206" t="str">
        <f>IF(AA783 = "", "",
    IF(ISNUMBER(SEARCH("Kiện", C783)),
       " GÓI " &amp; COUNTIF($C$13:C783, "*Kiện*") &amp; "/" &amp; COUNTIF($C$13:$C$1000, "*Kiện*") &amp; " " &amp; AA783,
       AA783)
)</f>
        <v/>
      </c>
      <c r="F783" s="206"/>
      <c r="G783" s="206"/>
      <c r="H783" s="206"/>
      <c r="I783" s="206"/>
      <c r="J783" s="206" t="str">
        <f t="shared" si="200"/>
        <v/>
      </c>
      <c r="K783" s="206" t="str">
        <f t="shared" si="204"/>
        <v/>
      </c>
      <c r="L783" s="206" t="str">
        <f t="shared" si="205"/>
        <v/>
      </c>
      <c r="M783" s="206" t="str">
        <f t="shared" si="206"/>
        <v/>
      </c>
      <c r="N783" s="206" t="str">
        <f t="shared" si="201"/>
        <v/>
      </c>
      <c r="O783" s="206" t="str">
        <f t="shared" si="207"/>
        <v/>
      </c>
      <c r="P783" s="165" t="str">
        <f t="shared" si="208"/>
        <v/>
      </c>
      <c r="Q783" s="207"/>
      <c r="R783" s="141" t="str">
        <f>IF(S783="IN",'BOM_Phan II'!$Y$3,"")</f>
        <v/>
      </c>
      <c r="S783" s="153" t="str">
        <f t="shared" si="209"/>
        <v/>
      </c>
      <c r="T783">
        <f t="shared" si="210"/>
        <v>6</v>
      </c>
      <c r="U783" s="208" t="str">
        <f t="shared" si="202"/>
        <v>KIỆN 9</v>
      </c>
      <c r="V783" s="208" t="str">
        <f t="shared" si="211"/>
        <v/>
      </c>
      <c r="W783" s="240"/>
      <c r="X783" s="240"/>
      <c r="Y783" s="240" t="str">
        <f t="shared" si="212"/>
        <v/>
      </c>
      <c r="Z783" s="240"/>
      <c r="AD783" s="232" t="str">
        <f t="shared" si="213"/>
        <v/>
      </c>
      <c r="AE783" s="204"/>
      <c r="AX783" s="3" t="str">
        <f t="shared" si="203"/>
        <v/>
      </c>
    </row>
    <row r="784" spans="1:50" s="155" customFormat="1" ht="30" hidden="1" customHeight="1">
      <c r="A784" s="141" t="str">
        <f t="shared" ref="A784:A835" si="214">IF(S784="IN",$E$6,"")</f>
        <v/>
      </c>
      <c r="B784" s="141" t="str">
        <f t="shared" ref="B784:B835" si="215">IF(S784="IN","Muc "&amp;$E$7,"")</f>
        <v/>
      </c>
      <c r="C784" s="205" t="str" cm="1">
        <f t="array" ref="C784">IF(D784="","",
    IF(AND(ISNUMBER(D784), D784=INT(D784)),
        $V$6 &amp; " " &amp; (IFERROR(MAX($Y$12:$Y783), 0) + 1),
        IF(ISNUMBER(SEARCH(".", D784)), "", INDEX($C$12:$C784, MATCH(2, 1/($C$12:$C784 &lt;&gt; ""))))
    )
)</f>
        <v/>
      </c>
      <c r="D784" s="206"/>
      <c r="E784" s="206" t="str">
        <f>IF(AA784 = "", "",
    IF(ISNUMBER(SEARCH("Kiện", C784)),
       " GÓI " &amp; COUNTIF($C$13:C784, "*Kiện*") &amp; "/" &amp; COUNTIF($C$13:$C$1000, "*Kiện*") &amp; " " &amp; AA784,
       AA784)
)</f>
        <v/>
      </c>
      <c r="F784" s="206"/>
      <c r="G784" s="206"/>
      <c r="H784" s="206"/>
      <c r="I784" s="206"/>
      <c r="J784" s="206" t="str">
        <f t="shared" ref="J784:J835" si="216">IF(C784&lt;&gt;"",C784&amp;"_"&amp;$E$6,"")</f>
        <v/>
      </c>
      <c r="K784" s="206" t="str">
        <f t="shared" si="204"/>
        <v/>
      </c>
      <c r="L784" s="206" t="str">
        <f t="shared" si="205"/>
        <v/>
      </c>
      <c r="M784" s="206" t="str">
        <f t="shared" si="206"/>
        <v/>
      </c>
      <c r="N784" s="206" t="str">
        <f t="shared" ref="N784:N835" si="217">IF(C784&lt;&gt;"",I784,"")</f>
        <v/>
      </c>
      <c r="O784" s="206" t="str">
        <f t="shared" si="207"/>
        <v/>
      </c>
      <c r="P784" s="165" t="str">
        <f t="shared" si="208"/>
        <v/>
      </c>
      <c r="Q784" s="207"/>
      <c r="R784" s="141" t="str">
        <f>IF(S784="IN",'BOM_Phan II'!$Y$3,"")</f>
        <v/>
      </c>
      <c r="S784" s="153" t="str">
        <f t="shared" si="209"/>
        <v/>
      </c>
      <c r="T784">
        <f t="shared" si="210"/>
        <v>6</v>
      </c>
      <c r="U784" s="208" t="str">
        <f t="shared" ref="U784:U835" si="218">IF(C784="",U783,C784)</f>
        <v>KIỆN 9</v>
      </c>
      <c r="V784" s="208" t="str">
        <f t="shared" si="211"/>
        <v/>
      </c>
      <c r="W784" s="240"/>
      <c r="X784" s="240"/>
      <c r="Y784" s="240" t="str">
        <f t="shared" si="212"/>
        <v/>
      </c>
      <c r="Z784" s="240"/>
      <c r="AD784" s="232" t="str">
        <f t="shared" si="213"/>
        <v/>
      </c>
      <c r="AE784" s="204"/>
      <c r="AX784" s="3" t="str">
        <f t="shared" si="203"/>
        <v/>
      </c>
    </row>
    <row r="785" spans="1:50" s="155" customFormat="1" ht="30" hidden="1" customHeight="1">
      <c r="A785" s="141" t="str">
        <f t="shared" si="214"/>
        <v/>
      </c>
      <c r="B785" s="141" t="str">
        <f t="shared" si="215"/>
        <v/>
      </c>
      <c r="C785" s="205" t="str" cm="1">
        <f t="array" ref="C785">IF(D785="","",
    IF(AND(ISNUMBER(D785), D785=INT(D785)),
        $V$6 &amp; " " &amp; (IFERROR(MAX($Y$12:$Y784), 0) + 1),
        IF(ISNUMBER(SEARCH(".", D785)), "", INDEX($C$12:$C785, MATCH(2, 1/($C$12:$C785 &lt;&gt; ""))))
    )
)</f>
        <v/>
      </c>
      <c r="D785" s="206"/>
      <c r="E785" s="206" t="str">
        <f>IF(AA785 = "", "",
    IF(ISNUMBER(SEARCH("Kiện", C785)),
       " GÓI " &amp; COUNTIF($C$13:C785, "*Kiện*") &amp; "/" &amp; COUNTIF($C$13:$C$1000, "*Kiện*") &amp; " " &amp; AA785,
       AA785)
)</f>
        <v/>
      </c>
      <c r="F785" s="206"/>
      <c r="G785" s="206"/>
      <c r="H785" s="206"/>
      <c r="I785" s="206"/>
      <c r="J785" s="206" t="str">
        <f t="shared" si="216"/>
        <v/>
      </c>
      <c r="K785" s="206" t="str">
        <f t="shared" si="204"/>
        <v/>
      </c>
      <c r="L785" s="206" t="str">
        <f t="shared" si="205"/>
        <v/>
      </c>
      <c r="M785" s="206" t="str">
        <f t="shared" si="206"/>
        <v/>
      </c>
      <c r="N785" s="206" t="str">
        <f t="shared" si="217"/>
        <v/>
      </c>
      <c r="O785" s="206" t="str">
        <f t="shared" si="207"/>
        <v/>
      </c>
      <c r="P785" s="165" t="str">
        <f t="shared" si="208"/>
        <v/>
      </c>
      <c r="Q785" s="207"/>
      <c r="R785" s="141" t="str">
        <f>IF(S785="IN",'BOM_Phan II'!$Y$3,"")</f>
        <v/>
      </c>
      <c r="S785" s="153" t="str">
        <f t="shared" si="209"/>
        <v/>
      </c>
      <c r="T785">
        <f t="shared" si="210"/>
        <v>6</v>
      </c>
      <c r="U785" s="208" t="str">
        <f t="shared" si="218"/>
        <v>KIỆN 9</v>
      </c>
      <c r="V785" s="208" t="str">
        <f t="shared" si="211"/>
        <v/>
      </c>
      <c r="W785" s="240"/>
      <c r="X785" s="240"/>
      <c r="Y785" s="240" t="str">
        <f t="shared" si="212"/>
        <v/>
      </c>
      <c r="Z785" s="240"/>
      <c r="AD785" s="232" t="str">
        <f t="shared" si="213"/>
        <v/>
      </c>
      <c r="AE785" s="204"/>
      <c r="AX785" s="3" t="str">
        <f t="shared" si="203"/>
        <v/>
      </c>
    </row>
    <row r="786" spans="1:50" s="155" customFormat="1" ht="30" hidden="1" customHeight="1">
      <c r="A786" s="141" t="str">
        <f t="shared" si="214"/>
        <v/>
      </c>
      <c r="B786" s="141" t="str">
        <f t="shared" si="215"/>
        <v/>
      </c>
      <c r="C786" s="205" t="str" cm="1">
        <f t="array" ref="C786">IF(D786="","",
    IF(AND(ISNUMBER(D786), D786=INT(D786)),
        $V$6 &amp; " " &amp; (IFERROR(MAX($Y$12:$Y785), 0) + 1),
        IF(ISNUMBER(SEARCH(".", D786)), "", INDEX($C$12:$C786, MATCH(2, 1/($C$12:$C786 &lt;&gt; ""))))
    )
)</f>
        <v/>
      </c>
      <c r="D786" s="206"/>
      <c r="E786" s="206" t="str">
        <f>IF(AA786 = "", "",
    IF(ISNUMBER(SEARCH("Kiện", C786)),
       " GÓI " &amp; COUNTIF($C$13:C786, "*Kiện*") &amp; "/" &amp; COUNTIF($C$13:$C$1000, "*Kiện*") &amp; " " &amp; AA786,
       AA786)
)</f>
        <v/>
      </c>
      <c r="F786" s="206"/>
      <c r="G786" s="206"/>
      <c r="H786" s="206"/>
      <c r="I786" s="206"/>
      <c r="J786" s="206" t="str">
        <f t="shared" si="216"/>
        <v/>
      </c>
      <c r="K786" s="206" t="str">
        <f t="shared" si="204"/>
        <v/>
      </c>
      <c r="L786" s="206" t="str">
        <f t="shared" si="205"/>
        <v/>
      </c>
      <c r="M786" s="206" t="str">
        <f t="shared" si="206"/>
        <v/>
      </c>
      <c r="N786" s="206" t="str">
        <f t="shared" si="217"/>
        <v/>
      </c>
      <c r="O786" s="206" t="str">
        <f t="shared" si="207"/>
        <v/>
      </c>
      <c r="P786" s="165" t="str">
        <f t="shared" si="208"/>
        <v/>
      </c>
      <c r="Q786" s="207"/>
      <c r="R786" s="141" t="str">
        <f>IF(S786="IN",'BOM_Phan II'!$Y$3,"")</f>
        <v/>
      </c>
      <c r="S786" s="153" t="str">
        <f t="shared" si="209"/>
        <v/>
      </c>
      <c r="T786">
        <f t="shared" si="210"/>
        <v>6</v>
      </c>
      <c r="U786" s="208" t="str">
        <f t="shared" si="218"/>
        <v>KIỆN 9</v>
      </c>
      <c r="V786" s="208" t="str">
        <f t="shared" si="211"/>
        <v/>
      </c>
      <c r="W786" s="240"/>
      <c r="X786" s="240"/>
      <c r="Y786" s="240" t="str">
        <f t="shared" si="212"/>
        <v/>
      </c>
      <c r="Z786" s="240"/>
      <c r="AD786" s="232" t="str">
        <f t="shared" si="213"/>
        <v/>
      </c>
      <c r="AE786" s="204"/>
      <c r="AX786" s="3" t="str">
        <f t="shared" si="203"/>
        <v/>
      </c>
    </row>
    <row r="787" spans="1:50" s="155" customFormat="1" ht="30" hidden="1" customHeight="1">
      <c r="A787" s="141" t="str">
        <f t="shared" si="214"/>
        <v/>
      </c>
      <c r="B787" s="141" t="str">
        <f t="shared" si="215"/>
        <v/>
      </c>
      <c r="C787" s="205" t="str" cm="1">
        <f t="array" ref="C787">IF(D787="","",
    IF(AND(ISNUMBER(D787), D787=INT(D787)),
        $V$6 &amp; " " &amp; (IFERROR(MAX($Y$12:$Y786), 0) + 1),
        IF(ISNUMBER(SEARCH(".", D787)), "", INDEX($C$12:$C787, MATCH(2, 1/($C$12:$C787 &lt;&gt; ""))))
    )
)</f>
        <v/>
      </c>
      <c r="D787" s="206"/>
      <c r="E787" s="206" t="str">
        <f>IF(AA787 = "", "",
    IF(ISNUMBER(SEARCH("Kiện", C787)),
       " GÓI " &amp; COUNTIF($C$13:C787, "*Kiện*") &amp; "/" &amp; COUNTIF($C$13:$C$1000, "*Kiện*") &amp; " " &amp; AA787,
       AA787)
)</f>
        <v/>
      </c>
      <c r="F787" s="206"/>
      <c r="G787" s="206"/>
      <c r="H787" s="206"/>
      <c r="I787" s="206"/>
      <c r="J787" s="206" t="str">
        <f t="shared" si="216"/>
        <v/>
      </c>
      <c r="K787" s="206" t="str">
        <f t="shared" si="204"/>
        <v/>
      </c>
      <c r="L787" s="206" t="str">
        <f t="shared" si="205"/>
        <v/>
      </c>
      <c r="M787" s="206" t="str">
        <f t="shared" si="206"/>
        <v/>
      </c>
      <c r="N787" s="206" t="str">
        <f t="shared" si="217"/>
        <v/>
      </c>
      <c r="O787" s="206" t="str">
        <f t="shared" si="207"/>
        <v/>
      </c>
      <c r="P787" s="165" t="str">
        <f t="shared" si="208"/>
        <v/>
      </c>
      <c r="Q787" s="207"/>
      <c r="R787" s="141" t="str">
        <f>IF(S787="IN",'BOM_Phan II'!$Y$3,"")</f>
        <v/>
      </c>
      <c r="S787" s="153" t="str">
        <f t="shared" si="209"/>
        <v/>
      </c>
      <c r="T787">
        <f t="shared" si="210"/>
        <v>6</v>
      </c>
      <c r="U787" s="208" t="str">
        <f t="shared" si="218"/>
        <v>KIỆN 9</v>
      </c>
      <c r="V787" s="208" t="str">
        <f t="shared" si="211"/>
        <v/>
      </c>
      <c r="W787" s="240"/>
      <c r="X787" s="240"/>
      <c r="Y787" s="240" t="str">
        <f t="shared" si="212"/>
        <v/>
      </c>
      <c r="Z787" s="240"/>
      <c r="AD787" s="232" t="str">
        <f t="shared" si="213"/>
        <v/>
      </c>
      <c r="AE787" s="204"/>
      <c r="AX787" s="3" t="str">
        <f t="shared" si="203"/>
        <v/>
      </c>
    </row>
    <row r="788" spans="1:50" s="155" customFormat="1" ht="30" hidden="1" customHeight="1">
      <c r="A788" s="141" t="str">
        <f t="shared" si="214"/>
        <v/>
      </c>
      <c r="B788" s="141" t="str">
        <f t="shared" si="215"/>
        <v/>
      </c>
      <c r="C788" s="205" t="str" cm="1">
        <f t="array" ref="C788">IF(D788="","",
    IF(AND(ISNUMBER(D788), D788=INT(D788)),
        $V$6 &amp; " " &amp; (IFERROR(MAX($Y$12:$Y787), 0) + 1),
        IF(ISNUMBER(SEARCH(".", D788)), "", INDEX($C$12:$C788, MATCH(2, 1/($C$12:$C788 &lt;&gt; ""))))
    )
)</f>
        <v/>
      </c>
      <c r="D788" s="206"/>
      <c r="E788" s="206" t="str">
        <f>IF(AA788 = "", "",
    IF(ISNUMBER(SEARCH("Kiện", C788)),
       " GÓI " &amp; COUNTIF($C$13:C788, "*Kiện*") &amp; "/" &amp; COUNTIF($C$13:$C$1000, "*Kiện*") &amp; " " &amp; AA788,
       AA788)
)</f>
        <v/>
      </c>
      <c r="F788" s="206"/>
      <c r="G788" s="206"/>
      <c r="H788" s="206"/>
      <c r="I788" s="206"/>
      <c r="J788" s="206" t="str">
        <f t="shared" si="216"/>
        <v/>
      </c>
      <c r="K788" s="206" t="str">
        <f t="shared" si="204"/>
        <v/>
      </c>
      <c r="L788" s="206" t="str">
        <f t="shared" si="205"/>
        <v/>
      </c>
      <c r="M788" s="206" t="str">
        <f t="shared" si="206"/>
        <v/>
      </c>
      <c r="N788" s="206" t="str">
        <f t="shared" si="217"/>
        <v/>
      </c>
      <c r="O788" s="206" t="str">
        <f t="shared" si="207"/>
        <v/>
      </c>
      <c r="P788" s="165" t="str">
        <f t="shared" si="208"/>
        <v/>
      </c>
      <c r="Q788" s="207"/>
      <c r="R788" s="141" t="str">
        <f>IF(S788="IN",'BOM_Phan II'!$Y$3,"")</f>
        <v/>
      </c>
      <c r="S788" s="153" t="str">
        <f t="shared" si="209"/>
        <v/>
      </c>
      <c r="T788">
        <f t="shared" si="210"/>
        <v>6</v>
      </c>
      <c r="U788" s="208" t="str">
        <f t="shared" si="218"/>
        <v>KIỆN 9</v>
      </c>
      <c r="V788" s="208" t="str">
        <f t="shared" si="211"/>
        <v/>
      </c>
      <c r="W788" s="240"/>
      <c r="X788" s="240"/>
      <c r="Y788" s="240" t="str">
        <f t="shared" si="212"/>
        <v/>
      </c>
      <c r="Z788" s="240"/>
      <c r="AD788" s="232" t="str">
        <f t="shared" si="213"/>
        <v/>
      </c>
      <c r="AE788" s="204"/>
      <c r="AX788" s="3" t="str">
        <f t="shared" si="203"/>
        <v/>
      </c>
    </row>
    <row r="789" spans="1:50" s="155" customFormat="1" ht="30" hidden="1" customHeight="1">
      <c r="A789" s="141" t="str">
        <f t="shared" si="214"/>
        <v/>
      </c>
      <c r="B789" s="141" t="str">
        <f t="shared" si="215"/>
        <v/>
      </c>
      <c r="C789" s="205" t="str" cm="1">
        <f t="array" ref="C789">IF(D789="","",
    IF(AND(ISNUMBER(D789), D789=INT(D789)),
        $V$6 &amp; " " &amp; (IFERROR(MAX($Y$12:$Y788), 0) + 1),
        IF(ISNUMBER(SEARCH(".", D789)), "", INDEX($C$12:$C789, MATCH(2, 1/($C$12:$C789 &lt;&gt; ""))))
    )
)</f>
        <v/>
      </c>
      <c r="D789" s="206"/>
      <c r="E789" s="206" t="str">
        <f>IF(AA789 = "", "",
    IF(ISNUMBER(SEARCH("Kiện", C789)),
       " GÓI " &amp; COUNTIF($C$13:C789, "*Kiện*") &amp; "/" &amp; COUNTIF($C$13:$C$1000, "*Kiện*") &amp; " " &amp; AA789,
       AA789)
)</f>
        <v/>
      </c>
      <c r="F789" s="206"/>
      <c r="G789" s="206"/>
      <c r="H789" s="206"/>
      <c r="I789" s="206"/>
      <c r="J789" s="206" t="str">
        <f t="shared" si="216"/>
        <v/>
      </c>
      <c r="K789" s="206" t="str">
        <f t="shared" si="204"/>
        <v/>
      </c>
      <c r="L789" s="206" t="str">
        <f t="shared" si="205"/>
        <v/>
      </c>
      <c r="M789" s="206" t="str">
        <f t="shared" si="206"/>
        <v/>
      </c>
      <c r="N789" s="206" t="str">
        <f t="shared" si="217"/>
        <v/>
      </c>
      <c r="O789" s="206" t="str">
        <f t="shared" si="207"/>
        <v/>
      </c>
      <c r="P789" s="165" t="str">
        <f t="shared" si="208"/>
        <v/>
      </c>
      <c r="Q789" s="207"/>
      <c r="R789" s="141" t="str">
        <f>IF(S789="IN",'BOM_Phan II'!$Y$3,"")</f>
        <v/>
      </c>
      <c r="S789" s="153" t="str">
        <f t="shared" si="209"/>
        <v/>
      </c>
      <c r="T789">
        <f t="shared" si="210"/>
        <v>6</v>
      </c>
      <c r="U789" s="208" t="str">
        <f t="shared" si="218"/>
        <v>KIỆN 9</v>
      </c>
      <c r="V789" s="208" t="str">
        <f t="shared" si="211"/>
        <v/>
      </c>
      <c r="W789" s="240"/>
      <c r="X789" s="240"/>
      <c r="Y789" s="240" t="str">
        <f t="shared" si="212"/>
        <v/>
      </c>
      <c r="Z789" s="240"/>
      <c r="AD789" s="232" t="str">
        <f t="shared" si="213"/>
        <v/>
      </c>
      <c r="AE789" s="204"/>
      <c r="AX789" s="3" t="str">
        <f t="shared" si="203"/>
        <v/>
      </c>
    </row>
    <row r="790" spans="1:50" s="155" customFormat="1" ht="30" hidden="1" customHeight="1">
      <c r="A790" s="141" t="str">
        <f t="shared" si="214"/>
        <v/>
      </c>
      <c r="B790" s="141" t="str">
        <f t="shared" si="215"/>
        <v/>
      </c>
      <c r="C790" s="205" t="str" cm="1">
        <f t="array" ref="C790">IF(D790="","",
    IF(AND(ISNUMBER(D790), D790=INT(D790)),
        $V$6 &amp; " " &amp; (IFERROR(MAX($Y$12:$Y789), 0) + 1),
        IF(ISNUMBER(SEARCH(".", D790)), "", INDEX($C$12:$C790, MATCH(2, 1/($C$12:$C790 &lt;&gt; ""))))
    )
)</f>
        <v/>
      </c>
      <c r="D790" s="206"/>
      <c r="E790" s="206" t="str">
        <f>IF(AA790 = "", "",
    IF(ISNUMBER(SEARCH("Kiện", C790)),
       " GÓI " &amp; COUNTIF($C$13:C790, "*Kiện*") &amp; "/" &amp; COUNTIF($C$13:$C$1000, "*Kiện*") &amp; " " &amp; AA790,
       AA790)
)</f>
        <v/>
      </c>
      <c r="F790" s="206"/>
      <c r="G790" s="206"/>
      <c r="H790" s="206"/>
      <c r="I790" s="206"/>
      <c r="J790" s="206" t="str">
        <f t="shared" si="216"/>
        <v/>
      </c>
      <c r="K790" s="206" t="str">
        <f t="shared" si="204"/>
        <v/>
      </c>
      <c r="L790" s="206" t="str">
        <f t="shared" si="205"/>
        <v/>
      </c>
      <c r="M790" s="206" t="str">
        <f t="shared" si="206"/>
        <v/>
      </c>
      <c r="N790" s="206" t="str">
        <f t="shared" si="217"/>
        <v/>
      </c>
      <c r="O790" s="206" t="str">
        <f t="shared" si="207"/>
        <v/>
      </c>
      <c r="P790" s="165" t="str">
        <f t="shared" si="208"/>
        <v/>
      </c>
      <c r="Q790" s="207"/>
      <c r="R790" s="141" t="str">
        <f>IF(S790="IN",'BOM_Phan II'!$Y$3,"")</f>
        <v/>
      </c>
      <c r="S790" s="153" t="str">
        <f t="shared" si="209"/>
        <v/>
      </c>
      <c r="T790">
        <f t="shared" si="210"/>
        <v>6</v>
      </c>
      <c r="U790" s="208" t="str">
        <f t="shared" si="218"/>
        <v>KIỆN 9</v>
      </c>
      <c r="V790" s="208" t="str">
        <f t="shared" si="211"/>
        <v/>
      </c>
      <c r="W790" s="240"/>
      <c r="X790" s="240"/>
      <c r="Y790" s="240" t="str">
        <f t="shared" si="212"/>
        <v/>
      </c>
      <c r="Z790" s="240"/>
      <c r="AD790" s="232" t="str">
        <f t="shared" si="213"/>
        <v/>
      </c>
      <c r="AE790" s="204"/>
      <c r="AX790" s="3" t="str">
        <f t="shared" si="203"/>
        <v/>
      </c>
    </row>
    <row r="791" spans="1:50" s="155" customFormat="1" ht="30" hidden="1" customHeight="1">
      <c r="A791" s="141" t="str">
        <f t="shared" si="214"/>
        <v/>
      </c>
      <c r="B791" s="141" t="str">
        <f t="shared" si="215"/>
        <v/>
      </c>
      <c r="C791" s="205" t="str" cm="1">
        <f t="array" ref="C791">IF(D791="","",
    IF(AND(ISNUMBER(D791), D791=INT(D791)),
        $V$6 &amp; " " &amp; (IFERROR(MAX($Y$12:$Y790), 0) + 1),
        IF(ISNUMBER(SEARCH(".", D791)), "", INDEX($C$12:$C791, MATCH(2, 1/($C$12:$C791 &lt;&gt; ""))))
    )
)</f>
        <v/>
      </c>
      <c r="D791" s="206"/>
      <c r="E791" s="206" t="str">
        <f>IF(AA791 = "", "",
    IF(ISNUMBER(SEARCH("Kiện", C791)),
       " GÓI " &amp; COUNTIF($C$13:C791, "*Kiện*") &amp; "/" &amp; COUNTIF($C$13:$C$1000, "*Kiện*") &amp; " " &amp; AA791,
       AA791)
)</f>
        <v/>
      </c>
      <c r="F791" s="206"/>
      <c r="G791" s="206"/>
      <c r="H791" s="206"/>
      <c r="I791" s="206"/>
      <c r="J791" s="206" t="str">
        <f t="shared" si="216"/>
        <v/>
      </c>
      <c r="K791" s="206" t="str">
        <f t="shared" si="204"/>
        <v/>
      </c>
      <c r="L791" s="206" t="str">
        <f t="shared" si="205"/>
        <v/>
      </c>
      <c r="M791" s="206" t="str">
        <f t="shared" si="206"/>
        <v/>
      </c>
      <c r="N791" s="206" t="str">
        <f t="shared" si="217"/>
        <v/>
      </c>
      <c r="O791" s="206" t="str">
        <f t="shared" si="207"/>
        <v/>
      </c>
      <c r="P791" s="165" t="str">
        <f t="shared" si="208"/>
        <v/>
      </c>
      <c r="Q791" s="207"/>
      <c r="R791" s="141" t="str">
        <f>IF(S791="IN",'BOM_Phan II'!$Y$3,"")</f>
        <v/>
      </c>
      <c r="S791" s="153" t="str">
        <f t="shared" si="209"/>
        <v/>
      </c>
      <c r="T791">
        <f t="shared" si="210"/>
        <v>6</v>
      </c>
      <c r="U791" s="208" t="str">
        <f t="shared" si="218"/>
        <v>KIỆN 9</v>
      </c>
      <c r="V791" s="208" t="str">
        <f t="shared" si="211"/>
        <v/>
      </c>
      <c r="W791" s="240"/>
      <c r="X791" s="240"/>
      <c r="Y791" s="240" t="str">
        <f t="shared" si="212"/>
        <v/>
      </c>
      <c r="Z791" s="240"/>
      <c r="AD791" s="232" t="str">
        <f t="shared" si="213"/>
        <v/>
      </c>
      <c r="AE791" s="204"/>
      <c r="AX791" s="3" t="str">
        <f t="shared" si="203"/>
        <v/>
      </c>
    </row>
    <row r="792" spans="1:50" s="155" customFormat="1" ht="30" hidden="1" customHeight="1">
      <c r="A792" s="141" t="str">
        <f t="shared" si="214"/>
        <v/>
      </c>
      <c r="B792" s="141" t="str">
        <f t="shared" si="215"/>
        <v/>
      </c>
      <c r="C792" s="205" t="str" cm="1">
        <f t="array" ref="C792">IF(D792="","",
    IF(AND(ISNUMBER(D792), D792=INT(D792)),
        $V$6 &amp; " " &amp; (IFERROR(MAX($Y$12:$Y791), 0) + 1),
        IF(ISNUMBER(SEARCH(".", D792)), "", INDEX($C$12:$C792, MATCH(2, 1/($C$12:$C792 &lt;&gt; ""))))
    )
)</f>
        <v/>
      </c>
      <c r="D792" s="206"/>
      <c r="E792" s="206" t="str">
        <f>IF(AA792 = "", "",
    IF(ISNUMBER(SEARCH("Kiện", C792)),
       " GÓI " &amp; COUNTIF($C$13:C792, "*Kiện*") &amp; "/" &amp; COUNTIF($C$13:$C$1000, "*Kiện*") &amp; " " &amp; AA792,
       AA792)
)</f>
        <v/>
      </c>
      <c r="F792" s="206"/>
      <c r="G792" s="206"/>
      <c r="H792" s="206"/>
      <c r="I792" s="206"/>
      <c r="J792" s="206" t="str">
        <f t="shared" si="216"/>
        <v/>
      </c>
      <c r="K792" s="206" t="str">
        <f t="shared" si="204"/>
        <v/>
      </c>
      <c r="L792" s="206" t="str">
        <f t="shared" si="205"/>
        <v/>
      </c>
      <c r="M792" s="206" t="str">
        <f t="shared" si="206"/>
        <v/>
      </c>
      <c r="N792" s="206" t="str">
        <f t="shared" si="217"/>
        <v/>
      </c>
      <c r="O792" s="206" t="str">
        <f t="shared" si="207"/>
        <v/>
      </c>
      <c r="P792" s="165" t="str">
        <f t="shared" si="208"/>
        <v/>
      </c>
      <c r="Q792" s="207"/>
      <c r="R792" s="141" t="str">
        <f>IF(S792="IN",'BOM_Phan II'!$Y$3,"")</f>
        <v/>
      </c>
      <c r="S792" s="153" t="str">
        <f t="shared" si="209"/>
        <v/>
      </c>
      <c r="T792">
        <f t="shared" si="210"/>
        <v>6</v>
      </c>
      <c r="U792" s="208" t="str">
        <f t="shared" si="218"/>
        <v>KIỆN 9</v>
      </c>
      <c r="V792" s="208" t="str">
        <f t="shared" si="211"/>
        <v/>
      </c>
      <c r="W792" s="240"/>
      <c r="X792" s="240"/>
      <c r="Y792" s="240" t="str">
        <f t="shared" si="212"/>
        <v/>
      </c>
      <c r="Z792" s="240"/>
      <c r="AD792" s="232" t="str">
        <f t="shared" si="213"/>
        <v/>
      </c>
      <c r="AE792" s="204"/>
      <c r="AX792" s="3" t="str">
        <f t="shared" si="203"/>
        <v/>
      </c>
    </row>
    <row r="793" spans="1:50" s="155" customFormat="1" ht="30" hidden="1" customHeight="1">
      <c r="A793" s="141" t="str">
        <f t="shared" si="214"/>
        <v/>
      </c>
      <c r="B793" s="141" t="str">
        <f t="shared" si="215"/>
        <v/>
      </c>
      <c r="C793" s="205" t="str" cm="1">
        <f t="array" ref="C793">IF(D793="","",
    IF(AND(ISNUMBER(D793), D793=INT(D793)),
        $V$6 &amp; " " &amp; (IFERROR(MAX($Y$12:$Y792), 0) + 1),
        IF(ISNUMBER(SEARCH(".", D793)), "", INDEX($C$12:$C793, MATCH(2, 1/($C$12:$C793 &lt;&gt; ""))))
    )
)</f>
        <v/>
      </c>
      <c r="D793" s="206"/>
      <c r="E793" s="206" t="str">
        <f>IF(AA793 = "", "",
    IF(ISNUMBER(SEARCH("Kiện", C793)),
       " GÓI " &amp; COUNTIF($C$13:C793, "*Kiện*") &amp; "/" &amp; COUNTIF($C$13:$C$1000, "*Kiện*") &amp; " " &amp; AA793,
       AA793)
)</f>
        <v/>
      </c>
      <c r="F793" s="206"/>
      <c r="G793" s="206"/>
      <c r="H793" s="206"/>
      <c r="I793" s="206"/>
      <c r="J793" s="206" t="str">
        <f t="shared" si="216"/>
        <v/>
      </c>
      <c r="K793" s="206" t="str">
        <f t="shared" si="204"/>
        <v/>
      </c>
      <c r="L793" s="206" t="str">
        <f t="shared" si="205"/>
        <v/>
      </c>
      <c r="M793" s="206" t="str">
        <f t="shared" si="206"/>
        <v/>
      </c>
      <c r="N793" s="206" t="str">
        <f t="shared" si="217"/>
        <v/>
      </c>
      <c r="O793" s="206" t="str">
        <f t="shared" si="207"/>
        <v/>
      </c>
      <c r="P793" s="165" t="str">
        <f t="shared" si="208"/>
        <v/>
      </c>
      <c r="Q793" s="207"/>
      <c r="R793" s="141" t="str">
        <f>IF(S793="IN",'BOM_Phan II'!$Y$3,"")</f>
        <v/>
      </c>
      <c r="S793" s="153" t="str">
        <f t="shared" si="209"/>
        <v/>
      </c>
      <c r="T793">
        <f t="shared" si="210"/>
        <v>6</v>
      </c>
      <c r="U793" s="208" t="str">
        <f t="shared" si="218"/>
        <v>KIỆN 9</v>
      </c>
      <c r="V793" s="208" t="str">
        <f t="shared" si="211"/>
        <v/>
      </c>
      <c r="W793" s="240"/>
      <c r="X793" s="240"/>
      <c r="Y793" s="240" t="str">
        <f t="shared" si="212"/>
        <v/>
      </c>
      <c r="Z793" s="240"/>
      <c r="AD793" s="232" t="str">
        <f t="shared" si="213"/>
        <v/>
      </c>
      <c r="AE793" s="204"/>
      <c r="AX793" s="3" t="str">
        <f t="shared" si="203"/>
        <v/>
      </c>
    </row>
    <row r="794" spans="1:50" s="155" customFormat="1" ht="30" hidden="1" customHeight="1">
      <c r="A794" s="141" t="str">
        <f t="shared" si="214"/>
        <v/>
      </c>
      <c r="B794" s="141" t="str">
        <f t="shared" si="215"/>
        <v/>
      </c>
      <c r="C794" s="205" t="str" cm="1">
        <f t="array" ref="C794">IF(D794="","",
    IF(AND(ISNUMBER(D794), D794=INT(D794)),
        $V$6 &amp; " " &amp; (IFERROR(MAX($Y$12:$Y793), 0) + 1),
        IF(ISNUMBER(SEARCH(".", D794)), "", INDEX($C$12:$C794, MATCH(2, 1/($C$12:$C794 &lt;&gt; ""))))
    )
)</f>
        <v/>
      </c>
      <c r="D794" s="206"/>
      <c r="E794" s="206" t="str">
        <f>IF(AA794 = "", "",
    IF(ISNUMBER(SEARCH("Kiện", C794)),
       " GÓI " &amp; COUNTIF($C$13:C794, "*Kiện*") &amp; "/" &amp; COUNTIF($C$13:$C$1000, "*Kiện*") &amp; " " &amp; AA794,
       AA794)
)</f>
        <v/>
      </c>
      <c r="F794" s="206"/>
      <c r="G794" s="206"/>
      <c r="H794" s="206"/>
      <c r="I794" s="206"/>
      <c r="J794" s="206" t="str">
        <f t="shared" si="216"/>
        <v/>
      </c>
      <c r="K794" s="206" t="str">
        <f t="shared" si="204"/>
        <v/>
      </c>
      <c r="L794" s="206" t="str">
        <f t="shared" si="205"/>
        <v/>
      </c>
      <c r="M794" s="206" t="str">
        <f t="shared" si="206"/>
        <v/>
      </c>
      <c r="N794" s="206" t="str">
        <f t="shared" si="217"/>
        <v/>
      </c>
      <c r="O794" s="206" t="str">
        <f t="shared" si="207"/>
        <v/>
      </c>
      <c r="P794" s="165" t="str">
        <f t="shared" si="208"/>
        <v/>
      </c>
      <c r="Q794" s="207"/>
      <c r="R794" s="141" t="str">
        <f>IF(S794="IN",'BOM_Phan II'!$Y$3,"")</f>
        <v/>
      </c>
      <c r="S794" s="153" t="str">
        <f t="shared" si="209"/>
        <v/>
      </c>
      <c r="T794">
        <f t="shared" si="210"/>
        <v>6</v>
      </c>
      <c r="U794" s="208" t="str">
        <f t="shared" si="218"/>
        <v>KIỆN 9</v>
      </c>
      <c r="V794" s="208" t="str">
        <f t="shared" si="211"/>
        <v/>
      </c>
      <c r="W794" s="240"/>
      <c r="X794" s="240"/>
      <c r="Y794" s="240" t="str">
        <f t="shared" si="212"/>
        <v/>
      </c>
      <c r="Z794" s="240"/>
      <c r="AD794" s="232" t="str">
        <f t="shared" si="213"/>
        <v/>
      </c>
      <c r="AE794" s="204"/>
      <c r="AX794" s="3" t="str">
        <f t="shared" si="203"/>
        <v/>
      </c>
    </row>
    <row r="795" spans="1:50" s="155" customFormat="1" ht="30" hidden="1" customHeight="1">
      <c r="A795" s="141" t="str">
        <f t="shared" si="214"/>
        <v/>
      </c>
      <c r="B795" s="141" t="str">
        <f t="shared" si="215"/>
        <v/>
      </c>
      <c r="C795" s="205" t="str" cm="1">
        <f t="array" ref="C795">IF(D795="","",
    IF(AND(ISNUMBER(D795), D795=INT(D795)),
        $V$6 &amp; " " &amp; (IFERROR(MAX($Y$12:$Y794), 0) + 1),
        IF(ISNUMBER(SEARCH(".", D795)), "", INDEX($C$12:$C795, MATCH(2, 1/($C$12:$C795 &lt;&gt; ""))))
    )
)</f>
        <v/>
      </c>
      <c r="D795" s="206"/>
      <c r="E795" s="206" t="str">
        <f>IF(AA795 = "", "",
    IF(ISNUMBER(SEARCH("Kiện", C795)),
       " GÓI " &amp; COUNTIF($C$13:C795, "*Kiện*") &amp; "/" &amp; COUNTIF($C$13:$C$1000, "*Kiện*") &amp; " " &amp; AA795,
       AA795)
)</f>
        <v/>
      </c>
      <c r="F795" s="206"/>
      <c r="G795" s="206"/>
      <c r="H795" s="206"/>
      <c r="I795" s="206"/>
      <c r="J795" s="206" t="str">
        <f t="shared" si="216"/>
        <v/>
      </c>
      <c r="K795" s="206" t="str">
        <f t="shared" si="204"/>
        <v/>
      </c>
      <c r="L795" s="206" t="str">
        <f t="shared" si="205"/>
        <v/>
      </c>
      <c r="M795" s="206" t="str">
        <f t="shared" si="206"/>
        <v/>
      </c>
      <c r="N795" s="206" t="str">
        <f t="shared" si="217"/>
        <v/>
      </c>
      <c r="O795" s="206" t="str">
        <f t="shared" si="207"/>
        <v/>
      </c>
      <c r="P795" s="165" t="str">
        <f t="shared" si="208"/>
        <v/>
      </c>
      <c r="Q795" s="207"/>
      <c r="R795" s="141" t="str">
        <f>IF(S795="IN",'BOM_Phan II'!$Y$3,"")</f>
        <v/>
      </c>
      <c r="S795" s="153" t="str">
        <f t="shared" si="209"/>
        <v/>
      </c>
      <c r="T795">
        <f t="shared" si="210"/>
        <v>6</v>
      </c>
      <c r="U795" s="208" t="str">
        <f t="shared" si="218"/>
        <v>KIỆN 9</v>
      </c>
      <c r="V795" s="208" t="str">
        <f t="shared" si="211"/>
        <v/>
      </c>
      <c r="W795" s="240"/>
      <c r="X795" s="240"/>
      <c r="Y795" s="240" t="str">
        <f t="shared" si="212"/>
        <v/>
      </c>
      <c r="Z795" s="240"/>
      <c r="AD795" s="232" t="str">
        <f t="shared" si="213"/>
        <v/>
      </c>
      <c r="AE795" s="204"/>
      <c r="AX795" s="3" t="str">
        <f t="shared" si="203"/>
        <v/>
      </c>
    </row>
    <row r="796" spans="1:50" s="155" customFormat="1" ht="30" hidden="1" customHeight="1">
      <c r="A796" s="141" t="str">
        <f t="shared" si="214"/>
        <v/>
      </c>
      <c r="B796" s="141" t="str">
        <f t="shared" si="215"/>
        <v/>
      </c>
      <c r="C796" s="205" t="str" cm="1">
        <f t="array" ref="C796">IF(D796="","",
    IF(AND(ISNUMBER(D796), D796=INT(D796)),
        $V$6 &amp; " " &amp; (IFERROR(MAX($Y$12:$Y795), 0) + 1),
        IF(ISNUMBER(SEARCH(".", D796)), "", INDEX($C$12:$C796, MATCH(2, 1/($C$12:$C796 &lt;&gt; ""))))
    )
)</f>
        <v/>
      </c>
      <c r="D796" s="206"/>
      <c r="E796" s="206" t="str">
        <f>IF(AA796 = "", "",
    IF(ISNUMBER(SEARCH("Kiện", C796)),
       " GÓI " &amp; COUNTIF($C$13:C796, "*Kiện*") &amp; "/" &amp; COUNTIF($C$13:$C$1000, "*Kiện*") &amp; " " &amp; AA796,
       AA796)
)</f>
        <v/>
      </c>
      <c r="F796" s="206"/>
      <c r="G796" s="206"/>
      <c r="H796" s="206"/>
      <c r="I796" s="206"/>
      <c r="J796" s="206" t="str">
        <f t="shared" si="216"/>
        <v/>
      </c>
      <c r="K796" s="206" t="str">
        <f t="shared" si="204"/>
        <v/>
      </c>
      <c r="L796" s="206" t="str">
        <f t="shared" si="205"/>
        <v/>
      </c>
      <c r="M796" s="206" t="str">
        <f t="shared" si="206"/>
        <v/>
      </c>
      <c r="N796" s="206" t="str">
        <f t="shared" si="217"/>
        <v/>
      </c>
      <c r="O796" s="206" t="str">
        <f t="shared" si="207"/>
        <v/>
      </c>
      <c r="P796" s="165" t="str">
        <f t="shared" si="208"/>
        <v/>
      </c>
      <c r="Q796" s="207"/>
      <c r="R796" s="141" t="str">
        <f>IF(S796="IN",'BOM_Phan II'!$Y$3,"")</f>
        <v/>
      </c>
      <c r="S796" s="153" t="str">
        <f t="shared" si="209"/>
        <v/>
      </c>
      <c r="T796">
        <f t="shared" si="210"/>
        <v>6</v>
      </c>
      <c r="U796" s="208" t="str">
        <f t="shared" si="218"/>
        <v>KIỆN 9</v>
      </c>
      <c r="V796" s="208" t="str">
        <f t="shared" si="211"/>
        <v/>
      </c>
      <c r="W796" s="240"/>
      <c r="X796" s="240"/>
      <c r="Y796" s="240" t="str">
        <f t="shared" si="212"/>
        <v/>
      </c>
      <c r="Z796" s="240"/>
      <c r="AD796" s="232" t="str">
        <f t="shared" si="213"/>
        <v/>
      </c>
      <c r="AE796" s="204"/>
      <c r="AX796" s="3" t="str">
        <f t="shared" si="203"/>
        <v/>
      </c>
    </row>
    <row r="797" spans="1:50" s="155" customFormat="1" ht="30" hidden="1" customHeight="1">
      <c r="A797" s="141" t="str">
        <f t="shared" si="214"/>
        <v/>
      </c>
      <c r="B797" s="141" t="str">
        <f t="shared" si="215"/>
        <v/>
      </c>
      <c r="C797" s="205" t="str" cm="1">
        <f t="array" ref="C797">IF(D797="","",
    IF(AND(ISNUMBER(D797), D797=INT(D797)),
        $V$6 &amp; " " &amp; (IFERROR(MAX($Y$12:$Y796), 0) + 1),
        IF(ISNUMBER(SEARCH(".", D797)), "", INDEX($C$12:$C797, MATCH(2, 1/($C$12:$C797 &lt;&gt; ""))))
    )
)</f>
        <v/>
      </c>
      <c r="D797" s="206"/>
      <c r="E797" s="206" t="str">
        <f>IF(AA797 = "", "",
    IF(ISNUMBER(SEARCH("Kiện", C797)),
       " GÓI " &amp; COUNTIF($C$13:C797, "*Kiện*") &amp; "/" &amp; COUNTIF($C$13:$C$1000, "*Kiện*") &amp; " " &amp; AA797,
       AA797)
)</f>
        <v/>
      </c>
      <c r="F797" s="206"/>
      <c r="G797" s="206"/>
      <c r="H797" s="206"/>
      <c r="I797" s="206"/>
      <c r="J797" s="206" t="str">
        <f t="shared" si="216"/>
        <v/>
      </c>
      <c r="K797" s="206" t="str">
        <f t="shared" si="204"/>
        <v/>
      </c>
      <c r="L797" s="206" t="str">
        <f t="shared" si="205"/>
        <v/>
      </c>
      <c r="M797" s="206" t="str">
        <f t="shared" si="206"/>
        <v/>
      </c>
      <c r="N797" s="206" t="str">
        <f t="shared" si="217"/>
        <v/>
      </c>
      <c r="O797" s="206" t="str">
        <f t="shared" si="207"/>
        <v/>
      </c>
      <c r="P797" s="165" t="str">
        <f t="shared" si="208"/>
        <v/>
      </c>
      <c r="Q797" s="207"/>
      <c r="R797" s="141" t="str">
        <f>IF(S797="IN",'BOM_Phan II'!$Y$3,"")</f>
        <v/>
      </c>
      <c r="S797" s="153" t="str">
        <f t="shared" si="209"/>
        <v/>
      </c>
      <c r="T797">
        <f t="shared" si="210"/>
        <v>6</v>
      </c>
      <c r="U797" s="208" t="str">
        <f t="shared" si="218"/>
        <v>KIỆN 9</v>
      </c>
      <c r="V797" s="208" t="str">
        <f t="shared" si="211"/>
        <v/>
      </c>
      <c r="W797" s="240"/>
      <c r="X797" s="240"/>
      <c r="Y797" s="240" t="str">
        <f t="shared" si="212"/>
        <v/>
      </c>
      <c r="Z797" s="240"/>
      <c r="AD797" s="232" t="str">
        <f t="shared" si="213"/>
        <v/>
      </c>
      <c r="AE797" s="204"/>
      <c r="AX797" s="3" t="str">
        <f t="shared" si="203"/>
        <v/>
      </c>
    </row>
    <row r="798" spans="1:50" s="155" customFormat="1" ht="30" hidden="1" customHeight="1">
      <c r="A798" s="141" t="str">
        <f t="shared" si="214"/>
        <v/>
      </c>
      <c r="B798" s="141" t="str">
        <f t="shared" si="215"/>
        <v/>
      </c>
      <c r="C798" s="205" t="str" cm="1">
        <f t="array" ref="C798">IF(D798="","",
    IF(AND(ISNUMBER(D798), D798=INT(D798)),
        $V$6 &amp; " " &amp; (IFERROR(MAX($Y$12:$Y797), 0) + 1),
        IF(ISNUMBER(SEARCH(".", D798)), "", INDEX($C$12:$C798, MATCH(2, 1/($C$12:$C798 &lt;&gt; ""))))
    )
)</f>
        <v/>
      </c>
      <c r="D798" s="206"/>
      <c r="E798" s="206" t="str">
        <f>IF(AA798 = "", "",
    IF(ISNUMBER(SEARCH("Kiện", C798)),
       " GÓI " &amp; COUNTIF($C$13:C798, "*Kiện*") &amp; "/" &amp; COUNTIF($C$13:$C$1000, "*Kiện*") &amp; " " &amp; AA798,
       AA798)
)</f>
        <v/>
      </c>
      <c r="F798" s="206"/>
      <c r="G798" s="206"/>
      <c r="H798" s="206"/>
      <c r="I798" s="206"/>
      <c r="J798" s="206" t="str">
        <f t="shared" si="216"/>
        <v/>
      </c>
      <c r="K798" s="206" t="str">
        <f t="shared" si="204"/>
        <v/>
      </c>
      <c r="L798" s="206" t="str">
        <f t="shared" si="205"/>
        <v/>
      </c>
      <c r="M798" s="206" t="str">
        <f t="shared" si="206"/>
        <v/>
      </c>
      <c r="N798" s="206" t="str">
        <f t="shared" si="217"/>
        <v/>
      </c>
      <c r="O798" s="206" t="str">
        <f t="shared" si="207"/>
        <v/>
      </c>
      <c r="P798" s="165" t="str">
        <f t="shared" si="208"/>
        <v/>
      </c>
      <c r="Q798" s="207"/>
      <c r="R798" s="141" t="str">
        <f>IF(S798="IN",'BOM_Phan II'!$Y$3,"")</f>
        <v/>
      </c>
      <c r="S798" s="153" t="str">
        <f t="shared" si="209"/>
        <v/>
      </c>
      <c r="T798">
        <f t="shared" si="210"/>
        <v>6</v>
      </c>
      <c r="U798" s="208" t="str">
        <f t="shared" si="218"/>
        <v>KIỆN 9</v>
      </c>
      <c r="V798" s="208" t="str">
        <f t="shared" si="211"/>
        <v/>
      </c>
      <c r="W798" s="240"/>
      <c r="X798" s="240"/>
      <c r="Y798" s="240" t="str">
        <f t="shared" si="212"/>
        <v/>
      </c>
      <c r="Z798" s="240"/>
      <c r="AD798" s="232" t="str">
        <f t="shared" si="213"/>
        <v/>
      </c>
      <c r="AE798" s="204"/>
      <c r="AX798" s="3" t="str">
        <f t="shared" si="203"/>
        <v/>
      </c>
    </row>
    <row r="799" spans="1:50" s="155" customFormat="1" ht="30" hidden="1" customHeight="1">
      <c r="A799" s="141" t="str">
        <f t="shared" si="214"/>
        <v/>
      </c>
      <c r="B799" s="141" t="str">
        <f t="shared" si="215"/>
        <v/>
      </c>
      <c r="C799" s="205" t="str" cm="1">
        <f t="array" ref="C799">IF(D799="","",
    IF(AND(ISNUMBER(D799), D799=INT(D799)),
        $V$6 &amp; " " &amp; (IFERROR(MAX($Y$12:$Y798), 0) + 1),
        IF(ISNUMBER(SEARCH(".", D799)), "", INDEX($C$12:$C799, MATCH(2, 1/($C$12:$C799 &lt;&gt; ""))))
    )
)</f>
        <v/>
      </c>
      <c r="D799" s="206"/>
      <c r="E799" s="206" t="str">
        <f>IF(AA799 = "", "",
    IF(ISNUMBER(SEARCH("Kiện", C799)),
       " GÓI " &amp; COUNTIF($C$13:C799, "*Kiện*") &amp; "/" &amp; COUNTIF($C$13:$C$1000, "*Kiện*") &amp; " " &amp; AA799,
       AA799)
)</f>
        <v/>
      </c>
      <c r="F799" s="206"/>
      <c r="G799" s="206"/>
      <c r="H799" s="206"/>
      <c r="I799" s="206"/>
      <c r="J799" s="206" t="str">
        <f t="shared" si="216"/>
        <v/>
      </c>
      <c r="K799" s="206" t="str">
        <f t="shared" si="204"/>
        <v/>
      </c>
      <c r="L799" s="206" t="str">
        <f t="shared" si="205"/>
        <v/>
      </c>
      <c r="M799" s="206" t="str">
        <f t="shared" si="206"/>
        <v/>
      </c>
      <c r="N799" s="206" t="str">
        <f t="shared" si="217"/>
        <v/>
      </c>
      <c r="O799" s="206" t="str">
        <f t="shared" si="207"/>
        <v/>
      </c>
      <c r="P799" s="165" t="str">
        <f t="shared" si="208"/>
        <v/>
      </c>
      <c r="Q799" s="207"/>
      <c r="R799" s="141" t="str">
        <f>IF(S799="IN",'BOM_Phan II'!$Y$3,"")</f>
        <v/>
      </c>
      <c r="S799" s="153" t="str">
        <f t="shared" si="209"/>
        <v/>
      </c>
      <c r="T799">
        <f t="shared" si="210"/>
        <v>6</v>
      </c>
      <c r="U799" s="208" t="str">
        <f t="shared" si="218"/>
        <v>KIỆN 9</v>
      </c>
      <c r="V799" s="208" t="str">
        <f t="shared" si="211"/>
        <v/>
      </c>
      <c r="W799" s="240"/>
      <c r="X799" s="240"/>
      <c r="Y799" s="240" t="str">
        <f t="shared" si="212"/>
        <v/>
      </c>
      <c r="Z799" s="240"/>
      <c r="AD799" s="232" t="str">
        <f t="shared" si="213"/>
        <v/>
      </c>
      <c r="AE799" s="204"/>
      <c r="AX799" s="3" t="str">
        <f t="shared" si="203"/>
        <v/>
      </c>
    </row>
    <row r="800" spans="1:50" s="155" customFormat="1" ht="30" hidden="1" customHeight="1">
      <c r="A800" s="141" t="str">
        <f t="shared" si="214"/>
        <v/>
      </c>
      <c r="B800" s="141" t="str">
        <f t="shared" si="215"/>
        <v/>
      </c>
      <c r="C800" s="205" t="str" cm="1">
        <f t="array" ref="C800">IF(D800="","",
    IF(AND(ISNUMBER(D800), D800=INT(D800)),
        $V$6 &amp; " " &amp; (IFERROR(MAX($Y$12:$Y799), 0) + 1),
        IF(ISNUMBER(SEARCH(".", D800)), "", INDEX($C$12:$C800, MATCH(2, 1/($C$12:$C800 &lt;&gt; ""))))
    )
)</f>
        <v/>
      </c>
      <c r="D800" s="206"/>
      <c r="E800" s="206" t="str">
        <f>IF(AA800 = "", "",
    IF(ISNUMBER(SEARCH("Kiện", C800)),
       " GÓI " &amp; COUNTIF($C$13:C800, "*Kiện*") &amp; "/" &amp; COUNTIF($C$13:$C$1000, "*Kiện*") &amp; " " &amp; AA800,
       AA800)
)</f>
        <v/>
      </c>
      <c r="F800" s="206"/>
      <c r="G800" s="206"/>
      <c r="H800" s="206"/>
      <c r="I800" s="206"/>
      <c r="J800" s="206" t="str">
        <f t="shared" si="216"/>
        <v/>
      </c>
      <c r="K800" s="206" t="str">
        <f t="shared" si="204"/>
        <v/>
      </c>
      <c r="L800" s="206" t="str">
        <f t="shared" si="205"/>
        <v/>
      </c>
      <c r="M800" s="206" t="str">
        <f t="shared" si="206"/>
        <v/>
      </c>
      <c r="N800" s="206" t="str">
        <f t="shared" si="217"/>
        <v/>
      </c>
      <c r="O800" s="206" t="str">
        <f t="shared" si="207"/>
        <v/>
      </c>
      <c r="P800" s="165" t="str">
        <f t="shared" si="208"/>
        <v/>
      </c>
      <c r="Q800" s="207"/>
      <c r="R800" s="141" t="str">
        <f>IF(S800="IN",'BOM_Phan II'!$Y$3,"")</f>
        <v/>
      </c>
      <c r="S800" s="153" t="str">
        <f t="shared" si="209"/>
        <v/>
      </c>
      <c r="T800">
        <f t="shared" si="210"/>
        <v>6</v>
      </c>
      <c r="U800" s="208" t="str">
        <f t="shared" si="218"/>
        <v>KIỆN 9</v>
      </c>
      <c r="V800" s="208" t="str">
        <f t="shared" si="211"/>
        <v/>
      </c>
      <c r="W800" s="240"/>
      <c r="X800" s="240"/>
      <c r="Y800" s="240" t="str">
        <f t="shared" si="212"/>
        <v/>
      </c>
      <c r="Z800" s="240"/>
      <c r="AD800" s="232" t="str">
        <f t="shared" si="213"/>
        <v/>
      </c>
      <c r="AE800" s="204"/>
      <c r="AX800" s="3" t="str">
        <f t="shared" si="203"/>
        <v/>
      </c>
    </row>
    <row r="801" spans="1:50" s="155" customFormat="1" ht="30" hidden="1" customHeight="1">
      <c r="A801" s="141" t="str">
        <f t="shared" si="214"/>
        <v/>
      </c>
      <c r="B801" s="141" t="str">
        <f t="shared" si="215"/>
        <v/>
      </c>
      <c r="C801" s="205" t="str" cm="1">
        <f t="array" ref="C801">IF(D801="","",
    IF(AND(ISNUMBER(D801), D801=INT(D801)),
        $V$6 &amp; " " &amp; (IFERROR(MAX($Y$12:$Y800), 0) + 1),
        IF(ISNUMBER(SEARCH(".", D801)), "", INDEX($C$12:$C801, MATCH(2, 1/($C$12:$C801 &lt;&gt; ""))))
    )
)</f>
        <v/>
      </c>
      <c r="D801" s="206"/>
      <c r="E801" s="206" t="str">
        <f>IF(AA801 = "", "",
    IF(ISNUMBER(SEARCH("Kiện", C801)),
       " GÓI " &amp; COUNTIF($C$13:C801, "*Kiện*") &amp; "/" &amp; COUNTIF($C$13:$C$1000, "*Kiện*") &amp; " " &amp; AA801,
       AA801)
)</f>
        <v/>
      </c>
      <c r="F801" s="206"/>
      <c r="G801" s="206"/>
      <c r="H801" s="206"/>
      <c r="I801" s="206"/>
      <c r="J801" s="206" t="str">
        <f t="shared" si="216"/>
        <v/>
      </c>
      <c r="K801" s="206" t="str">
        <f t="shared" si="204"/>
        <v/>
      </c>
      <c r="L801" s="206" t="str">
        <f t="shared" si="205"/>
        <v/>
      </c>
      <c r="M801" s="206" t="str">
        <f t="shared" si="206"/>
        <v/>
      </c>
      <c r="N801" s="206" t="str">
        <f t="shared" si="217"/>
        <v/>
      </c>
      <c r="O801" s="206" t="str">
        <f t="shared" si="207"/>
        <v/>
      </c>
      <c r="P801" s="165" t="str">
        <f t="shared" si="208"/>
        <v/>
      </c>
      <c r="Q801" s="207"/>
      <c r="R801" s="141" t="str">
        <f>IF(S801="IN",'BOM_Phan II'!$Y$3,"")</f>
        <v/>
      </c>
      <c r="S801" s="153" t="str">
        <f t="shared" si="209"/>
        <v/>
      </c>
      <c r="T801">
        <f t="shared" si="210"/>
        <v>6</v>
      </c>
      <c r="U801" s="208" t="str">
        <f t="shared" si="218"/>
        <v>KIỆN 9</v>
      </c>
      <c r="V801" s="208" t="str">
        <f t="shared" si="211"/>
        <v/>
      </c>
      <c r="W801" s="240"/>
      <c r="X801" s="240"/>
      <c r="Y801" s="240" t="str">
        <f t="shared" si="212"/>
        <v/>
      </c>
      <c r="Z801" s="240"/>
      <c r="AD801" s="232" t="str">
        <f t="shared" si="213"/>
        <v/>
      </c>
      <c r="AE801" s="204"/>
      <c r="AX801" s="3" t="str">
        <f t="shared" si="203"/>
        <v/>
      </c>
    </row>
    <row r="802" spans="1:50" s="155" customFormat="1" ht="30" hidden="1" customHeight="1">
      <c r="A802" s="141" t="str">
        <f t="shared" si="214"/>
        <v/>
      </c>
      <c r="B802" s="141" t="str">
        <f t="shared" si="215"/>
        <v/>
      </c>
      <c r="C802" s="205" t="str" cm="1">
        <f t="array" ref="C802">IF(D802="","",
    IF(AND(ISNUMBER(D802), D802=INT(D802)),
        $V$6 &amp; " " &amp; (IFERROR(MAX($Y$12:$Y801), 0) + 1),
        IF(ISNUMBER(SEARCH(".", D802)), "", INDEX($C$12:$C802, MATCH(2, 1/($C$12:$C802 &lt;&gt; ""))))
    )
)</f>
        <v/>
      </c>
      <c r="D802" s="206"/>
      <c r="E802" s="206" t="str">
        <f>IF(AA802 = "", "",
    IF(ISNUMBER(SEARCH("Kiện", C802)),
       " GÓI " &amp; COUNTIF($C$13:C802, "*Kiện*") &amp; "/" &amp; COUNTIF($C$13:$C$1000, "*Kiện*") &amp; " " &amp; AA802,
       AA802)
)</f>
        <v/>
      </c>
      <c r="F802" s="206"/>
      <c r="G802" s="206"/>
      <c r="H802" s="206"/>
      <c r="I802" s="206"/>
      <c r="J802" s="206" t="str">
        <f t="shared" si="216"/>
        <v/>
      </c>
      <c r="K802" s="206" t="str">
        <f t="shared" si="204"/>
        <v/>
      </c>
      <c r="L802" s="206" t="str">
        <f t="shared" si="205"/>
        <v/>
      </c>
      <c r="M802" s="206" t="str">
        <f t="shared" si="206"/>
        <v/>
      </c>
      <c r="N802" s="206" t="str">
        <f t="shared" si="217"/>
        <v/>
      </c>
      <c r="O802" s="206" t="str">
        <f t="shared" si="207"/>
        <v/>
      </c>
      <c r="P802" s="165" t="str">
        <f t="shared" si="208"/>
        <v/>
      </c>
      <c r="Q802" s="207"/>
      <c r="R802" s="141" t="str">
        <f>IF(S802="IN",'BOM_Phan II'!$Y$3,"")</f>
        <v/>
      </c>
      <c r="S802" s="153" t="str">
        <f t="shared" si="209"/>
        <v/>
      </c>
      <c r="T802">
        <f t="shared" si="210"/>
        <v>6</v>
      </c>
      <c r="U802" s="208" t="str">
        <f t="shared" si="218"/>
        <v>KIỆN 9</v>
      </c>
      <c r="V802" s="208" t="str">
        <f t="shared" si="211"/>
        <v/>
      </c>
      <c r="W802" s="240"/>
      <c r="X802" s="240"/>
      <c r="Y802" s="240" t="str">
        <f t="shared" si="212"/>
        <v/>
      </c>
      <c r="Z802" s="240"/>
      <c r="AD802" s="232" t="str">
        <f t="shared" si="213"/>
        <v/>
      </c>
      <c r="AE802" s="204"/>
      <c r="AX802" s="3" t="str">
        <f t="shared" si="203"/>
        <v/>
      </c>
    </row>
    <row r="803" spans="1:50" s="155" customFormat="1" ht="30" hidden="1" customHeight="1">
      <c r="A803" s="141" t="str">
        <f t="shared" si="214"/>
        <v/>
      </c>
      <c r="B803" s="141" t="str">
        <f t="shared" si="215"/>
        <v/>
      </c>
      <c r="C803" s="205" t="str" cm="1">
        <f t="array" ref="C803">IF(D803="","",
    IF(AND(ISNUMBER(D803), D803=INT(D803)),
        $V$6 &amp; " " &amp; (IFERROR(MAX($Y$12:$Y802), 0) + 1),
        IF(ISNUMBER(SEARCH(".", D803)), "", INDEX($C$12:$C803, MATCH(2, 1/($C$12:$C803 &lt;&gt; ""))))
    )
)</f>
        <v/>
      </c>
      <c r="D803" s="206"/>
      <c r="E803" s="206" t="str">
        <f>IF(AA803 = "", "",
    IF(ISNUMBER(SEARCH("Kiện", C803)),
       " GÓI " &amp; COUNTIF($C$13:C803, "*Kiện*") &amp; "/" &amp; COUNTIF($C$13:$C$1000, "*Kiện*") &amp; " " &amp; AA803,
       AA803)
)</f>
        <v/>
      </c>
      <c r="F803" s="206"/>
      <c r="G803" s="206"/>
      <c r="H803" s="206"/>
      <c r="I803" s="206"/>
      <c r="J803" s="206" t="str">
        <f t="shared" si="216"/>
        <v/>
      </c>
      <c r="K803" s="206" t="str">
        <f t="shared" si="204"/>
        <v/>
      </c>
      <c r="L803" s="206" t="str">
        <f t="shared" si="205"/>
        <v/>
      </c>
      <c r="M803" s="206" t="str">
        <f t="shared" si="206"/>
        <v/>
      </c>
      <c r="N803" s="206" t="str">
        <f t="shared" si="217"/>
        <v/>
      </c>
      <c r="O803" s="206" t="str">
        <f t="shared" si="207"/>
        <v/>
      </c>
      <c r="P803" s="165" t="str">
        <f t="shared" si="208"/>
        <v/>
      </c>
      <c r="Q803" s="207"/>
      <c r="R803" s="141" t="str">
        <f>IF(S803="IN",'BOM_Phan II'!$Y$3,"")</f>
        <v/>
      </c>
      <c r="S803" s="153" t="str">
        <f t="shared" si="209"/>
        <v/>
      </c>
      <c r="T803">
        <f t="shared" si="210"/>
        <v>6</v>
      </c>
      <c r="U803" s="208" t="str">
        <f t="shared" si="218"/>
        <v>KIỆN 9</v>
      </c>
      <c r="V803" s="208" t="str">
        <f t="shared" si="211"/>
        <v/>
      </c>
      <c r="W803" s="240"/>
      <c r="X803" s="240"/>
      <c r="Y803" s="240" t="str">
        <f t="shared" si="212"/>
        <v/>
      </c>
      <c r="Z803" s="240"/>
      <c r="AD803" s="232" t="str">
        <f t="shared" si="213"/>
        <v/>
      </c>
      <c r="AE803" s="204"/>
      <c r="AX803" s="3" t="str">
        <f t="shared" si="203"/>
        <v/>
      </c>
    </row>
    <row r="804" spans="1:50" s="155" customFormat="1" ht="30" hidden="1" customHeight="1">
      <c r="A804" s="141" t="str">
        <f t="shared" si="214"/>
        <v/>
      </c>
      <c r="B804" s="141" t="str">
        <f t="shared" si="215"/>
        <v/>
      </c>
      <c r="C804" s="205" t="str" cm="1">
        <f t="array" ref="C804">IF(D804="","",
    IF(AND(ISNUMBER(D804), D804=INT(D804)),
        $V$6 &amp; " " &amp; (IFERROR(MAX($Y$12:$Y803), 0) + 1),
        IF(ISNUMBER(SEARCH(".", D804)), "", INDEX($C$12:$C804, MATCH(2, 1/($C$12:$C804 &lt;&gt; ""))))
    )
)</f>
        <v/>
      </c>
      <c r="D804" s="206"/>
      <c r="E804" s="206" t="str">
        <f>IF(AA804 = "", "",
    IF(ISNUMBER(SEARCH("Kiện", C804)),
       " GÓI " &amp; COUNTIF($C$13:C804, "*Kiện*") &amp; "/" &amp; COUNTIF($C$13:$C$1000, "*Kiện*") &amp; " " &amp; AA804,
       AA804)
)</f>
        <v/>
      </c>
      <c r="F804" s="206"/>
      <c r="G804" s="206"/>
      <c r="H804" s="206"/>
      <c r="I804" s="206"/>
      <c r="J804" s="206" t="str">
        <f t="shared" si="216"/>
        <v/>
      </c>
      <c r="K804" s="206" t="str">
        <f t="shared" si="204"/>
        <v/>
      </c>
      <c r="L804" s="206" t="str">
        <f t="shared" si="205"/>
        <v/>
      </c>
      <c r="M804" s="206" t="str">
        <f t="shared" si="206"/>
        <v/>
      </c>
      <c r="N804" s="206" t="str">
        <f t="shared" si="217"/>
        <v/>
      </c>
      <c r="O804" s="206" t="str">
        <f t="shared" si="207"/>
        <v/>
      </c>
      <c r="P804" s="165" t="str">
        <f t="shared" si="208"/>
        <v/>
      </c>
      <c r="Q804" s="207"/>
      <c r="R804" s="141" t="str">
        <f>IF(S804="IN",'BOM_Phan II'!$Y$3,"")</f>
        <v/>
      </c>
      <c r="S804" s="153" t="str">
        <f t="shared" si="209"/>
        <v/>
      </c>
      <c r="T804">
        <f t="shared" si="210"/>
        <v>6</v>
      </c>
      <c r="U804" s="208" t="str">
        <f t="shared" si="218"/>
        <v>KIỆN 9</v>
      </c>
      <c r="V804" s="208" t="str">
        <f t="shared" si="211"/>
        <v/>
      </c>
      <c r="W804" s="240"/>
      <c r="X804" s="240"/>
      <c r="Y804" s="240" t="str">
        <f t="shared" si="212"/>
        <v/>
      </c>
      <c r="Z804" s="240"/>
      <c r="AD804" s="232" t="str">
        <f t="shared" si="213"/>
        <v/>
      </c>
      <c r="AE804" s="204"/>
      <c r="AX804" s="3" t="str">
        <f t="shared" si="203"/>
        <v/>
      </c>
    </row>
    <row r="805" spans="1:50" s="155" customFormat="1" ht="30" hidden="1" customHeight="1">
      <c r="A805" s="141" t="str">
        <f t="shared" si="214"/>
        <v/>
      </c>
      <c r="B805" s="141" t="str">
        <f t="shared" si="215"/>
        <v/>
      </c>
      <c r="C805" s="205" t="str" cm="1">
        <f t="array" ref="C805">IF(D805="","",
    IF(AND(ISNUMBER(D805), D805=INT(D805)),
        $V$6 &amp; " " &amp; (IFERROR(MAX($Y$12:$Y804), 0) + 1),
        IF(ISNUMBER(SEARCH(".", D805)), "", INDEX($C$12:$C805, MATCH(2, 1/($C$12:$C805 &lt;&gt; ""))))
    )
)</f>
        <v/>
      </c>
      <c r="D805" s="206"/>
      <c r="E805" s="206" t="str">
        <f>IF(AA805 = "", "",
    IF(ISNUMBER(SEARCH("Kiện", C805)),
       " GÓI " &amp; COUNTIF($C$13:C805, "*Kiện*") &amp; "/" &amp; COUNTIF($C$13:$C$1000, "*Kiện*") &amp; " " &amp; AA805,
       AA805)
)</f>
        <v/>
      </c>
      <c r="F805" s="206"/>
      <c r="G805" s="206"/>
      <c r="H805" s="206"/>
      <c r="I805" s="206"/>
      <c r="J805" s="206" t="str">
        <f t="shared" si="216"/>
        <v/>
      </c>
      <c r="K805" s="206" t="str">
        <f t="shared" si="204"/>
        <v/>
      </c>
      <c r="L805" s="206" t="str">
        <f t="shared" si="205"/>
        <v/>
      </c>
      <c r="M805" s="206" t="str">
        <f t="shared" si="206"/>
        <v/>
      </c>
      <c r="N805" s="206" t="str">
        <f t="shared" si="217"/>
        <v/>
      </c>
      <c r="O805" s="206" t="str">
        <f t="shared" si="207"/>
        <v/>
      </c>
      <c r="P805" s="165" t="str">
        <f t="shared" si="208"/>
        <v/>
      </c>
      <c r="Q805" s="207"/>
      <c r="R805" s="141" t="str">
        <f>IF(S805="IN",'BOM_Phan II'!$Y$3,"")</f>
        <v/>
      </c>
      <c r="S805" s="153" t="str">
        <f t="shared" si="209"/>
        <v/>
      </c>
      <c r="T805">
        <f t="shared" si="210"/>
        <v>6</v>
      </c>
      <c r="U805" s="208" t="str">
        <f t="shared" si="218"/>
        <v>KIỆN 9</v>
      </c>
      <c r="V805" s="208" t="str">
        <f t="shared" si="211"/>
        <v/>
      </c>
      <c r="W805" s="240"/>
      <c r="X805" s="240"/>
      <c r="Y805" s="240" t="str">
        <f t="shared" si="212"/>
        <v/>
      </c>
      <c r="Z805" s="240"/>
      <c r="AD805" s="232" t="str">
        <f t="shared" si="213"/>
        <v/>
      </c>
      <c r="AE805" s="204"/>
      <c r="AX805" s="3" t="str">
        <f t="shared" si="203"/>
        <v/>
      </c>
    </row>
    <row r="806" spans="1:50" s="155" customFormat="1" ht="30" hidden="1" customHeight="1">
      <c r="A806" s="141" t="str">
        <f t="shared" si="214"/>
        <v/>
      </c>
      <c r="B806" s="141" t="str">
        <f t="shared" si="215"/>
        <v/>
      </c>
      <c r="C806" s="205" t="str" cm="1">
        <f t="array" ref="C806">IF(D806="","",
    IF(AND(ISNUMBER(D806), D806=INT(D806)),
        $V$6 &amp; " " &amp; (IFERROR(MAX($Y$12:$Y805), 0) + 1),
        IF(ISNUMBER(SEARCH(".", D806)), "", INDEX($C$12:$C806, MATCH(2, 1/($C$12:$C806 &lt;&gt; ""))))
    )
)</f>
        <v/>
      </c>
      <c r="D806" s="206"/>
      <c r="E806" s="206" t="str">
        <f>IF(AA806 = "", "",
    IF(ISNUMBER(SEARCH("Kiện", C806)),
       " GÓI " &amp; COUNTIF($C$13:C806, "*Kiện*") &amp; "/" &amp; COUNTIF($C$13:$C$1000, "*Kiện*") &amp; " " &amp; AA806,
       AA806)
)</f>
        <v/>
      </c>
      <c r="F806" s="206"/>
      <c r="G806" s="206"/>
      <c r="H806" s="206"/>
      <c r="I806" s="206"/>
      <c r="J806" s="206" t="str">
        <f t="shared" si="216"/>
        <v/>
      </c>
      <c r="K806" s="206" t="str">
        <f t="shared" si="204"/>
        <v/>
      </c>
      <c r="L806" s="206" t="str">
        <f t="shared" si="205"/>
        <v/>
      </c>
      <c r="M806" s="206" t="str">
        <f t="shared" si="206"/>
        <v/>
      </c>
      <c r="N806" s="206" t="str">
        <f t="shared" si="217"/>
        <v/>
      </c>
      <c r="O806" s="206" t="str">
        <f t="shared" si="207"/>
        <v/>
      </c>
      <c r="P806" s="165" t="str">
        <f t="shared" si="208"/>
        <v/>
      </c>
      <c r="Q806" s="207"/>
      <c r="R806" s="141" t="str">
        <f>IF(S806="IN",'BOM_Phan II'!$Y$3,"")</f>
        <v/>
      </c>
      <c r="S806" s="153" t="str">
        <f t="shared" si="209"/>
        <v/>
      </c>
      <c r="T806">
        <f t="shared" si="210"/>
        <v>6</v>
      </c>
      <c r="U806" s="208" t="str">
        <f t="shared" si="218"/>
        <v>KIỆN 9</v>
      </c>
      <c r="V806" s="208" t="str">
        <f t="shared" si="211"/>
        <v/>
      </c>
      <c r="W806" s="240"/>
      <c r="X806" s="240"/>
      <c r="Y806" s="240" t="str">
        <f t="shared" si="212"/>
        <v/>
      </c>
      <c r="Z806" s="240"/>
      <c r="AD806" s="232" t="str">
        <f t="shared" si="213"/>
        <v/>
      </c>
      <c r="AE806" s="204"/>
      <c r="AX806" s="3" t="str">
        <f t="shared" si="203"/>
        <v/>
      </c>
    </row>
    <row r="807" spans="1:50" s="155" customFormat="1" ht="30" hidden="1" customHeight="1">
      <c r="A807" s="141" t="str">
        <f t="shared" si="214"/>
        <v/>
      </c>
      <c r="B807" s="141" t="str">
        <f t="shared" si="215"/>
        <v/>
      </c>
      <c r="C807" s="205" t="str" cm="1">
        <f t="array" ref="C807">IF(D807="","",
    IF(AND(ISNUMBER(D807), D807=INT(D807)),
        $V$6 &amp; " " &amp; (IFERROR(MAX($Y$12:$Y806), 0) + 1),
        IF(ISNUMBER(SEARCH(".", D807)), "", INDEX($C$12:$C807, MATCH(2, 1/($C$12:$C807 &lt;&gt; ""))))
    )
)</f>
        <v/>
      </c>
      <c r="D807" s="206"/>
      <c r="E807" s="206" t="str">
        <f>IF(AA807 = "", "",
    IF(ISNUMBER(SEARCH("Kiện", C807)),
       " GÓI " &amp; COUNTIF($C$13:C807, "*Kiện*") &amp; "/" &amp; COUNTIF($C$13:$C$1000, "*Kiện*") &amp; " " &amp; AA807,
       AA807)
)</f>
        <v/>
      </c>
      <c r="F807" s="206"/>
      <c r="G807" s="206"/>
      <c r="H807" s="206"/>
      <c r="I807" s="206"/>
      <c r="J807" s="206" t="str">
        <f t="shared" si="216"/>
        <v/>
      </c>
      <c r="K807" s="206" t="str">
        <f t="shared" si="204"/>
        <v/>
      </c>
      <c r="L807" s="206" t="str">
        <f t="shared" si="205"/>
        <v/>
      </c>
      <c r="M807" s="206" t="str">
        <f t="shared" si="206"/>
        <v/>
      </c>
      <c r="N807" s="206" t="str">
        <f t="shared" si="217"/>
        <v/>
      </c>
      <c r="O807" s="206" t="str">
        <f t="shared" si="207"/>
        <v/>
      </c>
      <c r="P807" s="165" t="str">
        <f t="shared" si="208"/>
        <v/>
      </c>
      <c r="Q807" s="207"/>
      <c r="R807" s="141" t="str">
        <f>IF(S807="IN",'BOM_Phan II'!$Y$3,"")</f>
        <v/>
      </c>
      <c r="S807" s="153" t="str">
        <f t="shared" si="209"/>
        <v/>
      </c>
      <c r="T807">
        <f t="shared" si="210"/>
        <v>6</v>
      </c>
      <c r="U807" s="208" t="str">
        <f t="shared" si="218"/>
        <v>KIỆN 9</v>
      </c>
      <c r="V807" s="208" t="str">
        <f t="shared" si="211"/>
        <v/>
      </c>
      <c r="W807" s="240"/>
      <c r="X807" s="240"/>
      <c r="Y807" s="240" t="str">
        <f t="shared" si="212"/>
        <v/>
      </c>
      <c r="Z807" s="240"/>
      <c r="AD807" s="232" t="str">
        <f t="shared" si="213"/>
        <v/>
      </c>
      <c r="AE807" s="204"/>
      <c r="AX807" s="3" t="str">
        <f t="shared" si="203"/>
        <v/>
      </c>
    </row>
    <row r="808" spans="1:50" s="155" customFormat="1" ht="30" hidden="1" customHeight="1">
      <c r="A808" s="141" t="str">
        <f t="shared" si="214"/>
        <v/>
      </c>
      <c r="B808" s="141" t="str">
        <f t="shared" si="215"/>
        <v/>
      </c>
      <c r="C808" s="205" t="str" cm="1">
        <f t="array" ref="C808">IF(D808="","",
    IF(AND(ISNUMBER(D808), D808=INT(D808)),
        $V$6 &amp; " " &amp; (IFERROR(MAX($Y$12:$Y807), 0) + 1),
        IF(ISNUMBER(SEARCH(".", D808)), "", INDEX($C$12:$C808, MATCH(2, 1/($C$12:$C808 &lt;&gt; ""))))
    )
)</f>
        <v/>
      </c>
      <c r="D808" s="206"/>
      <c r="E808" s="206" t="str">
        <f>IF(AA808 = "", "",
    IF(ISNUMBER(SEARCH("Kiện", C808)),
       " GÓI " &amp; COUNTIF($C$13:C808, "*Kiện*") &amp; "/" &amp; COUNTIF($C$13:$C$1000, "*Kiện*") &amp; " " &amp; AA808,
       AA808)
)</f>
        <v/>
      </c>
      <c r="F808" s="206"/>
      <c r="G808" s="206"/>
      <c r="H808" s="206"/>
      <c r="I808" s="206"/>
      <c r="J808" s="206" t="str">
        <f t="shared" si="216"/>
        <v/>
      </c>
      <c r="K808" s="206" t="str">
        <f t="shared" si="204"/>
        <v/>
      </c>
      <c r="L808" s="206" t="str">
        <f t="shared" si="205"/>
        <v/>
      </c>
      <c r="M808" s="206" t="str">
        <f t="shared" si="206"/>
        <v/>
      </c>
      <c r="N808" s="206" t="str">
        <f t="shared" si="217"/>
        <v/>
      </c>
      <c r="O808" s="206" t="str">
        <f t="shared" si="207"/>
        <v/>
      </c>
      <c r="P808" s="165" t="str">
        <f t="shared" si="208"/>
        <v/>
      </c>
      <c r="Q808" s="207"/>
      <c r="R808" s="141" t="str">
        <f>IF(S808="IN",'BOM_Phan II'!$Y$3,"")</f>
        <v/>
      </c>
      <c r="S808" s="153" t="str">
        <f t="shared" si="209"/>
        <v/>
      </c>
      <c r="T808">
        <f t="shared" si="210"/>
        <v>6</v>
      </c>
      <c r="U808" s="208" t="str">
        <f t="shared" si="218"/>
        <v>KIỆN 9</v>
      </c>
      <c r="V808" s="208" t="str">
        <f t="shared" si="211"/>
        <v/>
      </c>
      <c r="W808" s="240"/>
      <c r="X808" s="240"/>
      <c r="Y808" s="240" t="str">
        <f t="shared" si="212"/>
        <v/>
      </c>
      <c r="Z808" s="240"/>
      <c r="AD808" s="232" t="str">
        <f t="shared" si="213"/>
        <v/>
      </c>
      <c r="AE808" s="204"/>
      <c r="AX808" s="3" t="str">
        <f t="shared" si="203"/>
        <v/>
      </c>
    </row>
    <row r="809" spans="1:50" s="155" customFormat="1" ht="30" hidden="1" customHeight="1">
      <c r="A809" s="141" t="str">
        <f t="shared" si="214"/>
        <v/>
      </c>
      <c r="B809" s="141" t="str">
        <f t="shared" si="215"/>
        <v/>
      </c>
      <c r="C809" s="205" t="str" cm="1">
        <f t="array" ref="C809">IF(D809="","",
    IF(AND(ISNUMBER(D809), D809=INT(D809)),
        $V$6 &amp; " " &amp; (IFERROR(MAX($Y$12:$Y808), 0) + 1),
        IF(ISNUMBER(SEARCH(".", D809)), "", INDEX($C$12:$C809, MATCH(2, 1/($C$12:$C809 &lt;&gt; ""))))
    )
)</f>
        <v/>
      </c>
      <c r="D809" s="206"/>
      <c r="E809" s="206" t="str">
        <f>IF(AA809 = "", "",
    IF(ISNUMBER(SEARCH("Kiện", C809)),
       " GÓI " &amp; COUNTIF($C$13:C809, "*Kiện*") &amp; "/" &amp; COUNTIF($C$13:$C$1000, "*Kiện*") &amp; " " &amp; AA809,
       AA809)
)</f>
        <v/>
      </c>
      <c r="F809" s="206"/>
      <c r="G809" s="206"/>
      <c r="H809" s="206"/>
      <c r="I809" s="206"/>
      <c r="J809" s="206" t="str">
        <f t="shared" si="216"/>
        <v/>
      </c>
      <c r="K809" s="206" t="str">
        <f t="shared" si="204"/>
        <v/>
      </c>
      <c r="L809" s="206" t="str">
        <f t="shared" si="205"/>
        <v/>
      </c>
      <c r="M809" s="206" t="str">
        <f t="shared" si="206"/>
        <v/>
      </c>
      <c r="N809" s="206" t="str">
        <f t="shared" si="217"/>
        <v/>
      </c>
      <c r="O809" s="206" t="str">
        <f t="shared" si="207"/>
        <v/>
      </c>
      <c r="P809" s="165" t="str">
        <f t="shared" si="208"/>
        <v/>
      </c>
      <c r="Q809" s="207"/>
      <c r="R809" s="141" t="str">
        <f>IF(S809="IN",'BOM_Phan II'!$Y$3,"")</f>
        <v/>
      </c>
      <c r="S809" s="153" t="str">
        <f t="shared" si="209"/>
        <v/>
      </c>
      <c r="T809">
        <f t="shared" si="210"/>
        <v>6</v>
      </c>
      <c r="U809" s="208" t="str">
        <f t="shared" si="218"/>
        <v>KIỆN 9</v>
      </c>
      <c r="V809" s="208" t="str">
        <f t="shared" si="211"/>
        <v/>
      </c>
      <c r="W809" s="240"/>
      <c r="X809" s="240"/>
      <c r="Y809" s="240" t="str">
        <f t="shared" si="212"/>
        <v/>
      </c>
      <c r="Z809" s="240"/>
      <c r="AD809" s="232" t="str">
        <f t="shared" si="213"/>
        <v/>
      </c>
      <c r="AE809" s="204"/>
      <c r="AX809" s="3" t="str">
        <f t="shared" si="203"/>
        <v/>
      </c>
    </row>
    <row r="810" spans="1:50" s="155" customFormat="1" ht="30" hidden="1" customHeight="1">
      <c r="A810" s="141" t="str">
        <f t="shared" si="214"/>
        <v/>
      </c>
      <c r="B810" s="141" t="str">
        <f t="shared" si="215"/>
        <v/>
      </c>
      <c r="C810" s="205" t="str" cm="1">
        <f t="array" ref="C810">IF(D810="","",
    IF(AND(ISNUMBER(D810), D810=INT(D810)),
        $V$6 &amp; " " &amp; (IFERROR(MAX($Y$12:$Y809), 0) + 1),
        IF(ISNUMBER(SEARCH(".", D810)), "", INDEX($C$12:$C810, MATCH(2, 1/($C$12:$C810 &lt;&gt; ""))))
    )
)</f>
        <v/>
      </c>
      <c r="D810" s="206"/>
      <c r="E810" s="206" t="str">
        <f>IF(AA810 = "", "",
    IF(ISNUMBER(SEARCH("Kiện", C810)),
       " GÓI " &amp; COUNTIF($C$13:C810, "*Kiện*") &amp; "/" &amp; COUNTIF($C$13:$C$1000, "*Kiện*") &amp; " " &amp; AA810,
       AA810)
)</f>
        <v/>
      </c>
      <c r="F810" s="206"/>
      <c r="G810" s="206"/>
      <c r="H810" s="206"/>
      <c r="I810" s="206"/>
      <c r="J810" s="206" t="str">
        <f t="shared" si="216"/>
        <v/>
      </c>
      <c r="K810" s="206" t="str">
        <f t="shared" si="204"/>
        <v/>
      </c>
      <c r="L810" s="206" t="str">
        <f t="shared" si="205"/>
        <v/>
      </c>
      <c r="M810" s="206" t="str">
        <f t="shared" si="206"/>
        <v/>
      </c>
      <c r="N810" s="206" t="str">
        <f t="shared" si="217"/>
        <v/>
      </c>
      <c r="O810" s="206" t="str">
        <f t="shared" si="207"/>
        <v/>
      </c>
      <c r="P810" s="165" t="str">
        <f t="shared" si="208"/>
        <v/>
      </c>
      <c r="Q810" s="207"/>
      <c r="R810" s="141" t="str">
        <f>IF(S810="IN",'BOM_Phan II'!$Y$3,"")</f>
        <v/>
      </c>
      <c r="S810" s="153" t="str">
        <f t="shared" si="209"/>
        <v/>
      </c>
      <c r="T810">
        <f t="shared" si="210"/>
        <v>6</v>
      </c>
      <c r="U810" s="208" t="str">
        <f t="shared" si="218"/>
        <v>KIỆN 9</v>
      </c>
      <c r="V810" s="208" t="str">
        <f t="shared" si="211"/>
        <v/>
      </c>
      <c r="W810" s="240"/>
      <c r="X810" s="240"/>
      <c r="Y810" s="240" t="str">
        <f t="shared" si="212"/>
        <v/>
      </c>
      <c r="Z810" s="240"/>
      <c r="AD810" s="232" t="str">
        <f t="shared" si="213"/>
        <v/>
      </c>
      <c r="AE810" s="204"/>
      <c r="AX810" s="3" t="str">
        <f t="shared" si="203"/>
        <v/>
      </c>
    </row>
    <row r="811" spans="1:50" s="155" customFormat="1" ht="30" hidden="1" customHeight="1">
      <c r="A811" s="141" t="str">
        <f t="shared" si="214"/>
        <v/>
      </c>
      <c r="B811" s="141" t="str">
        <f t="shared" si="215"/>
        <v/>
      </c>
      <c r="C811" s="205" t="str" cm="1">
        <f t="array" ref="C811">IF(D811="","",
    IF(AND(ISNUMBER(D811), D811=INT(D811)),
        $V$6 &amp; " " &amp; (IFERROR(MAX($Y$12:$Y810), 0) + 1),
        IF(ISNUMBER(SEARCH(".", D811)), "", INDEX($C$12:$C811, MATCH(2, 1/($C$12:$C811 &lt;&gt; ""))))
    )
)</f>
        <v/>
      </c>
      <c r="D811" s="206"/>
      <c r="E811" s="206" t="str">
        <f>IF(AA811 = "", "",
    IF(ISNUMBER(SEARCH("Kiện", C811)),
       " GÓI " &amp; COUNTIF($C$13:C811, "*Kiện*") &amp; "/" &amp; COUNTIF($C$13:$C$1000, "*Kiện*") &amp; " " &amp; AA811,
       AA811)
)</f>
        <v/>
      </c>
      <c r="F811" s="206"/>
      <c r="G811" s="206"/>
      <c r="H811" s="206"/>
      <c r="I811" s="206"/>
      <c r="J811" s="206" t="str">
        <f t="shared" si="216"/>
        <v/>
      </c>
      <c r="K811" s="206" t="str">
        <f t="shared" si="204"/>
        <v/>
      </c>
      <c r="L811" s="206" t="str">
        <f t="shared" si="205"/>
        <v/>
      </c>
      <c r="M811" s="206" t="str">
        <f t="shared" si="206"/>
        <v/>
      </c>
      <c r="N811" s="206" t="str">
        <f t="shared" si="217"/>
        <v/>
      </c>
      <c r="O811" s="206" t="str">
        <f t="shared" si="207"/>
        <v/>
      </c>
      <c r="P811" s="165" t="str">
        <f t="shared" si="208"/>
        <v/>
      </c>
      <c r="Q811" s="207"/>
      <c r="R811" s="141" t="str">
        <f>IF(S811="IN",'BOM_Phan II'!$Y$3,"")</f>
        <v/>
      </c>
      <c r="S811" s="153" t="str">
        <f t="shared" si="209"/>
        <v/>
      </c>
      <c r="T811">
        <f t="shared" si="210"/>
        <v>6</v>
      </c>
      <c r="U811" s="208" t="str">
        <f t="shared" si="218"/>
        <v>KIỆN 9</v>
      </c>
      <c r="V811" s="208" t="str">
        <f t="shared" si="211"/>
        <v/>
      </c>
      <c r="W811" s="240"/>
      <c r="X811" s="240"/>
      <c r="Y811" s="240" t="str">
        <f t="shared" si="212"/>
        <v/>
      </c>
      <c r="Z811" s="240"/>
      <c r="AD811" s="232" t="str">
        <f t="shared" si="213"/>
        <v/>
      </c>
      <c r="AE811" s="204"/>
      <c r="AX811" s="3" t="str">
        <f t="shared" si="203"/>
        <v/>
      </c>
    </row>
    <row r="812" spans="1:50" s="155" customFormat="1" ht="30" hidden="1" customHeight="1">
      <c r="A812" s="141" t="str">
        <f t="shared" si="214"/>
        <v/>
      </c>
      <c r="B812" s="141" t="str">
        <f t="shared" si="215"/>
        <v/>
      </c>
      <c r="C812" s="205" t="str" cm="1">
        <f t="array" ref="C812">IF(D812="","",
    IF(AND(ISNUMBER(D812), D812=INT(D812)),
        $V$6 &amp; " " &amp; (IFERROR(MAX($Y$12:$Y811), 0) + 1),
        IF(ISNUMBER(SEARCH(".", D812)), "", INDEX($C$12:$C812, MATCH(2, 1/($C$12:$C812 &lt;&gt; ""))))
    )
)</f>
        <v/>
      </c>
      <c r="D812" s="206"/>
      <c r="E812" s="206" t="str">
        <f>IF(AA812 = "", "",
    IF(ISNUMBER(SEARCH("Kiện", C812)),
       " GÓI " &amp; COUNTIF($C$13:C812, "*Kiện*") &amp; "/" &amp; COUNTIF($C$13:$C$1000, "*Kiện*") &amp; " " &amp; AA812,
       AA812)
)</f>
        <v/>
      </c>
      <c r="F812" s="206"/>
      <c r="G812" s="206"/>
      <c r="H812" s="206"/>
      <c r="I812" s="206"/>
      <c r="J812" s="206" t="str">
        <f t="shared" si="216"/>
        <v/>
      </c>
      <c r="K812" s="206" t="str">
        <f t="shared" si="204"/>
        <v/>
      </c>
      <c r="L812" s="206" t="str">
        <f t="shared" si="205"/>
        <v/>
      </c>
      <c r="M812" s="206" t="str">
        <f t="shared" si="206"/>
        <v/>
      </c>
      <c r="N812" s="206" t="str">
        <f t="shared" si="217"/>
        <v/>
      </c>
      <c r="O812" s="206" t="str">
        <f t="shared" si="207"/>
        <v/>
      </c>
      <c r="P812" s="165" t="str">
        <f t="shared" si="208"/>
        <v/>
      </c>
      <c r="Q812" s="207"/>
      <c r="R812" s="141" t="str">
        <f>IF(S812="IN",'BOM_Phan II'!$Y$3,"")</f>
        <v/>
      </c>
      <c r="S812" s="153" t="str">
        <f t="shared" si="209"/>
        <v/>
      </c>
      <c r="T812">
        <f t="shared" si="210"/>
        <v>6</v>
      </c>
      <c r="U812" s="208" t="str">
        <f t="shared" si="218"/>
        <v>KIỆN 9</v>
      </c>
      <c r="V812" s="208" t="str">
        <f t="shared" si="211"/>
        <v/>
      </c>
      <c r="W812" s="240"/>
      <c r="X812" s="240"/>
      <c r="Y812" s="240" t="str">
        <f t="shared" si="212"/>
        <v/>
      </c>
      <c r="Z812" s="240"/>
      <c r="AD812" s="232" t="str">
        <f t="shared" si="213"/>
        <v/>
      </c>
      <c r="AE812" s="204"/>
      <c r="AX812" s="3" t="str">
        <f t="shared" si="203"/>
        <v/>
      </c>
    </row>
    <row r="813" spans="1:50" s="155" customFormat="1" ht="30" hidden="1" customHeight="1">
      <c r="A813" s="141" t="str">
        <f t="shared" si="214"/>
        <v/>
      </c>
      <c r="B813" s="141" t="str">
        <f t="shared" si="215"/>
        <v/>
      </c>
      <c r="C813" s="205" t="str" cm="1">
        <f t="array" ref="C813">IF(D813="","",
    IF(AND(ISNUMBER(D813), D813=INT(D813)),
        $V$6 &amp; " " &amp; (IFERROR(MAX($Y$12:$Y812), 0) + 1),
        IF(ISNUMBER(SEARCH(".", D813)), "", INDEX($C$12:$C813, MATCH(2, 1/($C$12:$C813 &lt;&gt; ""))))
    )
)</f>
        <v/>
      </c>
      <c r="D813" s="206"/>
      <c r="E813" s="206" t="str">
        <f>IF(AA813 = "", "",
    IF(ISNUMBER(SEARCH("Kiện", C813)),
       " GÓI " &amp; COUNTIF($C$13:C813, "*Kiện*") &amp; "/" &amp; COUNTIF($C$13:$C$1000, "*Kiện*") &amp; " " &amp; AA813,
       AA813)
)</f>
        <v/>
      </c>
      <c r="F813" s="206"/>
      <c r="G813" s="206"/>
      <c r="H813" s="206"/>
      <c r="I813" s="206"/>
      <c r="J813" s="206" t="str">
        <f t="shared" si="216"/>
        <v/>
      </c>
      <c r="K813" s="206" t="str">
        <f t="shared" si="204"/>
        <v/>
      </c>
      <c r="L813" s="206" t="str">
        <f t="shared" si="205"/>
        <v/>
      </c>
      <c r="M813" s="206" t="str">
        <f t="shared" si="206"/>
        <v/>
      </c>
      <c r="N813" s="206" t="str">
        <f t="shared" si="217"/>
        <v/>
      </c>
      <c r="O813" s="206" t="str">
        <f t="shared" si="207"/>
        <v/>
      </c>
      <c r="P813" s="165" t="str">
        <f t="shared" si="208"/>
        <v/>
      </c>
      <c r="Q813" s="207"/>
      <c r="R813" s="141" t="str">
        <f>IF(S813="IN",'BOM_Phan II'!$Y$3,"")</f>
        <v/>
      </c>
      <c r="S813" s="153" t="str">
        <f t="shared" si="209"/>
        <v/>
      </c>
      <c r="T813">
        <f t="shared" si="210"/>
        <v>6</v>
      </c>
      <c r="U813" s="208" t="str">
        <f t="shared" si="218"/>
        <v>KIỆN 9</v>
      </c>
      <c r="V813" s="208" t="str">
        <f t="shared" si="211"/>
        <v/>
      </c>
      <c r="W813" s="240"/>
      <c r="X813" s="240"/>
      <c r="Y813" s="240" t="str">
        <f t="shared" si="212"/>
        <v/>
      </c>
      <c r="Z813" s="240"/>
      <c r="AD813" s="232" t="str">
        <f t="shared" si="213"/>
        <v/>
      </c>
      <c r="AE813" s="204"/>
      <c r="AX813" s="3" t="str">
        <f t="shared" si="203"/>
        <v/>
      </c>
    </row>
    <row r="814" spans="1:50" s="155" customFormat="1" ht="30" hidden="1" customHeight="1">
      <c r="A814" s="141" t="str">
        <f t="shared" si="214"/>
        <v/>
      </c>
      <c r="B814" s="141" t="str">
        <f t="shared" si="215"/>
        <v/>
      </c>
      <c r="C814" s="205" t="str" cm="1">
        <f t="array" ref="C814">IF(D814="","",
    IF(AND(ISNUMBER(D814), D814=INT(D814)),
        $V$6 &amp; " " &amp; (IFERROR(MAX($Y$12:$Y813), 0) + 1),
        IF(ISNUMBER(SEARCH(".", D814)), "", INDEX($C$12:$C814, MATCH(2, 1/($C$12:$C814 &lt;&gt; ""))))
    )
)</f>
        <v/>
      </c>
      <c r="D814" s="206"/>
      <c r="E814" s="206" t="str">
        <f>IF(AA814 = "", "",
    IF(ISNUMBER(SEARCH("Kiện", C814)),
       " GÓI " &amp; COUNTIF($C$13:C814, "*Kiện*") &amp; "/" &amp; COUNTIF($C$13:$C$1000, "*Kiện*") &amp; " " &amp; AA814,
       AA814)
)</f>
        <v/>
      </c>
      <c r="F814" s="206"/>
      <c r="G814" s="206"/>
      <c r="H814" s="206"/>
      <c r="I814" s="206"/>
      <c r="J814" s="206" t="str">
        <f t="shared" si="216"/>
        <v/>
      </c>
      <c r="K814" s="206" t="str">
        <f t="shared" si="204"/>
        <v/>
      </c>
      <c r="L814" s="206" t="str">
        <f t="shared" si="205"/>
        <v/>
      </c>
      <c r="M814" s="206" t="str">
        <f t="shared" si="206"/>
        <v/>
      </c>
      <c r="N814" s="206" t="str">
        <f t="shared" si="217"/>
        <v/>
      </c>
      <c r="O814" s="206" t="str">
        <f t="shared" si="207"/>
        <v/>
      </c>
      <c r="P814" s="165" t="str">
        <f t="shared" si="208"/>
        <v/>
      </c>
      <c r="Q814" s="207"/>
      <c r="R814" s="141" t="str">
        <f>IF(S814="IN",'BOM_Phan II'!$Y$3,"")</f>
        <v/>
      </c>
      <c r="S814" s="153" t="str">
        <f t="shared" si="209"/>
        <v/>
      </c>
      <c r="T814">
        <f t="shared" si="210"/>
        <v>6</v>
      </c>
      <c r="U814" s="208" t="str">
        <f t="shared" si="218"/>
        <v>KIỆN 9</v>
      </c>
      <c r="V814" s="208" t="str">
        <f t="shared" si="211"/>
        <v/>
      </c>
      <c r="W814" s="240"/>
      <c r="X814" s="240"/>
      <c r="Y814" s="240" t="str">
        <f t="shared" si="212"/>
        <v/>
      </c>
      <c r="Z814" s="240"/>
      <c r="AD814" s="232" t="str">
        <f t="shared" si="213"/>
        <v/>
      </c>
      <c r="AE814" s="204"/>
      <c r="AX814" s="3" t="str">
        <f t="shared" si="203"/>
        <v/>
      </c>
    </row>
    <row r="815" spans="1:50" s="155" customFormat="1" ht="30" hidden="1" customHeight="1">
      <c r="A815" s="141" t="str">
        <f t="shared" si="214"/>
        <v/>
      </c>
      <c r="B815" s="141" t="str">
        <f t="shared" si="215"/>
        <v/>
      </c>
      <c r="C815" s="205" t="str" cm="1">
        <f t="array" ref="C815">IF(D815="","",
    IF(AND(ISNUMBER(D815), D815=INT(D815)),
        $V$6 &amp; " " &amp; (IFERROR(MAX($Y$12:$Y814), 0) + 1),
        IF(ISNUMBER(SEARCH(".", D815)), "", INDEX($C$12:$C815, MATCH(2, 1/($C$12:$C815 &lt;&gt; ""))))
    )
)</f>
        <v/>
      </c>
      <c r="D815" s="206"/>
      <c r="E815" s="206" t="str">
        <f>IF(AA815 = "", "",
    IF(ISNUMBER(SEARCH("Kiện", C815)),
       " GÓI " &amp; COUNTIF($C$13:C815, "*Kiện*") &amp; "/" &amp; COUNTIF($C$13:$C$1000, "*Kiện*") &amp; " " &amp; AA815,
       AA815)
)</f>
        <v/>
      </c>
      <c r="F815" s="206"/>
      <c r="G815" s="206"/>
      <c r="H815" s="206"/>
      <c r="I815" s="206"/>
      <c r="J815" s="206" t="str">
        <f t="shared" si="216"/>
        <v/>
      </c>
      <c r="K815" s="206" t="str">
        <f t="shared" si="204"/>
        <v/>
      </c>
      <c r="L815" s="206" t="str">
        <f t="shared" si="205"/>
        <v/>
      </c>
      <c r="M815" s="206" t="str">
        <f t="shared" si="206"/>
        <v/>
      </c>
      <c r="N815" s="206" t="str">
        <f t="shared" si="217"/>
        <v/>
      </c>
      <c r="O815" s="206" t="str">
        <f t="shared" si="207"/>
        <v/>
      </c>
      <c r="P815" s="165" t="str">
        <f t="shared" si="208"/>
        <v/>
      </c>
      <c r="Q815" s="207"/>
      <c r="R815" s="141" t="str">
        <f>IF(S815="IN",'BOM_Phan II'!$Y$3,"")</f>
        <v/>
      </c>
      <c r="S815" s="153" t="str">
        <f t="shared" si="209"/>
        <v/>
      </c>
      <c r="T815">
        <f t="shared" si="210"/>
        <v>6</v>
      </c>
      <c r="U815" s="208" t="str">
        <f t="shared" si="218"/>
        <v>KIỆN 9</v>
      </c>
      <c r="V815" s="208" t="str">
        <f t="shared" si="211"/>
        <v/>
      </c>
      <c r="W815" s="240"/>
      <c r="X815" s="240"/>
      <c r="Y815" s="240" t="str">
        <f t="shared" si="212"/>
        <v/>
      </c>
      <c r="Z815" s="240"/>
      <c r="AD815" s="232" t="str">
        <f t="shared" si="213"/>
        <v/>
      </c>
      <c r="AE815" s="204"/>
      <c r="AX815" s="3" t="str">
        <f t="shared" si="203"/>
        <v/>
      </c>
    </row>
    <row r="816" spans="1:50" s="155" customFormat="1" ht="30" hidden="1" customHeight="1">
      <c r="A816" s="141" t="str">
        <f t="shared" si="214"/>
        <v/>
      </c>
      <c r="B816" s="141" t="str">
        <f t="shared" si="215"/>
        <v/>
      </c>
      <c r="C816" s="205" t="str" cm="1">
        <f t="array" ref="C816">IF(D816="","",
    IF(AND(ISNUMBER(D816), D816=INT(D816)),
        $V$6 &amp; " " &amp; (IFERROR(MAX($Y$12:$Y815), 0) + 1),
        IF(ISNUMBER(SEARCH(".", D816)), "", INDEX($C$12:$C816, MATCH(2, 1/($C$12:$C816 &lt;&gt; ""))))
    )
)</f>
        <v/>
      </c>
      <c r="D816" s="206"/>
      <c r="E816" s="206" t="str">
        <f>IF(AA816 = "", "",
    IF(ISNUMBER(SEARCH("Kiện", C816)),
       " GÓI " &amp; COUNTIF($C$13:C816, "*Kiện*") &amp; "/" &amp; COUNTIF($C$13:$C$1000, "*Kiện*") &amp; " " &amp; AA816,
       AA816)
)</f>
        <v/>
      </c>
      <c r="F816" s="206"/>
      <c r="G816" s="206"/>
      <c r="H816" s="206"/>
      <c r="I816" s="206"/>
      <c r="J816" s="206" t="str">
        <f t="shared" si="216"/>
        <v/>
      </c>
      <c r="K816" s="206" t="str">
        <f t="shared" si="204"/>
        <v/>
      </c>
      <c r="L816" s="206" t="str">
        <f t="shared" si="205"/>
        <v/>
      </c>
      <c r="M816" s="206" t="str">
        <f t="shared" si="206"/>
        <v/>
      </c>
      <c r="N816" s="206" t="str">
        <f t="shared" si="217"/>
        <v/>
      </c>
      <c r="O816" s="206" t="str">
        <f t="shared" si="207"/>
        <v/>
      </c>
      <c r="P816" s="165" t="str">
        <f t="shared" si="208"/>
        <v/>
      </c>
      <c r="Q816" s="207"/>
      <c r="R816" s="141" t="str">
        <f>IF(S816="IN",'BOM_Phan II'!$Y$3,"")</f>
        <v/>
      </c>
      <c r="S816" s="153" t="str">
        <f t="shared" si="209"/>
        <v/>
      </c>
      <c r="T816">
        <f t="shared" si="210"/>
        <v>6</v>
      </c>
      <c r="U816" s="208" t="str">
        <f t="shared" si="218"/>
        <v>KIỆN 9</v>
      </c>
      <c r="V816" s="208" t="str">
        <f t="shared" si="211"/>
        <v/>
      </c>
      <c r="W816" s="240"/>
      <c r="X816" s="240"/>
      <c r="Y816" s="240" t="str">
        <f t="shared" si="212"/>
        <v/>
      </c>
      <c r="Z816" s="240"/>
      <c r="AD816" s="232" t="str">
        <f t="shared" si="213"/>
        <v/>
      </c>
      <c r="AE816" s="204"/>
      <c r="AX816" s="3" t="str">
        <f t="shared" si="203"/>
        <v/>
      </c>
    </row>
    <row r="817" spans="1:50" s="155" customFormat="1" ht="30" hidden="1" customHeight="1">
      <c r="A817" s="141" t="str">
        <f t="shared" si="214"/>
        <v/>
      </c>
      <c r="B817" s="141" t="str">
        <f t="shared" si="215"/>
        <v/>
      </c>
      <c r="C817" s="205" t="str" cm="1">
        <f t="array" ref="C817">IF(D817="","",
    IF(AND(ISNUMBER(D817), D817=INT(D817)),
        $V$6 &amp; " " &amp; (IFERROR(MAX($Y$12:$Y816), 0) + 1),
        IF(ISNUMBER(SEARCH(".", D817)), "", INDEX($C$12:$C817, MATCH(2, 1/($C$12:$C817 &lt;&gt; ""))))
    )
)</f>
        <v/>
      </c>
      <c r="D817" s="206"/>
      <c r="E817" s="206" t="str">
        <f>IF(AA817 = "", "",
    IF(ISNUMBER(SEARCH("Kiện", C817)),
       " GÓI " &amp; COUNTIF($C$13:C817, "*Kiện*") &amp; "/" &amp; COUNTIF($C$13:$C$1000, "*Kiện*") &amp; " " &amp; AA817,
       AA817)
)</f>
        <v/>
      </c>
      <c r="F817" s="206"/>
      <c r="G817" s="206"/>
      <c r="H817" s="206"/>
      <c r="I817" s="206"/>
      <c r="J817" s="206" t="str">
        <f t="shared" si="216"/>
        <v/>
      </c>
      <c r="K817" s="206" t="str">
        <f t="shared" si="204"/>
        <v/>
      </c>
      <c r="L817" s="206" t="str">
        <f t="shared" si="205"/>
        <v/>
      </c>
      <c r="M817" s="206" t="str">
        <f t="shared" si="206"/>
        <v/>
      </c>
      <c r="N817" s="206" t="str">
        <f t="shared" si="217"/>
        <v/>
      </c>
      <c r="O817" s="206" t="str">
        <f t="shared" si="207"/>
        <v/>
      </c>
      <c r="P817" s="165" t="str">
        <f t="shared" si="208"/>
        <v/>
      </c>
      <c r="Q817" s="207"/>
      <c r="R817" s="141" t="str">
        <f>IF(S817="IN",'BOM_Phan II'!$Y$3,"")</f>
        <v/>
      </c>
      <c r="S817" s="153" t="str">
        <f t="shared" si="209"/>
        <v/>
      </c>
      <c r="T817">
        <f t="shared" si="210"/>
        <v>6</v>
      </c>
      <c r="U817" s="208" t="str">
        <f t="shared" si="218"/>
        <v>KIỆN 9</v>
      </c>
      <c r="V817" s="208" t="str">
        <f t="shared" si="211"/>
        <v/>
      </c>
      <c r="W817" s="240"/>
      <c r="X817" s="240"/>
      <c r="Y817" s="240" t="str">
        <f t="shared" si="212"/>
        <v/>
      </c>
      <c r="Z817" s="240"/>
      <c r="AD817" s="232" t="str">
        <f t="shared" si="213"/>
        <v/>
      </c>
      <c r="AE817" s="204"/>
      <c r="AX817" s="3" t="str">
        <f t="shared" si="203"/>
        <v/>
      </c>
    </row>
    <row r="818" spans="1:50" s="155" customFormat="1" ht="30" hidden="1" customHeight="1">
      <c r="A818" s="141" t="str">
        <f t="shared" si="214"/>
        <v/>
      </c>
      <c r="B818" s="141" t="str">
        <f t="shared" si="215"/>
        <v/>
      </c>
      <c r="C818" s="205" t="str" cm="1">
        <f t="array" ref="C818">IF(D818="","",
    IF(AND(ISNUMBER(D818), D818=INT(D818)),
        $V$6 &amp; " " &amp; (IFERROR(MAX($Y$12:$Y817), 0) + 1),
        IF(ISNUMBER(SEARCH(".", D818)), "", INDEX($C$12:$C818, MATCH(2, 1/($C$12:$C818 &lt;&gt; ""))))
    )
)</f>
        <v/>
      </c>
      <c r="D818" s="206"/>
      <c r="E818" s="206" t="str">
        <f>IF(AA818 = "", "",
    IF(ISNUMBER(SEARCH("Kiện", C818)),
       " GÓI " &amp; COUNTIF($C$13:C818, "*Kiện*") &amp; "/" &amp; COUNTIF($C$13:$C$1000, "*Kiện*") &amp; " " &amp; AA818,
       AA818)
)</f>
        <v/>
      </c>
      <c r="F818" s="206"/>
      <c r="G818" s="206"/>
      <c r="H818" s="206"/>
      <c r="I818" s="206"/>
      <c r="J818" s="206" t="str">
        <f t="shared" si="216"/>
        <v/>
      </c>
      <c r="K818" s="206" t="str">
        <f t="shared" si="204"/>
        <v/>
      </c>
      <c r="L818" s="206" t="str">
        <f t="shared" si="205"/>
        <v/>
      </c>
      <c r="M818" s="206" t="str">
        <f t="shared" si="206"/>
        <v/>
      </c>
      <c r="N818" s="206" t="str">
        <f t="shared" si="217"/>
        <v/>
      </c>
      <c r="O818" s="206" t="str">
        <f t="shared" si="207"/>
        <v/>
      </c>
      <c r="P818" s="165" t="str">
        <f t="shared" si="208"/>
        <v/>
      </c>
      <c r="Q818" s="207"/>
      <c r="R818" s="141" t="str">
        <f>IF(S818="IN",'BOM_Phan II'!$Y$3,"")</f>
        <v/>
      </c>
      <c r="S818" s="153" t="str">
        <f t="shared" si="209"/>
        <v/>
      </c>
      <c r="T818">
        <f t="shared" si="210"/>
        <v>6</v>
      </c>
      <c r="U818" s="208" t="str">
        <f t="shared" si="218"/>
        <v>KIỆN 9</v>
      </c>
      <c r="V818" s="208" t="str">
        <f t="shared" si="211"/>
        <v/>
      </c>
      <c r="W818" s="240"/>
      <c r="X818" s="240"/>
      <c r="Y818" s="240" t="str">
        <f t="shared" si="212"/>
        <v/>
      </c>
      <c r="Z818" s="240"/>
      <c r="AD818" s="232" t="str">
        <f t="shared" si="213"/>
        <v/>
      </c>
      <c r="AE818" s="204"/>
      <c r="AX818" s="3" t="str">
        <f t="shared" si="203"/>
        <v/>
      </c>
    </row>
    <row r="819" spans="1:50" s="155" customFormat="1" ht="30" hidden="1" customHeight="1">
      <c r="A819" s="141" t="str">
        <f t="shared" si="214"/>
        <v/>
      </c>
      <c r="B819" s="141" t="str">
        <f t="shared" si="215"/>
        <v/>
      </c>
      <c r="C819" s="205" t="str" cm="1">
        <f t="array" ref="C819">IF(D819="","",
    IF(AND(ISNUMBER(D819), D819=INT(D819)),
        $V$6 &amp; " " &amp; (IFERROR(MAX($Y$12:$Y818), 0) + 1),
        IF(ISNUMBER(SEARCH(".", D819)), "", INDEX($C$12:$C819, MATCH(2, 1/($C$12:$C819 &lt;&gt; ""))))
    )
)</f>
        <v/>
      </c>
      <c r="D819" s="206"/>
      <c r="E819" s="206" t="str">
        <f>IF(AA819 = "", "",
    IF(ISNUMBER(SEARCH("Kiện", C819)),
       " GÓI " &amp; COUNTIF($C$13:C819, "*Kiện*") &amp; "/" &amp; COUNTIF($C$13:$C$1000, "*Kiện*") &amp; " " &amp; AA819,
       AA819)
)</f>
        <v/>
      </c>
      <c r="F819" s="206"/>
      <c r="G819" s="206"/>
      <c r="H819" s="206"/>
      <c r="I819" s="206"/>
      <c r="J819" s="206" t="str">
        <f t="shared" si="216"/>
        <v/>
      </c>
      <c r="K819" s="206" t="str">
        <f t="shared" si="204"/>
        <v/>
      </c>
      <c r="L819" s="206" t="str">
        <f t="shared" si="205"/>
        <v/>
      </c>
      <c r="M819" s="206" t="str">
        <f t="shared" si="206"/>
        <v/>
      </c>
      <c r="N819" s="206" t="str">
        <f t="shared" si="217"/>
        <v/>
      </c>
      <c r="O819" s="206" t="str">
        <f t="shared" si="207"/>
        <v/>
      </c>
      <c r="P819" s="165" t="str">
        <f t="shared" si="208"/>
        <v/>
      </c>
      <c r="Q819" s="207"/>
      <c r="R819" s="141" t="str">
        <f>IF(S819="IN",'BOM_Phan II'!$Y$3,"")</f>
        <v/>
      </c>
      <c r="S819" s="153" t="str">
        <f t="shared" si="209"/>
        <v/>
      </c>
      <c r="T819">
        <f t="shared" si="210"/>
        <v>6</v>
      </c>
      <c r="U819" s="208" t="str">
        <f t="shared" si="218"/>
        <v>KIỆN 9</v>
      </c>
      <c r="V819" s="208" t="str">
        <f t="shared" si="211"/>
        <v/>
      </c>
      <c r="W819" s="240"/>
      <c r="X819" s="240"/>
      <c r="Y819" s="240" t="str">
        <f t="shared" si="212"/>
        <v/>
      </c>
      <c r="Z819" s="240"/>
      <c r="AD819" s="232" t="str">
        <f t="shared" si="213"/>
        <v/>
      </c>
      <c r="AE819" s="204"/>
      <c r="AX819" s="3" t="str">
        <f t="shared" si="203"/>
        <v/>
      </c>
    </row>
    <row r="820" spans="1:50" s="155" customFormat="1" ht="30" hidden="1" customHeight="1">
      <c r="A820" s="141" t="str">
        <f t="shared" si="214"/>
        <v/>
      </c>
      <c r="B820" s="141" t="str">
        <f t="shared" si="215"/>
        <v/>
      </c>
      <c r="C820" s="205" t="str" cm="1">
        <f t="array" ref="C820">IF(D820="","",
    IF(AND(ISNUMBER(D820), D820=INT(D820)),
        $V$6 &amp; " " &amp; (IFERROR(MAX($Y$12:$Y819), 0) + 1),
        IF(ISNUMBER(SEARCH(".", D820)), "", INDEX($C$12:$C820, MATCH(2, 1/($C$12:$C820 &lt;&gt; ""))))
    )
)</f>
        <v/>
      </c>
      <c r="D820" s="206"/>
      <c r="E820" s="206" t="str">
        <f>IF(AA820 = "", "",
    IF(ISNUMBER(SEARCH("Kiện", C820)),
       " GÓI " &amp; COUNTIF($C$13:C820, "*Kiện*") &amp; "/" &amp; COUNTIF($C$13:$C$1000, "*Kiện*") &amp; " " &amp; AA820,
       AA820)
)</f>
        <v/>
      </c>
      <c r="F820" s="206"/>
      <c r="G820" s="206"/>
      <c r="H820" s="206"/>
      <c r="I820" s="206"/>
      <c r="J820" s="206" t="str">
        <f t="shared" si="216"/>
        <v/>
      </c>
      <c r="K820" s="206" t="str">
        <f t="shared" si="204"/>
        <v/>
      </c>
      <c r="L820" s="206" t="str">
        <f t="shared" si="205"/>
        <v/>
      </c>
      <c r="M820" s="206" t="str">
        <f t="shared" si="206"/>
        <v/>
      </c>
      <c r="N820" s="206" t="str">
        <f t="shared" si="217"/>
        <v/>
      </c>
      <c r="O820" s="206" t="str">
        <f t="shared" si="207"/>
        <v/>
      </c>
      <c r="P820" s="165" t="str">
        <f t="shared" si="208"/>
        <v/>
      </c>
      <c r="Q820" s="207"/>
      <c r="R820" s="141" t="str">
        <f>IF(S820="IN",'BOM_Phan II'!$Y$3,"")</f>
        <v/>
      </c>
      <c r="S820" s="153" t="str">
        <f t="shared" si="209"/>
        <v/>
      </c>
      <c r="T820">
        <f t="shared" si="210"/>
        <v>6</v>
      </c>
      <c r="U820" s="208" t="str">
        <f t="shared" si="218"/>
        <v>KIỆN 9</v>
      </c>
      <c r="V820" s="208" t="str">
        <f t="shared" si="211"/>
        <v/>
      </c>
      <c r="W820" s="240"/>
      <c r="X820" s="240"/>
      <c r="Y820" s="240" t="str">
        <f t="shared" si="212"/>
        <v/>
      </c>
      <c r="Z820" s="240"/>
      <c r="AD820" s="232" t="str">
        <f t="shared" si="213"/>
        <v/>
      </c>
      <c r="AE820" s="204"/>
      <c r="AX820" s="3" t="str">
        <f t="shared" si="203"/>
        <v/>
      </c>
    </row>
    <row r="821" spans="1:50" s="155" customFormat="1" ht="30" hidden="1" customHeight="1">
      <c r="A821" s="141" t="str">
        <f t="shared" si="214"/>
        <v/>
      </c>
      <c r="B821" s="141" t="str">
        <f t="shared" si="215"/>
        <v/>
      </c>
      <c r="C821" s="205" t="str" cm="1">
        <f t="array" ref="C821">IF(D821="","",
    IF(AND(ISNUMBER(D821), D821=INT(D821)),
        $V$6 &amp; " " &amp; (IFERROR(MAX($Y$12:$Y820), 0) + 1),
        IF(ISNUMBER(SEARCH(".", D821)), "", INDEX($C$12:$C821, MATCH(2, 1/($C$12:$C821 &lt;&gt; ""))))
    )
)</f>
        <v/>
      </c>
      <c r="D821" s="206"/>
      <c r="E821" s="206" t="str">
        <f>IF(AA821 = "", "",
    IF(ISNUMBER(SEARCH("Kiện", C821)),
       " GÓI " &amp; COUNTIF($C$13:C821, "*Kiện*") &amp; "/" &amp; COUNTIF($C$13:$C$1000, "*Kiện*") &amp; " " &amp; AA821,
       AA821)
)</f>
        <v/>
      </c>
      <c r="F821" s="206"/>
      <c r="G821" s="206"/>
      <c r="H821" s="206"/>
      <c r="I821" s="206"/>
      <c r="J821" s="206" t="str">
        <f t="shared" si="216"/>
        <v/>
      </c>
      <c r="K821" s="206" t="str">
        <f t="shared" si="204"/>
        <v/>
      </c>
      <c r="L821" s="206" t="str">
        <f t="shared" si="205"/>
        <v/>
      </c>
      <c r="M821" s="206" t="str">
        <f t="shared" si="206"/>
        <v/>
      </c>
      <c r="N821" s="206" t="str">
        <f t="shared" si="217"/>
        <v/>
      </c>
      <c r="O821" s="206" t="str">
        <f t="shared" si="207"/>
        <v/>
      </c>
      <c r="P821" s="165" t="str">
        <f t="shared" si="208"/>
        <v/>
      </c>
      <c r="Q821" s="207"/>
      <c r="R821" s="141" t="str">
        <f>IF(S821="IN",'BOM_Phan II'!$Y$3,"")</f>
        <v/>
      </c>
      <c r="S821" s="153" t="str">
        <f t="shared" si="209"/>
        <v/>
      </c>
      <c r="T821">
        <f t="shared" si="210"/>
        <v>6</v>
      </c>
      <c r="U821" s="208" t="str">
        <f t="shared" si="218"/>
        <v>KIỆN 9</v>
      </c>
      <c r="V821" s="208" t="str">
        <f t="shared" si="211"/>
        <v/>
      </c>
      <c r="W821" s="240"/>
      <c r="X821" s="240"/>
      <c r="Y821" s="240" t="str">
        <f t="shared" si="212"/>
        <v/>
      </c>
      <c r="Z821" s="240"/>
      <c r="AD821" s="232" t="str">
        <f t="shared" si="213"/>
        <v/>
      </c>
      <c r="AE821" s="204"/>
      <c r="AX821" s="3" t="str">
        <f t="shared" si="203"/>
        <v/>
      </c>
    </row>
    <row r="822" spans="1:50" s="155" customFormat="1" ht="30" hidden="1" customHeight="1">
      <c r="A822" s="141" t="str">
        <f t="shared" si="214"/>
        <v/>
      </c>
      <c r="B822" s="141" t="str">
        <f t="shared" si="215"/>
        <v/>
      </c>
      <c r="C822" s="205" t="str" cm="1">
        <f t="array" ref="C822">IF(D822="","",
    IF(AND(ISNUMBER(D822), D822=INT(D822)),
        $V$6 &amp; " " &amp; (IFERROR(MAX($Y$12:$Y821), 0) + 1),
        IF(ISNUMBER(SEARCH(".", D822)), "", INDEX($C$12:$C822, MATCH(2, 1/($C$12:$C822 &lt;&gt; ""))))
    )
)</f>
        <v/>
      </c>
      <c r="D822" s="206"/>
      <c r="E822" s="206" t="str">
        <f>IF(AA822 = "", "",
    IF(ISNUMBER(SEARCH("Kiện", C822)),
       " GÓI " &amp; COUNTIF($C$13:C822, "*Kiện*") &amp; "/" &amp; COUNTIF($C$13:$C$1000, "*Kiện*") &amp; " " &amp; AA822,
       AA822)
)</f>
        <v/>
      </c>
      <c r="F822" s="206"/>
      <c r="G822" s="206"/>
      <c r="H822" s="206"/>
      <c r="I822" s="206"/>
      <c r="J822" s="206" t="str">
        <f t="shared" si="216"/>
        <v/>
      </c>
      <c r="K822" s="206" t="str">
        <f t="shared" si="204"/>
        <v/>
      </c>
      <c r="L822" s="206" t="str">
        <f t="shared" si="205"/>
        <v/>
      </c>
      <c r="M822" s="206" t="str">
        <f t="shared" si="206"/>
        <v/>
      </c>
      <c r="N822" s="206" t="str">
        <f t="shared" si="217"/>
        <v/>
      </c>
      <c r="O822" s="206" t="str">
        <f t="shared" si="207"/>
        <v/>
      </c>
      <c r="P822" s="165" t="str">
        <f t="shared" si="208"/>
        <v/>
      </c>
      <c r="Q822" s="207"/>
      <c r="R822" s="141" t="str">
        <f>IF(S822="IN",'BOM_Phan II'!$Y$3,"")</f>
        <v/>
      </c>
      <c r="S822" s="153" t="str">
        <f t="shared" si="209"/>
        <v/>
      </c>
      <c r="T822">
        <f t="shared" si="210"/>
        <v>6</v>
      </c>
      <c r="U822" s="208" t="str">
        <f t="shared" si="218"/>
        <v>KIỆN 9</v>
      </c>
      <c r="V822" s="208" t="str">
        <f t="shared" si="211"/>
        <v/>
      </c>
      <c r="W822" s="240"/>
      <c r="X822" s="240"/>
      <c r="Y822" s="240" t="str">
        <f t="shared" si="212"/>
        <v/>
      </c>
      <c r="Z822" s="240"/>
      <c r="AD822" s="232" t="str">
        <f t="shared" si="213"/>
        <v/>
      </c>
      <c r="AE822" s="204"/>
      <c r="AX822" s="3" t="str">
        <f t="shared" si="203"/>
        <v/>
      </c>
    </row>
    <row r="823" spans="1:50" s="155" customFormat="1" ht="30" hidden="1" customHeight="1">
      <c r="A823" s="141" t="str">
        <f t="shared" si="214"/>
        <v/>
      </c>
      <c r="B823" s="141" t="str">
        <f t="shared" si="215"/>
        <v/>
      </c>
      <c r="C823" s="205" t="str" cm="1">
        <f t="array" ref="C823">IF(D823="","",
    IF(AND(ISNUMBER(D823), D823=INT(D823)),
        $V$6 &amp; " " &amp; (IFERROR(MAX($Y$12:$Y822), 0) + 1),
        IF(ISNUMBER(SEARCH(".", D823)), "", INDEX($C$12:$C823, MATCH(2, 1/($C$12:$C823 &lt;&gt; ""))))
    )
)</f>
        <v/>
      </c>
      <c r="D823" s="206"/>
      <c r="E823" s="206" t="str">
        <f>IF(AA823 = "", "",
    IF(ISNUMBER(SEARCH("Kiện", C823)),
       " GÓI " &amp; COUNTIF($C$13:C823, "*Kiện*") &amp; "/" &amp; COUNTIF($C$13:$C$1000, "*Kiện*") &amp; " " &amp; AA823,
       AA823)
)</f>
        <v/>
      </c>
      <c r="F823" s="206"/>
      <c r="G823" s="206"/>
      <c r="H823" s="206"/>
      <c r="I823" s="206"/>
      <c r="J823" s="206" t="str">
        <f t="shared" si="216"/>
        <v/>
      </c>
      <c r="K823" s="206" t="str">
        <f t="shared" si="204"/>
        <v/>
      </c>
      <c r="L823" s="206" t="str">
        <f t="shared" si="205"/>
        <v/>
      </c>
      <c r="M823" s="206" t="str">
        <f t="shared" si="206"/>
        <v/>
      </c>
      <c r="N823" s="206" t="str">
        <f t="shared" si="217"/>
        <v/>
      </c>
      <c r="O823" s="206" t="str">
        <f t="shared" si="207"/>
        <v/>
      </c>
      <c r="P823" s="165" t="str">
        <f t="shared" si="208"/>
        <v/>
      </c>
      <c r="Q823" s="207"/>
      <c r="R823" s="141" t="str">
        <f>IF(S823="IN",'BOM_Phan II'!$Y$3,"")</f>
        <v/>
      </c>
      <c r="S823" s="153" t="str">
        <f t="shared" si="209"/>
        <v/>
      </c>
      <c r="T823">
        <f t="shared" si="210"/>
        <v>6</v>
      </c>
      <c r="U823" s="208" t="str">
        <f t="shared" si="218"/>
        <v>KIỆN 9</v>
      </c>
      <c r="V823" s="208" t="str">
        <f t="shared" si="211"/>
        <v/>
      </c>
      <c r="W823" s="240"/>
      <c r="X823" s="240"/>
      <c r="Y823" s="240" t="str">
        <f t="shared" si="212"/>
        <v/>
      </c>
      <c r="Z823" s="240"/>
      <c r="AD823" s="232" t="str">
        <f t="shared" si="213"/>
        <v/>
      </c>
      <c r="AE823" s="204"/>
      <c r="AX823" s="3" t="str">
        <f t="shared" si="203"/>
        <v/>
      </c>
    </row>
    <row r="824" spans="1:50" s="155" customFormat="1" ht="30" hidden="1" customHeight="1">
      <c r="A824" s="141" t="str">
        <f t="shared" si="214"/>
        <v/>
      </c>
      <c r="B824" s="141" t="str">
        <f t="shared" si="215"/>
        <v/>
      </c>
      <c r="C824" s="205" t="str" cm="1">
        <f t="array" ref="C824">IF(D824="","",
    IF(AND(ISNUMBER(D824), D824=INT(D824)),
        $V$6 &amp; " " &amp; (IFERROR(MAX($Y$12:$Y823), 0) + 1),
        IF(ISNUMBER(SEARCH(".", D824)), "", INDEX($C$12:$C824, MATCH(2, 1/($C$12:$C824 &lt;&gt; ""))))
    )
)</f>
        <v/>
      </c>
      <c r="D824" s="206"/>
      <c r="E824" s="206" t="str">
        <f>IF(AA824 = "", "",
    IF(ISNUMBER(SEARCH("Kiện", C824)),
       " GÓI " &amp; COUNTIF($C$13:C824, "*Kiện*") &amp; "/" &amp; COUNTIF($C$13:$C$1000, "*Kiện*") &amp; " " &amp; AA824,
       AA824)
)</f>
        <v/>
      </c>
      <c r="F824" s="206"/>
      <c r="G824" s="206"/>
      <c r="H824" s="206"/>
      <c r="I824" s="206"/>
      <c r="J824" s="206" t="str">
        <f t="shared" si="216"/>
        <v/>
      </c>
      <c r="K824" s="206" t="str">
        <f t="shared" si="204"/>
        <v/>
      </c>
      <c r="L824" s="206" t="str">
        <f t="shared" si="205"/>
        <v/>
      </c>
      <c r="M824" s="206" t="str">
        <f t="shared" si="206"/>
        <v/>
      </c>
      <c r="N824" s="206" t="str">
        <f t="shared" si="217"/>
        <v/>
      </c>
      <c r="O824" s="206" t="str">
        <f t="shared" si="207"/>
        <v/>
      </c>
      <c r="P824" s="165" t="str">
        <f t="shared" si="208"/>
        <v/>
      </c>
      <c r="Q824" s="207"/>
      <c r="R824" s="141" t="str">
        <f>IF(S824="IN",'BOM_Phan II'!$Y$3,"")</f>
        <v/>
      </c>
      <c r="S824" s="153" t="str">
        <f t="shared" si="209"/>
        <v/>
      </c>
      <c r="T824">
        <f t="shared" si="210"/>
        <v>6</v>
      </c>
      <c r="U824" s="208" t="str">
        <f t="shared" si="218"/>
        <v>KIỆN 9</v>
      </c>
      <c r="V824" s="208" t="str">
        <f t="shared" si="211"/>
        <v/>
      </c>
      <c r="W824" s="240"/>
      <c r="X824" s="240"/>
      <c r="Y824" s="240" t="str">
        <f t="shared" si="212"/>
        <v/>
      </c>
      <c r="Z824" s="240"/>
      <c r="AD824" s="232" t="str">
        <f t="shared" si="213"/>
        <v/>
      </c>
      <c r="AE824" s="204"/>
      <c r="AX824" s="3" t="str">
        <f t="shared" si="203"/>
        <v/>
      </c>
    </row>
    <row r="825" spans="1:50" s="155" customFormat="1" ht="30" hidden="1" customHeight="1">
      <c r="A825" s="141" t="str">
        <f t="shared" si="214"/>
        <v/>
      </c>
      <c r="B825" s="141" t="str">
        <f t="shared" si="215"/>
        <v/>
      </c>
      <c r="C825" s="205" t="str" cm="1">
        <f t="array" ref="C825">IF(D825="","",
    IF(AND(ISNUMBER(D825), D825=INT(D825)),
        $V$6 &amp; " " &amp; (IFERROR(MAX($Y$12:$Y824), 0) + 1),
        IF(ISNUMBER(SEARCH(".", D825)), "", INDEX($C$12:$C825, MATCH(2, 1/($C$12:$C825 &lt;&gt; ""))))
    )
)</f>
        <v/>
      </c>
      <c r="D825" s="206"/>
      <c r="E825" s="206" t="str">
        <f>IF(AA825 = "", "",
    IF(ISNUMBER(SEARCH("Kiện", C825)),
       " GÓI " &amp; COUNTIF($C$13:C825, "*Kiện*") &amp; "/" &amp; COUNTIF($C$13:$C$1000, "*Kiện*") &amp; " " &amp; AA825,
       AA825)
)</f>
        <v/>
      </c>
      <c r="F825" s="206"/>
      <c r="G825" s="206"/>
      <c r="H825" s="206"/>
      <c r="I825" s="206"/>
      <c r="J825" s="206" t="str">
        <f t="shared" si="216"/>
        <v/>
      </c>
      <c r="K825" s="206" t="str">
        <f t="shared" si="204"/>
        <v/>
      </c>
      <c r="L825" s="206" t="str">
        <f t="shared" si="205"/>
        <v/>
      </c>
      <c r="M825" s="206" t="str">
        <f t="shared" si="206"/>
        <v/>
      </c>
      <c r="N825" s="206" t="str">
        <f t="shared" si="217"/>
        <v/>
      </c>
      <c r="O825" s="206" t="str">
        <f t="shared" si="207"/>
        <v/>
      </c>
      <c r="P825" s="165" t="str">
        <f t="shared" si="208"/>
        <v/>
      </c>
      <c r="Q825" s="207"/>
      <c r="R825" s="141" t="str">
        <f>IF(S825="IN",'BOM_Phan II'!$Y$3,"")</f>
        <v/>
      </c>
      <c r="S825" s="153" t="str">
        <f t="shared" si="209"/>
        <v/>
      </c>
      <c r="T825">
        <f t="shared" si="210"/>
        <v>6</v>
      </c>
      <c r="U825" s="208" t="str">
        <f t="shared" si="218"/>
        <v>KIỆN 9</v>
      </c>
      <c r="V825" s="208" t="str">
        <f t="shared" si="211"/>
        <v/>
      </c>
      <c r="W825" s="240"/>
      <c r="X825" s="240"/>
      <c r="Y825" s="240" t="str">
        <f t="shared" si="212"/>
        <v/>
      </c>
      <c r="Z825" s="240"/>
      <c r="AD825" s="232" t="str">
        <f t="shared" si="213"/>
        <v/>
      </c>
      <c r="AE825" s="204"/>
      <c r="AX825" s="3" t="str">
        <f t="shared" si="203"/>
        <v/>
      </c>
    </row>
    <row r="826" spans="1:50" s="155" customFormat="1" ht="30" hidden="1" customHeight="1">
      <c r="A826" s="141" t="str">
        <f t="shared" si="214"/>
        <v/>
      </c>
      <c r="B826" s="141" t="str">
        <f t="shared" si="215"/>
        <v/>
      </c>
      <c r="C826" s="205" t="str" cm="1">
        <f t="array" ref="C826">IF(D826="","",
    IF(AND(ISNUMBER(D826), D826=INT(D826)),
        $V$6 &amp; " " &amp; (IFERROR(MAX($Y$12:$Y825), 0) + 1),
        IF(ISNUMBER(SEARCH(".", D826)), "", INDEX($C$12:$C826, MATCH(2, 1/($C$12:$C826 &lt;&gt; ""))))
    )
)</f>
        <v/>
      </c>
      <c r="D826" s="206"/>
      <c r="E826" s="206" t="str">
        <f>IF(AA826 = "", "",
    IF(ISNUMBER(SEARCH("Kiện", C826)),
       " GÓI " &amp; COUNTIF($C$13:C826, "*Kiện*") &amp; "/" &amp; COUNTIF($C$13:$C$1000, "*Kiện*") &amp; " " &amp; AA826,
       AA826)
)</f>
        <v/>
      </c>
      <c r="F826" s="206"/>
      <c r="G826" s="206"/>
      <c r="H826" s="206"/>
      <c r="I826" s="206"/>
      <c r="J826" s="206" t="str">
        <f t="shared" si="216"/>
        <v/>
      </c>
      <c r="K826" s="206" t="str">
        <f t="shared" si="204"/>
        <v/>
      </c>
      <c r="L826" s="206" t="str">
        <f t="shared" si="205"/>
        <v/>
      </c>
      <c r="M826" s="206" t="str">
        <f t="shared" si="206"/>
        <v/>
      </c>
      <c r="N826" s="206" t="str">
        <f t="shared" si="217"/>
        <v/>
      </c>
      <c r="O826" s="206" t="str">
        <f t="shared" si="207"/>
        <v/>
      </c>
      <c r="P826" s="165" t="str">
        <f t="shared" si="208"/>
        <v/>
      </c>
      <c r="Q826" s="207"/>
      <c r="R826" s="141" t="str">
        <f>IF(S826="IN",'BOM_Phan II'!$Y$3,"")</f>
        <v/>
      </c>
      <c r="S826" s="153" t="str">
        <f t="shared" si="209"/>
        <v/>
      </c>
      <c r="T826">
        <f t="shared" si="210"/>
        <v>6</v>
      </c>
      <c r="U826" s="208" t="str">
        <f t="shared" si="218"/>
        <v>KIỆN 9</v>
      </c>
      <c r="V826" s="208" t="str">
        <f t="shared" si="211"/>
        <v/>
      </c>
      <c r="W826" s="240"/>
      <c r="X826" s="240"/>
      <c r="Y826" s="240" t="str">
        <f t="shared" si="212"/>
        <v/>
      </c>
      <c r="Z826" s="240"/>
      <c r="AD826" s="232" t="str">
        <f t="shared" si="213"/>
        <v/>
      </c>
      <c r="AE826" s="204"/>
      <c r="AX826" s="3" t="str">
        <f t="shared" si="203"/>
        <v/>
      </c>
    </row>
    <row r="827" spans="1:50" s="155" customFormat="1" ht="30" hidden="1" customHeight="1">
      <c r="A827" s="141" t="str">
        <f t="shared" si="214"/>
        <v/>
      </c>
      <c r="B827" s="141" t="str">
        <f t="shared" si="215"/>
        <v/>
      </c>
      <c r="C827" s="205" t="str" cm="1">
        <f t="array" ref="C827">IF(D827="","",
    IF(AND(ISNUMBER(D827), D827=INT(D827)),
        $V$6 &amp; " " &amp; (IFERROR(MAX($Y$12:$Y826), 0) + 1),
        IF(ISNUMBER(SEARCH(".", D827)), "", INDEX($C$12:$C827, MATCH(2, 1/($C$12:$C827 &lt;&gt; ""))))
    )
)</f>
        <v/>
      </c>
      <c r="D827" s="206"/>
      <c r="E827" s="206" t="str">
        <f>IF(AA827 = "", "",
    IF(ISNUMBER(SEARCH("Kiện", C827)),
       " GÓI " &amp; COUNTIF($C$13:C827, "*Kiện*") &amp; "/" &amp; COUNTIF($C$13:$C$1000, "*Kiện*") &amp; " " &amp; AA827,
       AA827)
)</f>
        <v/>
      </c>
      <c r="F827" s="206"/>
      <c r="G827" s="206"/>
      <c r="H827" s="206"/>
      <c r="I827" s="206"/>
      <c r="J827" s="206" t="str">
        <f t="shared" si="216"/>
        <v/>
      </c>
      <c r="K827" s="206" t="str">
        <f t="shared" si="204"/>
        <v/>
      </c>
      <c r="L827" s="206" t="str">
        <f t="shared" si="205"/>
        <v/>
      </c>
      <c r="M827" s="206" t="str">
        <f t="shared" si="206"/>
        <v/>
      </c>
      <c r="N827" s="206" t="str">
        <f t="shared" si="217"/>
        <v/>
      </c>
      <c r="O827" s="206" t="str">
        <f t="shared" si="207"/>
        <v/>
      </c>
      <c r="P827" s="165" t="str">
        <f t="shared" si="208"/>
        <v/>
      </c>
      <c r="Q827" s="207"/>
      <c r="R827" s="141" t="str">
        <f>IF(S827="IN",'BOM_Phan II'!$Y$3,"")</f>
        <v/>
      </c>
      <c r="S827" s="153" t="str">
        <f t="shared" si="209"/>
        <v/>
      </c>
      <c r="T827">
        <f t="shared" si="210"/>
        <v>6</v>
      </c>
      <c r="U827" s="208" t="str">
        <f t="shared" si="218"/>
        <v>KIỆN 9</v>
      </c>
      <c r="V827" s="208" t="str">
        <f t="shared" si="211"/>
        <v/>
      </c>
      <c r="W827" s="240"/>
      <c r="X827" s="240"/>
      <c r="Y827" s="240" t="str">
        <f t="shared" si="212"/>
        <v/>
      </c>
      <c r="Z827" s="240"/>
      <c r="AD827" s="232" t="str">
        <f t="shared" si="213"/>
        <v/>
      </c>
      <c r="AE827" s="204"/>
      <c r="AX827" s="3" t="str">
        <f t="shared" si="203"/>
        <v/>
      </c>
    </row>
    <row r="828" spans="1:50" s="155" customFormat="1" ht="30" hidden="1" customHeight="1">
      <c r="A828" s="141" t="str">
        <f t="shared" si="214"/>
        <v/>
      </c>
      <c r="B828" s="141" t="str">
        <f t="shared" si="215"/>
        <v/>
      </c>
      <c r="C828" s="205" t="str" cm="1">
        <f t="array" ref="C828">IF(D828="","",
    IF(AND(ISNUMBER(D828), D828=INT(D828)),
        $V$6 &amp; " " &amp; (IFERROR(MAX($Y$12:$Y827), 0) + 1),
        IF(ISNUMBER(SEARCH(".", D828)), "", INDEX($C$12:$C828, MATCH(2, 1/($C$12:$C828 &lt;&gt; ""))))
    )
)</f>
        <v/>
      </c>
      <c r="D828" s="206"/>
      <c r="E828" s="206" t="str">
        <f>IF(AA828 = "", "",
    IF(ISNUMBER(SEARCH("Kiện", C828)),
       " GÓI " &amp; COUNTIF($C$13:C828, "*Kiện*") &amp; "/" &amp; COUNTIF($C$13:$C$1000, "*Kiện*") &amp; " " &amp; AA828,
       AA828)
)</f>
        <v/>
      </c>
      <c r="F828" s="206"/>
      <c r="G828" s="206"/>
      <c r="H828" s="206"/>
      <c r="I828" s="206"/>
      <c r="J828" s="206" t="str">
        <f t="shared" si="216"/>
        <v/>
      </c>
      <c r="K828" s="206" t="str">
        <f t="shared" si="204"/>
        <v/>
      </c>
      <c r="L828" s="206" t="str">
        <f t="shared" si="205"/>
        <v/>
      </c>
      <c r="M828" s="206" t="str">
        <f t="shared" si="206"/>
        <v/>
      </c>
      <c r="N828" s="206" t="str">
        <f t="shared" si="217"/>
        <v/>
      </c>
      <c r="O828" s="206" t="str">
        <f t="shared" si="207"/>
        <v/>
      </c>
      <c r="P828" s="165" t="str">
        <f t="shared" si="208"/>
        <v/>
      </c>
      <c r="Q828" s="207"/>
      <c r="R828" s="141" t="str">
        <f>IF(S828="IN",'BOM_Phan II'!$Y$3,"")</f>
        <v/>
      </c>
      <c r="S828" s="153" t="str">
        <f t="shared" si="209"/>
        <v/>
      </c>
      <c r="T828">
        <f t="shared" si="210"/>
        <v>6</v>
      </c>
      <c r="U828" s="208" t="str">
        <f t="shared" si="218"/>
        <v>KIỆN 9</v>
      </c>
      <c r="V828" s="208" t="str">
        <f t="shared" si="211"/>
        <v/>
      </c>
      <c r="W828" s="240"/>
      <c r="X828" s="240"/>
      <c r="Y828" s="240" t="str">
        <f t="shared" si="212"/>
        <v/>
      </c>
      <c r="Z828" s="240"/>
      <c r="AD828" s="232" t="str">
        <f t="shared" si="213"/>
        <v/>
      </c>
      <c r="AE828" s="204"/>
      <c r="AX828" s="3" t="str">
        <f t="shared" si="203"/>
        <v/>
      </c>
    </row>
    <row r="829" spans="1:50" s="155" customFormat="1" ht="30" hidden="1" customHeight="1">
      <c r="A829" s="141" t="str">
        <f t="shared" si="214"/>
        <v/>
      </c>
      <c r="B829" s="141" t="str">
        <f t="shared" si="215"/>
        <v/>
      </c>
      <c r="C829" s="205" t="str" cm="1">
        <f t="array" ref="C829">IF(D829="","",
    IF(AND(ISNUMBER(D829), D829=INT(D829)),
        $V$6 &amp; " " &amp; (IFERROR(MAX($Y$12:$Y828), 0) + 1),
        IF(ISNUMBER(SEARCH(".", D829)), "", INDEX($C$12:$C829, MATCH(2, 1/($C$12:$C829 &lt;&gt; ""))))
    )
)</f>
        <v/>
      </c>
      <c r="D829" s="206"/>
      <c r="E829" s="206" t="str">
        <f>IF(AA829 = "", "",
    IF(ISNUMBER(SEARCH("Kiện", C829)),
       " GÓI " &amp; COUNTIF($C$13:C829, "*Kiện*") &amp; "/" &amp; COUNTIF($C$13:$C$1000, "*Kiện*") &amp; " " &amp; AA829,
       AA829)
)</f>
        <v/>
      </c>
      <c r="F829" s="206"/>
      <c r="G829" s="206"/>
      <c r="H829" s="206"/>
      <c r="I829" s="206"/>
      <c r="J829" s="206" t="str">
        <f t="shared" si="216"/>
        <v/>
      </c>
      <c r="K829" s="206" t="str">
        <f t="shared" si="204"/>
        <v/>
      </c>
      <c r="L829" s="206" t="str">
        <f t="shared" si="205"/>
        <v/>
      </c>
      <c r="M829" s="206" t="str">
        <f t="shared" si="206"/>
        <v/>
      </c>
      <c r="N829" s="206" t="str">
        <f t="shared" si="217"/>
        <v/>
      </c>
      <c r="O829" s="206" t="str">
        <f t="shared" si="207"/>
        <v/>
      </c>
      <c r="P829" s="165" t="str">
        <f t="shared" si="208"/>
        <v/>
      </c>
      <c r="Q829" s="207"/>
      <c r="R829" s="141" t="str">
        <f>IF(S829="IN",'BOM_Phan II'!$Y$3,"")</f>
        <v/>
      </c>
      <c r="S829" s="153" t="str">
        <f t="shared" si="209"/>
        <v/>
      </c>
      <c r="T829">
        <f t="shared" si="210"/>
        <v>6</v>
      </c>
      <c r="U829" s="208" t="str">
        <f t="shared" si="218"/>
        <v>KIỆN 9</v>
      </c>
      <c r="V829" s="208" t="str">
        <f t="shared" si="211"/>
        <v/>
      </c>
      <c r="W829" s="240"/>
      <c r="X829" s="240"/>
      <c r="Y829" s="240" t="str">
        <f t="shared" si="212"/>
        <v/>
      </c>
      <c r="Z829" s="240"/>
      <c r="AD829" s="232" t="str">
        <f t="shared" si="213"/>
        <v/>
      </c>
      <c r="AE829" s="204"/>
      <c r="AX829" s="3" t="str">
        <f t="shared" si="203"/>
        <v/>
      </c>
    </row>
    <row r="830" spans="1:50" s="155" customFormat="1" ht="30" hidden="1" customHeight="1">
      <c r="A830" s="141" t="str">
        <f t="shared" si="214"/>
        <v/>
      </c>
      <c r="B830" s="141" t="str">
        <f t="shared" si="215"/>
        <v/>
      </c>
      <c r="C830" s="205" t="str" cm="1">
        <f t="array" ref="C830">IF(D830="","",
    IF(AND(ISNUMBER(D830), D830=INT(D830)),
        $V$6 &amp; " " &amp; (IFERROR(MAX($Y$12:$Y829), 0) + 1),
        IF(ISNUMBER(SEARCH(".", D830)), "", INDEX($C$12:$C830, MATCH(2, 1/($C$12:$C830 &lt;&gt; ""))))
    )
)</f>
        <v/>
      </c>
      <c r="D830" s="206"/>
      <c r="E830" s="206" t="str">
        <f>IF(AA830 = "", "",
    IF(ISNUMBER(SEARCH("Kiện", C830)),
       " GÓI " &amp; COUNTIF($C$13:C830, "*Kiện*") &amp; "/" &amp; COUNTIF($C$13:$C$1000, "*Kiện*") &amp; " " &amp; AA830,
       AA830)
)</f>
        <v/>
      </c>
      <c r="F830" s="206"/>
      <c r="G830" s="206"/>
      <c r="H830" s="206"/>
      <c r="I830" s="206"/>
      <c r="J830" s="206" t="str">
        <f t="shared" si="216"/>
        <v/>
      </c>
      <c r="K830" s="206" t="str">
        <f t="shared" si="204"/>
        <v/>
      </c>
      <c r="L830" s="206" t="str">
        <f t="shared" si="205"/>
        <v/>
      </c>
      <c r="M830" s="206" t="str">
        <f t="shared" si="206"/>
        <v/>
      </c>
      <c r="N830" s="206" t="str">
        <f t="shared" si="217"/>
        <v/>
      </c>
      <c r="O830" s="206" t="str">
        <f t="shared" si="207"/>
        <v/>
      </c>
      <c r="P830" s="165" t="str">
        <f t="shared" si="208"/>
        <v/>
      </c>
      <c r="Q830" s="207"/>
      <c r="R830" s="141" t="str">
        <f>IF(S830="IN",'BOM_Phan II'!$Y$3,"")</f>
        <v/>
      </c>
      <c r="S830" s="153" t="str">
        <f t="shared" si="209"/>
        <v/>
      </c>
      <c r="T830">
        <f t="shared" si="210"/>
        <v>6</v>
      </c>
      <c r="U830" s="208" t="str">
        <f t="shared" si="218"/>
        <v>KIỆN 9</v>
      </c>
      <c r="V830" s="208" t="str">
        <f t="shared" si="211"/>
        <v/>
      </c>
      <c r="W830" s="240"/>
      <c r="X830" s="240"/>
      <c r="Y830" s="240" t="str">
        <f t="shared" si="212"/>
        <v/>
      </c>
      <c r="Z830" s="240"/>
      <c r="AD830" s="232" t="str">
        <f t="shared" si="213"/>
        <v/>
      </c>
      <c r="AE830" s="204"/>
      <c r="AX830" s="3" t="str">
        <f t="shared" si="203"/>
        <v/>
      </c>
    </row>
    <row r="831" spans="1:50" s="155" customFormat="1" ht="30" hidden="1" customHeight="1">
      <c r="A831" s="141" t="str">
        <f t="shared" si="214"/>
        <v/>
      </c>
      <c r="B831" s="141" t="str">
        <f t="shared" si="215"/>
        <v/>
      </c>
      <c r="C831" s="205" t="str" cm="1">
        <f t="array" ref="C831">IF(D831="","",
    IF(AND(ISNUMBER(D831), D831=INT(D831)),
        $V$6 &amp; " " &amp; (IFERROR(MAX($Y$12:$Y830), 0) + 1),
        IF(ISNUMBER(SEARCH(".", D831)), "", INDEX($C$12:$C831, MATCH(2, 1/($C$12:$C831 &lt;&gt; ""))))
    )
)</f>
        <v/>
      </c>
      <c r="D831" s="206"/>
      <c r="E831" s="206" t="str">
        <f>IF(AA831 = "", "",
    IF(ISNUMBER(SEARCH("Kiện", C831)),
       " GÓI " &amp; COUNTIF($C$13:C831, "*Kiện*") &amp; "/" &amp; COUNTIF($C$13:$C$1000, "*Kiện*") &amp; " " &amp; AA831,
       AA831)
)</f>
        <v/>
      </c>
      <c r="F831" s="206"/>
      <c r="G831" s="206"/>
      <c r="H831" s="206"/>
      <c r="I831" s="206"/>
      <c r="J831" s="206" t="str">
        <f t="shared" si="216"/>
        <v/>
      </c>
      <c r="K831" s="206" t="str">
        <f t="shared" si="204"/>
        <v/>
      </c>
      <c r="L831" s="206" t="str">
        <f t="shared" si="205"/>
        <v/>
      </c>
      <c r="M831" s="206" t="str">
        <f t="shared" si="206"/>
        <v/>
      </c>
      <c r="N831" s="206" t="str">
        <f t="shared" si="217"/>
        <v/>
      </c>
      <c r="O831" s="206" t="str">
        <f t="shared" si="207"/>
        <v/>
      </c>
      <c r="P831" s="165" t="str">
        <f t="shared" si="208"/>
        <v/>
      </c>
      <c r="Q831" s="207"/>
      <c r="R831" s="141" t="str">
        <f>IF(S831="IN",'BOM_Phan II'!$Y$3,"")</f>
        <v/>
      </c>
      <c r="S831" s="153" t="str">
        <f t="shared" si="209"/>
        <v/>
      </c>
      <c r="T831">
        <f t="shared" si="210"/>
        <v>6</v>
      </c>
      <c r="U831" s="208" t="str">
        <f t="shared" si="218"/>
        <v>KIỆN 9</v>
      </c>
      <c r="V831" s="208" t="str">
        <f t="shared" si="211"/>
        <v/>
      </c>
      <c r="W831" s="240"/>
      <c r="X831" s="240"/>
      <c r="Y831" s="240" t="str">
        <f t="shared" si="212"/>
        <v/>
      </c>
      <c r="Z831" s="240"/>
      <c r="AD831" s="232" t="str">
        <f t="shared" si="213"/>
        <v/>
      </c>
      <c r="AE831" s="204"/>
      <c r="AX831" s="3" t="str">
        <f t="shared" si="203"/>
        <v/>
      </c>
    </row>
    <row r="832" spans="1:50" s="155" customFormat="1" ht="30" hidden="1" customHeight="1">
      <c r="A832" s="141" t="str">
        <f t="shared" si="214"/>
        <v/>
      </c>
      <c r="B832" s="141" t="str">
        <f t="shared" si="215"/>
        <v/>
      </c>
      <c r="C832" s="205" t="str" cm="1">
        <f t="array" ref="C832">IF(D832="","",
    IF(AND(ISNUMBER(D832), D832=INT(D832)),
        $V$6 &amp; " " &amp; (IFERROR(MAX($Y$12:$Y831), 0) + 1),
        IF(ISNUMBER(SEARCH(".", D832)), "", INDEX($C$12:$C832, MATCH(2, 1/($C$12:$C832 &lt;&gt; ""))))
    )
)</f>
        <v/>
      </c>
      <c r="D832" s="206"/>
      <c r="E832" s="206" t="str">
        <f>IF(AA832 = "", "",
    IF(ISNUMBER(SEARCH("Kiện", C832)),
       " GÓI " &amp; COUNTIF($C$13:C832, "*Kiện*") &amp; "/" &amp; COUNTIF($C$13:$C$1000, "*Kiện*") &amp; " " &amp; AA832,
       AA832)
)</f>
        <v/>
      </c>
      <c r="F832" s="206"/>
      <c r="G832" s="206"/>
      <c r="H832" s="206"/>
      <c r="I832" s="206"/>
      <c r="J832" s="206" t="str">
        <f t="shared" si="216"/>
        <v/>
      </c>
      <c r="K832" s="206" t="str">
        <f t="shared" si="204"/>
        <v/>
      </c>
      <c r="L832" s="206" t="str">
        <f t="shared" si="205"/>
        <v/>
      </c>
      <c r="M832" s="206" t="str">
        <f t="shared" si="206"/>
        <v/>
      </c>
      <c r="N832" s="206" t="str">
        <f t="shared" si="217"/>
        <v/>
      </c>
      <c r="O832" s="206" t="str">
        <f t="shared" si="207"/>
        <v/>
      </c>
      <c r="P832" s="165" t="str">
        <f t="shared" si="208"/>
        <v/>
      </c>
      <c r="Q832" s="207"/>
      <c r="R832" s="141" t="str">
        <f>IF(S832="IN",'BOM_Phan II'!$Y$3,"")</f>
        <v/>
      </c>
      <c r="S832" s="153" t="str">
        <f t="shared" si="209"/>
        <v/>
      </c>
      <c r="T832">
        <f t="shared" si="210"/>
        <v>6</v>
      </c>
      <c r="U832" s="208" t="str">
        <f t="shared" si="218"/>
        <v>KIỆN 9</v>
      </c>
      <c r="V832" s="208" t="str">
        <f t="shared" si="211"/>
        <v/>
      </c>
      <c r="W832" s="240"/>
      <c r="X832" s="240"/>
      <c r="Y832" s="240" t="str">
        <f t="shared" si="212"/>
        <v/>
      </c>
      <c r="Z832" s="240"/>
      <c r="AD832" s="232" t="str">
        <f t="shared" si="213"/>
        <v/>
      </c>
      <c r="AE832" s="204"/>
      <c r="AX832" s="3" t="str">
        <f t="shared" si="203"/>
        <v/>
      </c>
    </row>
    <row r="833" spans="1:50" s="155" customFormat="1" ht="30" hidden="1" customHeight="1">
      <c r="A833" s="141" t="str">
        <f t="shared" si="214"/>
        <v/>
      </c>
      <c r="B833" s="141" t="str">
        <f t="shared" si="215"/>
        <v/>
      </c>
      <c r="C833" s="205" t="str" cm="1">
        <f t="array" ref="C833">IF(D833="","",
    IF(AND(ISNUMBER(D833), D833=INT(D833)),
        $V$6 &amp; " " &amp; (IFERROR(MAX($Y$12:$Y832), 0) + 1),
        IF(ISNUMBER(SEARCH(".", D833)), "", INDEX($C$12:$C833, MATCH(2, 1/($C$12:$C833 &lt;&gt; ""))))
    )
)</f>
        <v/>
      </c>
      <c r="D833" s="206"/>
      <c r="E833" s="206" t="str">
        <f>IF(AA833 = "", "",
    IF(ISNUMBER(SEARCH("Kiện", C833)),
       " GÓI " &amp; COUNTIF($C$13:C833, "*Kiện*") &amp; "/" &amp; COUNTIF($C$13:$C$1000, "*Kiện*") &amp; " " &amp; AA833,
       AA833)
)</f>
        <v/>
      </c>
      <c r="F833" s="206"/>
      <c r="G833" s="206"/>
      <c r="H833" s="206"/>
      <c r="I833" s="206"/>
      <c r="J833" s="206" t="str">
        <f t="shared" si="216"/>
        <v/>
      </c>
      <c r="K833" s="206" t="str">
        <f t="shared" si="204"/>
        <v/>
      </c>
      <c r="L833" s="206" t="str">
        <f t="shared" si="205"/>
        <v/>
      </c>
      <c r="M833" s="206" t="str">
        <f t="shared" si="206"/>
        <v/>
      </c>
      <c r="N833" s="206" t="str">
        <f t="shared" si="217"/>
        <v/>
      </c>
      <c r="O833" s="206" t="str">
        <f t="shared" si="207"/>
        <v/>
      </c>
      <c r="P833" s="165" t="str">
        <f t="shared" si="208"/>
        <v/>
      </c>
      <c r="Q833" s="207"/>
      <c r="R833" s="141" t="str">
        <f>IF(S833="IN",'BOM_Phan II'!$Y$3,"")</f>
        <v/>
      </c>
      <c r="S833" s="153" t="str">
        <f t="shared" si="209"/>
        <v/>
      </c>
      <c r="T833">
        <f t="shared" si="210"/>
        <v>6</v>
      </c>
      <c r="U833" s="208" t="str">
        <f t="shared" si="218"/>
        <v>KIỆN 9</v>
      </c>
      <c r="V833" s="208" t="str">
        <f t="shared" si="211"/>
        <v/>
      </c>
      <c r="W833" s="240"/>
      <c r="X833" s="240"/>
      <c r="Y833" s="240" t="str">
        <f t="shared" si="212"/>
        <v/>
      </c>
      <c r="Z833" s="240"/>
      <c r="AD833" s="232" t="str">
        <f t="shared" si="213"/>
        <v/>
      </c>
      <c r="AE833" s="204"/>
      <c r="AX833" s="3" t="str">
        <f t="shared" si="203"/>
        <v/>
      </c>
    </row>
    <row r="834" spans="1:50" s="155" customFormat="1" ht="30" hidden="1" customHeight="1">
      <c r="A834" s="141" t="str">
        <f t="shared" si="214"/>
        <v/>
      </c>
      <c r="B834" s="141" t="str">
        <f t="shared" si="215"/>
        <v/>
      </c>
      <c r="C834" s="205" t="str" cm="1">
        <f t="array" ref="C834">IF(D834="","",
    IF(AND(ISNUMBER(D834), D834=INT(D834)),
        $V$6 &amp; " " &amp; (IFERROR(MAX($Y$12:$Y833), 0) + 1),
        IF(ISNUMBER(SEARCH(".", D834)), "", INDEX($C$12:$C834, MATCH(2, 1/($C$12:$C834 &lt;&gt; ""))))
    )
)</f>
        <v/>
      </c>
      <c r="D834" s="206"/>
      <c r="E834" s="206" t="str">
        <f>IF(AA834 = "", "",
    IF(ISNUMBER(SEARCH("Kiện", C834)),
       " GÓI " &amp; COUNTIF($C$13:C834, "*Kiện*") &amp; "/" &amp; COUNTIF($C$13:$C$1000, "*Kiện*") &amp; " " &amp; AA834,
       AA834)
)</f>
        <v/>
      </c>
      <c r="F834" s="206"/>
      <c r="G834" s="206"/>
      <c r="H834" s="206"/>
      <c r="I834" s="206"/>
      <c r="J834" s="206" t="str">
        <f t="shared" si="216"/>
        <v/>
      </c>
      <c r="K834" s="206" t="str">
        <f t="shared" si="204"/>
        <v/>
      </c>
      <c r="L834" s="206" t="str">
        <f t="shared" si="205"/>
        <v/>
      </c>
      <c r="M834" s="206" t="str">
        <f t="shared" si="206"/>
        <v/>
      </c>
      <c r="N834" s="206" t="str">
        <f t="shared" si="217"/>
        <v/>
      </c>
      <c r="O834" s="206" t="str">
        <f t="shared" si="207"/>
        <v/>
      </c>
      <c r="P834" s="165" t="str">
        <f t="shared" si="208"/>
        <v/>
      </c>
      <c r="Q834" s="207"/>
      <c r="R834" s="141" t="str">
        <f>IF(S834="IN",'BOM_Phan II'!$Y$3,"")</f>
        <v/>
      </c>
      <c r="S834" s="153" t="str">
        <f t="shared" si="209"/>
        <v/>
      </c>
      <c r="T834">
        <f t="shared" si="210"/>
        <v>6</v>
      </c>
      <c r="U834" s="208" t="str">
        <f t="shared" si="218"/>
        <v>KIỆN 9</v>
      </c>
      <c r="V834" s="208" t="str">
        <f t="shared" si="211"/>
        <v/>
      </c>
      <c r="W834" s="240"/>
      <c r="X834" s="240"/>
      <c r="Y834" s="240" t="str">
        <f t="shared" si="212"/>
        <v/>
      </c>
      <c r="Z834" s="240"/>
      <c r="AD834" s="232" t="str">
        <f t="shared" si="213"/>
        <v/>
      </c>
      <c r="AE834" s="204"/>
      <c r="AX834" s="3" t="str">
        <f t="shared" si="203"/>
        <v/>
      </c>
    </row>
    <row r="835" spans="1:50" s="155" customFormat="1" ht="30" hidden="1" customHeight="1">
      <c r="A835" s="141" t="str">
        <f t="shared" si="214"/>
        <v/>
      </c>
      <c r="B835" s="141" t="str">
        <f t="shared" si="215"/>
        <v/>
      </c>
      <c r="C835" s="205" t="str" cm="1">
        <f t="array" ref="C835">IF(D835="","",
    IF(AND(ISNUMBER(D835), D835=INT(D835)),
        $V$6 &amp; " " &amp; (IFERROR(MAX($Y$12:$Y834), 0) + 1),
        IF(ISNUMBER(SEARCH(".", D835)), "", INDEX($C$12:$C835, MATCH(2, 1/($C$12:$C835 &lt;&gt; ""))))
    )
)</f>
        <v/>
      </c>
      <c r="D835" s="206"/>
      <c r="E835" s="206" t="str">
        <f>IF(AA835 = "", "",
    IF(ISNUMBER(SEARCH("Kiện", C835)),
       " GÓI " &amp; COUNTIF($C$13:C835, "*Kiện*") &amp; "/" &amp; COUNTIF($C$13:$C$1000, "*Kiện*") &amp; " " &amp; AA835,
       AA835)
)</f>
        <v/>
      </c>
      <c r="F835" s="206"/>
      <c r="G835" s="206"/>
      <c r="H835" s="206"/>
      <c r="I835" s="206"/>
      <c r="J835" s="206" t="str">
        <f t="shared" si="216"/>
        <v/>
      </c>
      <c r="K835" s="206" t="str">
        <f t="shared" si="204"/>
        <v/>
      </c>
      <c r="L835" s="206" t="str">
        <f t="shared" si="205"/>
        <v/>
      </c>
      <c r="M835" s="206" t="str">
        <f t="shared" si="206"/>
        <v/>
      </c>
      <c r="N835" s="206" t="str">
        <f t="shared" si="217"/>
        <v/>
      </c>
      <c r="O835" s="206" t="str">
        <f t="shared" si="207"/>
        <v/>
      </c>
      <c r="P835" s="165" t="str">
        <f t="shared" si="208"/>
        <v/>
      </c>
      <c r="Q835" s="207"/>
      <c r="R835" s="141" t="str">
        <f>IF(S835="IN",'BOM_Phan II'!$Y$3,"")</f>
        <v/>
      </c>
      <c r="S835" s="153" t="str">
        <f t="shared" si="209"/>
        <v/>
      </c>
      <c r="T835">
        <f t="shared" si="210"/>
        <v>6</v>
      </c>
      <c r="U835" s="208" t="str">
        <f t="shared" si="218"/>
        <v>KIỆN 9</v>
      </c>
      <c r="V835" s="208" t="str">
        <f t="shared" si="211"/>
        <v/>
      </c>
      <c r="W835" s="240"/>
      <c r="X835" s="240"/>
      <c r="Y835" s="240" t="str">
        <f t="shared" si="212"/>
        <v/>
      </c>
      <c r="Z835" s="240"/>
      <c r="AD835" s="232" t="str">
        <f t="shared" si="213"/>
        <v/>
      </c>
      <c r="AE835" s="204"/>
      <c r="AX835" s="3" t="str">
        <f t="shared" si="203"/>
        <v/>
      </c>
    </row>
    <row r="836" spans="1:50" ht="20.100000000000001" hidden="1" customHeight="1">
      <c r="C836" s="11"/>
      <c r="D836" s="13"/>
      <c r="E836" s="13"/>
      <c r="F836" s="11"/>
      <c r="G836" s="11"/>
      <c r="H836" s="11"/>
      <c r="I836" s="11"/>
      <c r="J836" s="19"/>
      <c r="K836" s="19"/>
      <c r="L836" s="19"/>
      <c r="M836" s="19"/>
      <c r="N836" s="19"/>
      <c r="O836" s="19"/>
      <c r="P836" s="19"/>
      <c r="Q836" s="13"/>
      <c r="R836" s="107"/>
      <c r="S836" s="153" t="str">
        <f t="shared" si="209"/>
        <v/>
      </c>
      <c r="AX836" s="3" t="str">
        <f t="shared" si="203"/>
        <v/>
      </c>
    </row>
    <row r="837" spans="1:50" ht="20.100000000000001" hidden="1" customHeight="1">
      <c r="C837" s="9"/>
      <c r="D837" s="9"/>
      <c r="E837" s="9"/>
      <c r="F837" s="9"/>
      <c r="G837" s="9"/>
      <c r="H837" s="9"/>
      <c r="I837" s="9"/>
      <c r="J837" s="65"/>
      <c r="K837" s="137"/>
      <c r="L837" s="65" t="str">
        <f ca="1">'BOM_Phan II'!P494</f>
        <v>Ngày 10 tháng 8 năm 2026</v>
      </c>
      <c r="M837" s="137"/>
      <c r="N837" s="137"/>
      <c r="O837" s="137"/>
      <c r="P837" s="137"/>
      <c r="Q837" s="13"/>
      <c r="R837" s="107"/>
      <c r="S837" s="153" t="str">
        <f t="shared" si="209"/>
        <v/>
      </c>
      <c r="AX837" s="3" t="str">
        <f t="shared" si="203"/>
        <v/>
      </c>
    </row>
    <row r="838" spans="1:50" ht="20.100000000000001" customHeight="1">
      <c r="C838" s="43"/>
      <c r="D838" s="71" t="str">
        <f>'BOM_Phan II'!G495</f>
        <v>Kiểm duyệt</v>
      </c>
      <c r="E838" s="39"/>
      <c r="F838" s="39"/>
      <c r="G838" s="39"/>
      <c r="H838" s="39"/>
      <c r="I838" s="39"/>
      <c r="J838" s="71"/>
      <c r="K838" s="74"/>
      <c r="L838" s="71" t="str">
        <f>'BOM_Phan II'!P495</f>
        <v>Người Lập</v>
      </c>
      <c r="M838" s="74"/>
      <c r="N838" s="74"/>
      <c r="O838" s="74"/>
      <c r="P838" s="74"/>
      <c r="Q838" s="72"/>
      <c r="R838" s="108"/>
      <c r="S838" s="153" t="str">
        <f t="shared" si="209"/>
        <v>IN</v>
      </c>
      <c r="AX838" s="3" t="str">
        <f t="shared" si="203"/>
        <v>IN</v>
      </c>
    </row>
    <row r="839" spans="1:50" ht="20.100000000000001" hidden="1" customHeight="1">
      <c r="C839" s="43"/>
      <c r="D839" s="73"/>
      <c r="E839" s="39"/>
      <c r="F839" s="39"/>
      <c r="G839" s="39"/>
      <c r="H839" s="39"/>
      <c r="I839" s="39"/>
      <c r="J839" s="74"/>
      <c r="K839" s="74"/>
      <c r="L839" s="74"/>
      <c r="M839" s="74"/>
      <c r="N839" s="74"/>
      <c r="O839" s="74"/>
      <c r="P839" s="74"/>
      <c r="Q839" s="72"/>
      <c r="R839" s="108"/>
      <c r="S839" s="153" t="str">
        <f t="shared" si="209"/>
        <v/>
      </c>
      <c r="AX839" s="3" t="str">
        <f t="shared" si="203"/>
        <v/>
      </c>
    </row>
    <row r="840" spans="1:50" ht="20.100000000000001" hidden="1" customHeight="1">
      <c r="C840" s="43"/>
      <c r="D840" s="73"/>
      <c r="E840" s="39"/>
      <c r="F840" s="39"/>
      <c r="G840" s="39"/>
      <c r="H840" s="39"/>
      <c r="I840" s="39"/>
      <c r="J840" s="74"/>
      <c r="K840" s="74"/>
      <c r="L840" s="74"/>
      <c r="M840" s="74"/>
      <c r="N840" s="74"/>
      <c r="O840" s="74"/>
      <c r="P840" s="74"/>
      <c r="Q840" s="72"/>
      <c r="R840" s="108"/>
      <c r="S840" s="153" t="str">
        <f t="shared" si="209"/>
        <v/>
      </c>
      <c r="AX840" s="3" t="str">
        <f t="shared" si="203"/>
        <v/>
      </c>
    </row>
    <row r="841" spans="1:50" ht="20.100000000000001" hidden="1" customHeight="1">
      <c r="C841" s="43"/>
      <c r="D841" s="39"/>
      <c r="E841" s="10"/>
      <c r="F841" s="9"/>
      <c r="G841" s="9"/>
      <c r="H841" s="75"/>
      <c r="I841" s="75"/>
      <c r="J841" s="74"/>
      <c r="K841" s="74"/>
      <c r="L841" s="74"/>
      <c r="M841" s="74"/>
      <c r="N841" s="74"/>
      <c r="O841" s="74"/>
      <c r="P841" s="74"/>
      <c r="Q841" s="76"/>
      <c r="R841" s="109"/>
      <c r="S841" s="153" t="str">
        <f t="shared" si="209"/>
        <v/>
      </c>
      <c r="AX841" s="3" t="str">
        <f t="shared" si="203"/>
        <v/>
      </c>
    </row>
    <row r="842" spans="1:50" ht="20.100000000000001" customHeight="1">
      <c r="C842" s="92"/>
      <c r="D842" s="71" t="str">
        <f>'BOM_Phan II'!G499</f>
        <v xml:space="preserve"> Đỗ Hồng Thái</v>
      </c>
      <c r="E842" s="77"/>
      <c r="F842" s="77"/>
      <c r="G842" s="77"/>
      <c r="H842" s="77"/>
      <c r="I842" s="77"/>
      <c r="J842" s="71"/>
      <c r="K842" s="74"/>
      <c r="L842" s="71" t="str">
        <f>'BOM_Phan II'!P499</f>
        <v>Phạm Thanh Huy</v>
      </c>
      <c r="M842" s="74"/>
      <c r="N842" s="74"/>
      <c r="O842" s="74"/>
      <c r="P842" s="74"/>
      <c r="Q842" s="78"/>
      <c r="R842" s="110"/>
      <c r="S842" s="153" t="str">
        <f t="shared" si="209"/>
        <v>IN</v>
      </c>
      <c r="AX842" s="3" t="str">
        <f t="shared" si="203"/>
        <v>IN</v>
      </c>
    </row>
    <row r="843" spans="1:50" ht="20.100000000000001" customHeight="1">
      <c r="D843" s="16"/>
      <c r="E843" s="17"/>
      <c r="F843" s="17"/>
      <c r="Q843" s="17"/>
      <c r="R843" s="17"/>
      <c r="S843" s="17"/>
    </row>
    <row r="844" spans="1:50" ht="15">
      <c r="D844" s="13"/>
      <c r="E844" s="390"/>
      <c r="F844" s="390"/>
      <c r="G844" s="11"/>
      <c r="H844" s="11"/>
      <c r="I844" s="11"/>
      <c r="J844" s="11"/>
      <c r="K844" s="11"/>
      <c r="L844" s="11"/>
      <c r="M844" s="11"/>
      <c r="N844" s="11"/>
      <c r="O844" s="11"/>
      <c r="P844" s="11"/>
    </row>
  </sheetData>
  <sheetProtection formatCells="0" formatColumns="0" formatRows="0" insertHyperlinks="0" sort="0" autoFilter="0" pivotTables="0"/>
  <autoFilter ref="A11:AX842" xr:uid="{D424F154-2318-46B1-B127-A1F90CED92B1}">
    <filterColumn colId="49">
      <customFilters>
        <customFilter operator="notEqual" val=" "/>
      </customFilters>
    </filterColumn>
  </autoFilter>
  <mergeCells count="27">
    <mergeCell ref="S6:S7"/>
    <mergeCell ref="Q10:Q11"/>
    <mergeCell ref="R10:R11"/>
    <mergeCell ref="E844:F844"/>
    <mergeCell ref="F10:H10"/>
    <mergeCell ref="J10:J11"/>
    <mergeCell ref="K10:M10"/>
    <mergeCell ref="N10:N11"/>
    <mergeCell ref="O10:O11"/>
    <mergeCell ref="P10:P11"/>
    <mergeCell ref="I10:I11"/>
    <mergeCell ref="C5:D5"/>
    <mergeCell ref="C6:D6"/>
    <mergeCell ref="C7:D7"/>
    <mergeCell ref="C8:D8"/>
    <mergeCell ref="C9:Q9"/>
    <mergeCell ref="A10:A11"/>
    <mergeCell ref="B10:B11"/>
    <mergeCell ref="C10:C11"/>
    <mergeCell ref="D10:D11"/>
    <mergeCell ref="E10:E11"/>
    <mergeCell ref="C4:D4"/>
    <mergeCell ref="C1:D3"/>
    <mergeCell ref="E1:J3"/>
    <mergeCell ref="L1:Q1"/>
    <mergeCell ref="L2:Q2"/>
    <mergeCell ref="L3:Q3"/>
  </mergeCells>
  <conditionalFormatting sqref="C13:Q835">
    <cfRule type="expression" dxfId="70" priority="15">
      <formula>$C13&lt;&gt;""</formula>
    </cfRule>
  </conditionalFormatting>
  <conditionalFormatting sqref="W11:Y11 W12:Z835">
    <cfRule type="expression" dxfId="69" priority="13">
      <formula>AND(ROW()=CELL("row"),COLUMN()=CELL("col"))</formula>
    </cfRule>
  </conditionalFormatting>
  <conditionalFormatting sqref="AA12:AA13">
    <cfRule type="expression" dxfId="68" priority="6">
      <formula>AND(ROW()=CELL("row"),COLUMN()=CELL("col"))</formula>
    </cfRule>
  </conditionalFormatting>
  <conditionalFormatting sqref="P4">
    <cfRule type="expression" dxfId="67" priority="5">
      <formula>COUNTIF(P4:P499, "&gt;25") &gt; 0</formula>
    </cfRule>
  </conditionalFormatting>
  <conditionalFormatting sqref="R1:S1">
    <cfRule type="expression" dxfId="66" priority="4">
      <formula>AND(ROW()=CELL("row"),COLUMN()=CELL("col"))</formula>
    </cfRule>
  </conditionalFormatting>
  <dataValidations count="1">
    <dataValidation type="list" allowBlank="1" showInputMessage="1" showErrorMessage="1" promptTitle="Tiêu chuẩn bao bì" prompt="Chọn tiêu chuẩn" sqref="O12" xr:uid="{F882FABE-EA78-4EB9-B3D1-DB4534619588}">
      <formula1>"XK_CHUẨN 1,XK_CHUẨN 2,XK_CHUẨN 3,XK_CHUẨN 4-ĐI CONT,XK_CHUẨN 5-ĐI AIR,XK_CHUẨN 5-AIR PALLET,TIÊU CHUẨN DỰ ÁN,TC_CUA,TC_KH"</formula1>
    </dataValidation>
  </dataValidations>
  <printOptions horizontalCentered="1"/>
  <pageMargins left="0" right="0" top="0.25" bottom="0.25" header="0" footer="0"/>
  <pageSetup paperSize="9" scale="50" orientation="landscape" r:id="rId1"/>
  <headerFooter scaleWithDoc="0" alignWithMargins="0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lblUpdateStatus">
          <controlPr defaultSize="0" autoLine="0" r:id="rId5">
            <anchor moveWithCells="1">
              <from>
                <xdr:col>18</xdr:col>
                <xdr:colOff>200025</xdr:colOff>
                <xdr:row>1</xdr:row>
                <xdr:rowOff>219075</xdr:rowOff>
              </from>
              <to>
                <xdr:col>23</xdr:col>
                <xdr:colOff>981075</xdr:colOff>
                <xdr:row>2</xdr:row>
                <xdr:rowOff>266700</xdr:rowOff>
              </to>
            </anchor>
          </controlPr>
        </control>
      </mc:Choice>
      <mc:Fallback>
        <control shapeId="4097" r:id="rId4" name="lblUpdateStatu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7F39-C7F8-4737-A9F2-6143518D97A7}">
  <sheetPr codeName="Sheet13" filterMode="1">
    <tabColor rgb="FFFFFF00"/>
  </sheetPr>
  <dimension ref="A1:AE88"/>
  <sheetViews>
    <sheetView view="pageBreakPreview" zoomScale="55" zoomScaleNormal="70" zoomScaleSheetLayoutView="55" workbookViewId="0">
      <pane ySplit="11" topLeftCell="A15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16384" width="4.85546875" style="3"/>
  </cols>
  <sheetData>
    <row r="1" spans="1:31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1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1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1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1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1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IV'!T13=7,AVERAGE('BOM_Phan IV'!M13:M1388),""),"")</f>
        <v/>
      </c>
      <c r="L6" s="228" t="str">
        <f>IFERROR(IF('BOM_Phan IV'!T13=7,AVERAGE('BOM_Phan IV'!L13:L1388),""),"")</f>
        <v/>
      </c>
      <c r="M6" s="228" t="str">
        <f>IFERROR(IF('BOM_Phan IV'!T13=7,AVERAGE('BOM_Phan IV'!K13:K1388),""),"")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1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IV'!N13:N1388),"")</f>
        <v/>
      </c>
      <c r="L7" s="249">
        <f>(1.66666666666666/3)</f>
        <v>0.55555555555555336</v>
      </c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1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1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1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1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1" s="155" customFormat="1" ht="30" customHeight="1">
      <c r="A12" s="141" t="str">
        <f t="shared" ref="A12:A75" si="0">IF(R12="IN",$E$6,"")</f>
        <v>DC113B(EI60)</v>
      </c>
      <c r="B12" s="141" t="str">
        <f t="shared" ref="B12:B75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75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1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76" si="5">IF(C13&lt;&gt;"",1,"")</f>
        <v/>
      </c>
    </row>
    <row r="14" spans="1:31" s="155" customFormat="1" ht="30" customHeight="1">
      <c r="A14" s="141" t="str">
        <f t="shared" si="0"/>
        <v>DC113B(EI60)</v>
      </c>
      <c r="B14" s="141" t="str">
        <f t="shared" si="1"/>
        <v>Muc 9.1</v>
      </c>
      <c r="C14" s="157">
        <f>IF(D14="","",IFERROR((IF(LEFT(MID(D14,SEARCH("_",D14)+1,2),1)="0",(MID(D14,SEARCH("_",D14)+2,1)),MID(D14,SEARCH("_",D14)+1,2)))&amp;"."&amp;IF(LEFT(RIGHT(D14,2),1)="0",RIGHT(D14,1),RIGHT(D14,2)),MAX($C$12:$C13)+1))</f>
        <v>1</v>
      </c>
      <c r="D14" s="158" t="s">
        <v>170</v>
      </c>
      <c r="E14" s="159">
        <v>25</v>
      </c>
      <c r="F14" s="159">
        <v>35</v>
      </c>
      <c r="G14" s="159" t="str">
        <f>IFERROR(IF((($K$6*2)+($L$6*2))&lt;0,0,($K$6*2)+($L$6*2)),"")</f>
        <v/>
      </c>
      <c r="H14" s="159" t="str">
        <f>IFERROR(2*(K7-1),"")</f>
        <v/>
      </c>
      <c r="I14" s="158" t="s">
        <v>104</v>
      </c>
      <c r="J14" s="161"/>
      <c r="K14" s="162"/>
      <c r="L14" s="163" t="s">
        <v>105</v>
      </c>
      <c r="M14" s="164" t="str">
        <f>IFERROR(IF(OR($L14="Con",$L14="Cụm",$L14="Hệ"),$H14,IF($L14="Thanh",($G14*$H14/2400),IF($L14="Tấm",($F14*$G14*$H14)/(1220*2440),IF($L14="M2",$F14*$G14*$H14/10^6,IF($L14="M3",$E14*$F14*$G14*$H14/10^9,0)))))*0.541*$L$7,"")</f>
        <v/>
      </c>
      <c r="N14" s="165" t="e">
        <f>IF(ISERR(SEARCH("2d",#REF!)),IF(ISERR(SEARCH("1d",#REF!)),0,1),2)*($G14)*$H14/10^3+IF(ISERR(SEARCH("2n",#REF!)),IF(ISERR(SEARCH("1n",#REF!)),0,1),2)*($F14)*$H14/10^3</f>
        <v>#VALUE!</v>
      </c>
      <c r="O14" s="165" t="e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#VALUE!</v>
      </c>
      <c r="P14" s="166" t="e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#VALUE!</v>
      </c>
      <c r="Q14" s="153">
        <f t="shared" si="3"/>
        <v>6</v>
      </c>
      <c r="R14" s="153" t="str">
        <f t="shared" si="2"/>
        <v>IN</v>
      </c>
      <c r="S14" s="154" t="str">
        <f t="shared" si="4"/>
        <v>1000</v>
      </c>
      <c r="T14" s="153" t="str">
        <f>IFERROR(MATCH(#REF!,#REF!,0)&amp;",","")</f>
        <v/>
      </c>
      <c r="U14" s="154"/>
      <c r="Y14" s="155">
        <f t="shared" si="5"/>
        <v>1</v>
      </c>
    </row>
    <row r="15" spans="1:31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2</v>
      </c>
      <c r="D15" s="158" t="s">
        <v>171</v>
      </c>
      <c r="E15" s="159">
        <v>25</v>
      </c>
      <c r="F15" s="159">
        <v>35</v>
      </c>
      <c r="G15" s="159" t="str">
        <f>IFERROR(IF($M$6-$F$14-$F$14&lt;0,0,$M$6-$F$14-$F$14),"")</f>
        <v/>
      </c>
      <c r="H15" s="159" t="str">
        <f>IFERROR(4*(K7-1),"")</f>
        <v/>
      </c>
      <c r="I15" s="158" t="s">
        <v>104</v>
      </c>
      <c r="J15" s="161"/>
      <c r="K15" s="162"/>
      <c r="L15" s="163" t="s">
        <v>105</v>
      </c>
      <c r="M15" s="164" t="str">
        <f>IFERROR(IF(OR($L15="Con",$L15="Cụm",$L15="Hệ"),$H15,IF($L15="Thanh",($G15*$H15/2400),IF($L15="Tấm",($F15*$G15*$H15)/(1220*2440),IF($L15="M2",$F15*$G15*$H15/10^6,IF($L15="M3",$E15*$F15*$G15*$H15/10^9,0)))))*0.78*$L$7,"")</f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</row>
    <row r="16" spans="1:31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3</v>
      </c>
      <c r="D16" s="158" t="s">
        <v>107</v>
      </c>
      <c r="E16" s="159"/>
      <c r="F16" s="159"/>
      <c r="G16" s="159"/>
      <c r="H16" s="159"/>
      <c r="I16" s="158" t="s">
        <v>108</v>
      </c>
      <c r="J16" s="161"/>
      <c r="K16" s="162"/>
      <c r="L16" s="163" t="s">
        <v>172</v>
      </c>
      <c r="M16" s="164" t="str">
        <f>IFERROR((($K$6*$L$6*4+$L$6*$M$6*2)*10^-6*1.3/0.5*$K$7)*1.52/320*$L$7,"")</f>
        <v/>
      </c>
      <c r="N16" s="165">
        <f>IFERROR(IF(ISERR(SEARCH("2d",#REF!)),IF(ISERR(SEARCH("1d",#REF!)),0,1),2)*($G16)*$H16/10^3+IF(ISERR(SEARCH("2n",#REF!)),IF(ISERR(SEARCH("1n",#REF!)),0,1),2)*($F16)*$H16/10^3,"")</f>
        <v>0</v>
      </c>
      <c r="O16" s="165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>0</v>
      </c>
      <c r="P16" s="166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>0</v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</row>
    <row r="17" spans="1:25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4</v>
      </c>
      <c r="D17" s="158" t="s">
        <v>173</v>
      </c>
      <c r="E17" s="159"/>
      <c r="F17" s="159"/>
      <c r="G17" s="159"/>
      <c r="H17" s="159"/>
      <c r="I17" s="158" t="s">
        <v>174</v>
      </c>
      <c r="J17" s="161"/>
      <c r="K17" s="162"/>
      <c r="L17" s="163" t="s">
        <v>175</v>
      </c>
      <c r="M17" s="164" t="str">
        <f>IFERROR((($K$6*$L$6*4+$L$6*$M$6*2)*10^-6*1.3/1.3*$K$7)*0.16/2.15*$L$7,"")</f>
        <v/>
      </c>
      <c r="N17" s="165">
        <f>IF(ISERR(SEARCH("2d",#REF!)),IF(ISERR(SEARCH("1d",#REF!)),0,1),2)*($G17)*$H17/10^3+IF(ISERR(SEARCH("2n",#REF!)),IF(ISERR(SEARCH("1n",#REF!)),0,1),2)*($F17)*$H17/10^3</f>
        <v>0</v>
      </c>
      <c r="O17" s="165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166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</row>
    <row r="18" spans="1:25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5</v>
      </c>
      <c r="D18" s="158" t="s">
        <v>176</v>
      </c>
      <c r="E18" s="159"/>
      <c r="F18" s="159"/>
      <c r="G18" s="159"/>
      <c r="H18" s="159"/>
      <c r="I18" s="158" t="s">
        <v>177</v>
      </c>
      <c r="J18" s="161"/>
      <c r="K18" s="162"/>
      <c r="L18" s="163" t="s">
        <v>172</v>
      </c>
      <c r="M18" s="164" t="str">
        <f>IFERROR((($K$6*$L$6*4+$L$6*$M$6*2)*10^-6*1.3/0.5*$K$7)*1.496/200*$L$7,"")</f>
        <v/>
      </c>
      <c r="N18" s="165">
        <f>IF(ISERR(SEARCH("2d",#REF!)),IF(ISERR(SEARCH("1d",#REF!)),0,1),2)*($G18)*$H18/10^3+IF(ISERR(SEARCH("2n",#REF!)),IF(ISERR(SEARCH("1n",#REF!)),0,1),2)*($F18)*$H18/10^3</f>
        <v>0</v>
      </c>
      <c r="O18" s="165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166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</row>
    <row r="19" spans="1:25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6</v>
      </c>
      <c r="D19" s="158" t="s">
        <v>178</v>
      </c>
      <c r="E19" s="159"/>
      <c r="F19" s="159"/>
      <c r="G19" s="159"/>
      <c r="H19" s="159"/>
      <c r="I19" s="158" t="s">
        <v>111</v>
      </c>
      <c r="J19" s="161"/>
      <c r="K19" s="162"/>
      <c r="L19" s="163" t="s">
        <v>172</v>
      </c>
      <c r="M19" s="164" t="str">
        <f>IFERROR((($K$6*$L$6*4+$L$6*$M$6*2)*10^-6*1.3/1.2*$K$7)*1.518/300*$L$7,"")</f>
        <v/>
      </c>
      <c r="N19" s="165">
        <f>IF(ISERR(SEARCH("2d",#REF!)),IF(ISERR(SEARCH("1d",#REF!)),0,1),2)*($G19)*$H19/10^3+IF(ISERR(SEARCH("2n",#REF!)),IF(ISERR(SEARCH("1n",#REF!)),0,1),2)*($F19)*$H19/10^3</f>
        <v>0</v>
      </c>
      <c r="O19" s="165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166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</row>
    <row r="20" spans="1:25" s="155" customFormat="1" ht="30" customHeight="1">
      <c r="A20" s="141" t="str">
        <f t="shared" si="0"/>
        <v>DC113B(EI60)</v>
      </c>
      <c r="B20" s="141" t="str">
        <f t="shared" si="1"/>
        <v>Muc 9.1</v>
      </c>
      <c r="C20" s="157">
        <f>IF(D20="","",IFERROR((IF(LEFT(MID(D20,SEARCH("_",D20)+1,2),1)="0",(MID(D20,SEARCH("_",D20)+2,1)),MID(D20,SEARCH("_",D20)+1,2)))&amp;"."&amp;IF(LEFT(RIGHT(D20,2),1)="0",RIGHT(D20,1),RIGHT(D20,2)),MAX($C$12:$C19)+1))</f>
        <v>7</v>
      </c>
      <c r="D20" s="158" t="s">
        <v>112</v>
      </c>
      <c r="E20" s="159"/>
      <c r="F20" s="159"/>
      <c r="G20" s="159"/>
      <c r="H20" s="159"/>
      <c r="I20" s="158" t="s">
        <v>113</v>
      </c>
      <c r="J20" s="161"/>
      <c r="K20" s="162"/>
      <c r="L20" s="163" t="s">
        <v>172</v>
      </c>
      <c r="M20" s="164" t="str">
        <f>IFERROR((($K$6*2+$L$6*2+200*16)*10^-3*$K$7)*1.06/70*$L$7,"")</f>
        <v/>
      </c>
      <c r="N20" s="165">
        <f>IF(ISERR(SEARCH("2d",#REF!)),IF(ISERR(SEARCH("1d",#REF!)),0,1),2)*($G20)*$H20/10^3+IF(ISERR(SEARCH("2n",#REF!)),IF(ISERR(SEARCH("1n",#REF!)),0,1),2)*($F20)*$H20/10^3</f>
        <v>0</v>
      </c>
      <c r="O20" s="165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166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153">
        <f t="shared" si="3"/>
        <v>6</v>
      </c>
      <c r="R20" s="153" t="str">
        <f t="shared" si="2"/>
        <v>IN</v>
      </c>
      <c r="S20" s="154" t="str">
        <f t="shared" si="4"/>
        <v>1000</v>
      </c>
      <c r="T20" s="153" t="str">
        <f>IFERROR(MATCH(#REF!,#REF!,0)&amp;",","")</f>
        <v/>
      </c>
      <c r="U20" s="154"/>
      <c r="Y20" s="155">
        <f t="shared" si="5"/>
        <v>1</v>
      </c>
    </row>
    <row r="21" spans="1:25" s="155" customFormat="1" ht="30" customHeight="1">
      <c r="A21" s="141" t="str">
        <f t="shared" si="0"/>
        <v>DC113B(EI60)</v>
      </c>
      <c r="B21" s="141" t="str">
        <f t="shared" si="1"/>
        <v>Muc 9.1</v>
      </c>
      <c r="C21" s="157">
        <f>IF(D21="","",IFERROR((IF(LEFT(MID(D21,SEARCH("_",D21)+1,2),1)="0",(MID(D21,SEARCH("_",D21)+2,1)),MID(D21,SEARCH("_",D21)+1,2)))&amp;"."&amp;IF(LEFT(RIGHT(D21,2),1)="0",RIGHT(D21,1),RIGHT(D21,2)),MAX($C$12:$C20)+1))</f>
        <v>8</v>
      </c>
      <c r="D21" s="158" t="s">
        <v>179</v>
      </c>
      <c r="E21" s="159"/>
      <c r="F21" s="159"/>
      <c r="G21" s="159"/>
      <c r="H21" s="159" t="str">
        <f>IF(AND($K$6&lt;&gt;"",$L$6&lt;&gt;"",$M$6&lt;&gt;"",'BOM_Phan II'!$Q$7="CỬA CHỐNG CHÁY"),8,"0")</f>
        <v>0</v>
      </c>
      <c r="I21" s="158" t="s">
        <v>180</v>
      </c>
      <c r="J21" s="161"/>
      <c r="K21" s="162"/>
      <c r="L21" s="163" t="s">
        <v>181</v>
      </c>
      <c r="M21" s="164" t="str">
        <f>$H21</f>
        <v>0</v>
      </c>
      <c r="N21" s="165">
        <f>IF(ISERR(SEARCH("2d",#REF!)),IF(ISERR(SEARCH("1d",#REF!)),0,1),2)*($G21)*$H21/10^3+IF(ISERR(SEARCH("2n",#REF!)),IF(ISERR(SEARCH("1n",#REF!)),0,1),2)*($F21)*$H21/10^3</f>
        <v>0</v>
      </c>
      <c r="O21" s="165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166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153">
        <f t="shared" si="3"/>
        <v>6</v>
      </c>
      <c r="R21" s="153" t="str">
        <f t="shared" si="2"/>
        <v>IN</v>
      </c>
      <c r="S21" s="154" t="str">
        <f t="shared" si="4"/>
        <v>1000</v>
      </c>
      <c r="T21" s="153" t="str">
        <f>IFERROR(MATCH(#REF!,#REF!,0)&amp;",","")</f>
        <v/>
      </c>
      <c r="U21" s="154"/>
      <c r="Y21" s="155">
        <f t="shared" si="5"/>
        <v>1</v>
      </c>
    </row>
    <row r="22" spans="1:25" s="155" customFormat="1" ht="30" customHeight="1">
      <c r="A22" s="141" t="str">
        <f t="shared" si="0"/>
        <v>DC113B(EI60)</v>
      </c>
      <c r="B22" s="141" t="str">
        <f t="shared" si="1"/>
        <v>Muc 9.1</v>
      </c>
      <c r="C22" s="157">
        <f>IF(D22="","",IFERROR((IF(LEFT(MID(D22,SEARCH("_",D22)+1,2),1)="0",(MID(D22,SEARCH("_",D22)+2,1)),MID(D22,SEARCH("_",D22)+1,2)))&amp;"."&amp;IF(LEFT(RIGHT(D22,2),1)="0",RIGHT(D22,1),RIGHT(D22,2)),MAX($C$12:$C21)+1))</f>
        <v>9</v>
      </c>
      <c r="D22" s="158" t="s">
        <v>182</v>
      </c>
      <c r="E22" s="159"/>
      <c r="F22" s="159"/>
      <c r="G22" s="159"/>
      <c r="H22" s="159" t="str">
        <f>IF(AND($K$6&lt;&gt;"",$L$6&lt;&gt;"",$M$6&lt;&gt;"",'BOM_Phan II'!$Q$7="CỬA THƯỜNG"),8,"0")</f>
        <v>0</v>
      </c>
      <c r="I22" s="158" t="s">
        <v>183</v>
      </c>
      <c r="J22" s="161"/>
      <c r="K22" s="162"/>
      <c r="L22" s="163" t="s">
        <v>181</v>
      </c>
      <c r="M22" s="164" t="str">
        <f>$H22</f>
        <v>0</v>
      </c>
      <c r="N22" s="165">
        <f>IF(ISERR(SEARCH("2d",#REF!)),IF(ISERR(SEARCH("1d",#REF!)),0,1),2)*($G22)*$H22/10^3+IF(ISERR(SEARCH("2n",#REF!)),IF(ISERR(SEARCH("1n",#REF!)),0,1),2)*($F22)*$H22/10^3</f>
        <v>0</v>
      </c>
      <c r="O22" s="165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166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153">
        <f t="shared" si="3"/>
        <v>6</v>
      </c>
      <c r="R22" s="153" t="str">
        <f t="shared" si="2"/>
        <v>IN</v>
      </c>
      <c r="S22" s="154" t="str">
        <f t="shared" si="4"/>
        <v>1000</v>
      </c>
      <c r="T22" s="153" t="str">
        <f>IFERROR(MATCH(#REF!,#REF!,0)&amp;",","")</f>
        <v/>
      </c>
      <c r="U22" s="154"/>
      <c r="Y22" s="155">
        <f t="shared" si="5"/>
        <v>1</v>
      </c>
    </row>
    <row r="23" spans="1:25" s="155" customFormat="1" ht="30" hidden="1" customHeight="1">
      <c r="A23" s="141" t="str">
        <f t="shared" si="0"/>
        <v/>
      </c>
      <c r="B23" s="141" t="str">
        <f t="shared" si="1"/>
        <v/>
      </c>
      <c r="C23" s="157" t="str">
        <f>IF(D23="","",IFERROR((IF(LEFT(MID(D23,SEARCH("_",D23)+1,2),1)="0",(MID(D23,SEARCH("_",D23)+2,1)),MID(D23,SEARCH("_",D23)+1,2)))&amp;"."&amp;IF(LEFT(RIGHT(D23,2),1)="0",RIGHT(D23,1),RIGHT(D23,2)),MAX($C$12:$C22)+1))</f>
        <v/>
      </c>
      <c r="D23" s="194"/>
      <c r="E23" s="163"/>
      <c r="F23" s="163"/>
      <c r="G23" s="163"/>
      <c r="H23" s="163"/>
      <c r="I23" s="194"/>
      <c r="J23" s="161"/>
      <c r="K23" s="162"/>
      <c r="L23" s="163" t="str">
        <f t="shared" ref="L23:L76" si="6">IF(I23="","",IF(LEFT(I23,2)="gỗ","m3","Tấm"))</f>
        <v/>
      </c>
      <c r="M23" s="164">
        <f t="shared" ref="M23:M76" si="7">IF(OR(L23="Con",L23="Cụm",L23="Hệ",L23="Thanh"),H23,IF(L23="Tấm",(F23*G23*H23)/(1220*2440),IF(L23="Md",G23*H23/1000,IF(L23="M2",F23*G23*H23/10^6,IF(L23="M3",E23*F23*G23*H23/10^9,0)))))</f>
        <v>0</v>
      </c>
      <c r="N23" s="165">
        <f>IF(ISERR(SEARCH("2d",#REF!)),IF(ISERR(SEARCH("1d",#REF!)),0,1),2)*($G23)*$H23/10^3+IF(ISERR(SEARCH("2n",#REF!)),IF(ISERR(SEARCH("1n",#REF!)),0,1),2)*($F23)*$H23/10^3</f>
        <v>0</v>
      </c>
      <c r="O23" s="165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166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153" t="str">
        <f t="shared" si="3"/>
        <v/>
      </c>
      <c r="R23" s="153" t="str">
        <f t="shared" si="2"/>
        <v/>
      </c>
      <c r="S23" s="154" t="str">
        <f t="shared" si="4"/>
        <v>1000</v>
      </c>
      <c r="T23" s="153" t="str">
        <f>IFERROR(MATCH(#REF!,#REF!,0)&amp;",","")</f>
        <v/>
      </c>
      <c r="U23" s="154"/>
      <c r="Y23" s="155" t="str">
        <f t="shared" si="5"/>
        <v/>
      </c>
    </row>
    <row r="24" spans="1:25" s="155" customFormat="1" ht="30" hidden="1" customHeight="1">
      <c r="A24" s="141" t="str">
        <f t="shared" si="0"/>
        <v/>
      </c>
      <c r="B24" s="141" t="str">
        <f t="shared" si="1"/>
        <v/>
      </c>
      <c r="C24" s="157" t="str">
        <f>IF(D24="","",IFERROR((IF(LEFT(MID(D24,SEARCH("_",D24)+1,2),1)="0",(MID(D24,SEARCH("_",D24)+2,1)),MID(D24,SEARCH("_",D24)+1,2)))&amp;"."&amp;IF(LEFT(RIGHT(D24,2),1)="0",RIGHT(D24,1),RIGHT(D24,2)),MAX($C$12:$C23)+1))</f>
        <v/>
      </c>
      <c r="D24" s="158"/>
      <c r="E24" s="159"/>
      <c r="F24" s="159"/>
      <c r="G24" s="159"/>
      <c r="H24" s="159"/>
      <c r="I24" s="158"/>
      <c r="J24" s="161"/>
      <c r="K24" s="162"/>
      <c r="L24" s="163" t="str">
        <f t="shared" si="6"/>
        <v/>
      </c>
      <c r="M24" s="164">
        <f t="shared" si="7"/>
        <v>0</v>
      </c>
      <c r="N24" s="165">
        <f>IF(ISERR(SEARCH("2d",#REF!)),IF(ISERR(SEARCH("1d",#REF!)),0,1),2)*($G24)*$H24/10^3+IF(ISERR(SEARCH("2n",#REF!)),IF(ISERR(SEARCH("1n",#REF!)),0,1),2)*($F24)*$H24/10^3</f>
        <v>0</v>
      </c>
      <c r="O24" s="165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166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153" t="str">
        <f t="shared" si="3"/>
        <v/>
      </c>
      <c r="R24" s="153" t="str">
        <f t="shared" si="2"/>
        <v/>
      </c>
      <c r="S24" s="154" t="str">
        <f t="shared" si="4"/>
        <v>1000</v>
      </c>
      <c r="T24" s="153" t="str">
        <f>IFERROR(MATCH(#REF!,#REF!,0)&amp;",","")</f>
        <v/>
      </c>
      <c r="U24" s="154"/>
      <c r="Y24" s="155" t="str">
        <f t="shared" si="5"/>
        <v/>
      </c>
    </row>
    <row r="25" spans="1:25" s="155" customFormat="1" ht="30" hidden="1" customHeight="1">
      <c r="A25" s="141" t="str">
        <f t="shared" si="0"/>
        <v/>
      </c>
      <c r="B25" s="141" t="str">
        <f t="shared" si="1"/>
        <v/>
      </c>
      <c r="C25" s="157" t="str">
        <f>IF(D25="","",IFERROR((IF(LEFT(MID(D25,SEARCH("_",D25)+1,2),1)="0",(MID(D25,SEARCH("_",D25)+2,1)),MID(D25,SEARCH("_",D25)+1,2)))&amp;"."&amp;IF(LEFT(RIGHT(D25,2),1)="0",RIGHT(D25,1),RIGHT(D25,2)),MAX($C$12:$C24)+1))</f>
        <v/>
      </c>
      <c r="D25" s="158"/>
      <c r="E25" s="159"/>
      <c r="F25" s="159"/>
      <c r="G25" s="159"/>
      <c r="H25" s="159"/>
      <c r="I25" s="158"/>
      <c r="J25" s="161"/>
      <c r="K25" s="162"/>
      <c r="L25" s="163" t="str">
        <f t="shared" si="6"/>
        <v/>
      </c>
      <c r="M25" s="164">
        <f t="shared" si="7"/>
        <v>0</v>
      </c>
      <c r="N25" s="165">
        <f>IF(ISERR(SEARCH("2d",#REF!)),IF(ISERR(SEARCH("1d",#REF!)),0,1),2)*($G25)*$H25/10^3+IF(ISERR(SEARCH("2n",#REF!)),IF(ISERR(SEARCH("1n",#REF!)),0,1),2)*($F25)*$H25/10^3</f>
        <v>0</v>
      </c>
      <c r="O25" s="165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166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153" t="str">
        <f t="shared" si="3"/>
        <v/>
      </c>
      <c r="R25" s="153" t="str">
        <f t="shared" si="2"/>
        <v/>
      </c>
      <c r="S25" s="154" t="str">
        <f t="shared" si="4"/>
        <v>1000</v>
      </c>
      <c r="T25" s="153" t="str">
        <f>IFERROR(MATCH(#REF!,#REF!,0)&amp;",","")</f>
        <v/>
      </c>
      <c r="U25" s="154"/>
      <c r="Y25" s="155" t="str">
        <f t="shared" si="5"/>
        <v/>
      </c>
    </row>
    <row r="26" spans="1:25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si="6"/>
        <v/>
      </c>
      <c r="M26" s="164">
        <f t="shared" si="7"/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25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6"/>
        <v/>
      </c>
      <c r="M27" s="164">
        <f t="shared" si="7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25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6"/>
        <v/>
      </c>
      <c r="M28" s="164">
        <f t="shared" si="7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25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6"/>
        <v/>
      </c>
      <c r="M29" s="164">
        <f t="shared" si="7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25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6"/>
        <v/>
      </c>
      <c r="M30" s="164">
        <f t="shared" si="7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25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6"/>
        <v/>
      </c>
      <c r="M31" s="164">
        <f t="shared" si="7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25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6"/>
        <v/>
      </c>
      <c r="M32" s="164">
        <f t="shared" si="7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6"/>
        <v/>
      </c>
      <c r="M33" s="164">
        <f t="shared" si="7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 t="str">
        <f t="shared" si="6"/>
        <v/>
      </c>
      <c r="M34" s="164">
        <f t="shared" si="7"/>
        <v>0</v>
      </c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si="6"/>
        <v/>
      </c>
      <c r="M35" s="164">
        <f t="shared" si="7"/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6"/>
        <v/>
      </c>
      <c r="M36" s="164">
        <f t="shared" si="7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6"/>
        <v/>
      </c>
      <c r="M37" s="164">
        <f t="shared" si="7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6"/>
        <v/>
      </c>
      <c r="M38" s="164">
        <f t="shared" si="7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6"/>
        <v/>
      </c>
      <c r="M39" s="164">
        <f t="shared" si="7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6"/>
        <v/>
      </c>
      <c r="M40" s="164">
        <f t="shared" si="7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6"/>
        <v/>
      </c>
      <c r="M41" s="164">
        <f t="shared" si="7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6"/>
        <v/>
      </c>
      <c r="M42" s="164">
        <f t="shared" si="7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6"/>
        <v/>
      </c>
      <c r="M43" s="164">
        <f t="shared" si="7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si="0"/>
        <v/>
      </c>
      <c r="B44" s="141" t="str">
        <f t="shared" si="1"/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6"/>
        <v/>
      </c>
      <c r="M44" s="164">
        <f t="shared" si="7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si="2"/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0"/>
        <v/>
      </c>
      <c r="B45" s="141" t="str">
        <f t="shared" si="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6"/>
        <v/>
      </c>
      <c r="M45" s="164">
        <f t="shared" si="7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si="5"/>
        <v/>
      </c>
    </row>
    <row r="46" spans="1:25" s="155" customFormat="1" ht="30" hidden="1" customHeight="1">
      <c r="A46" s="141" t="str">
        <f t="shared" si="0"/>
        <v/>
      </c>
      <c r="B46" s="141" t="str">
        <f t="shared" si="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6"/>
        <v/>
      </c>
      <c r="M46" s="164">
        <f t="shared" si="7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5"/>
        <v/>
      </c>
    </row>
    <row r="47" spans="1:25" s="155" customFormat="1" ht="30" hidden="1" customHeight="1">
      <c r="A47" s="141" t="str">
        <f t="shared" si="0"/>
        <v/>
      </c>
      <c r="B47" s="141" t="str">
        <f t="shared" si="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6"/>
        <v/>
      </c>
      <c r="M47" s="164">
        <f t="shared" si="7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5"/>
        <v/>
      </c>
    </row>
    <row r="48" spans="1:25" s="155" customFormat="1" ht="30" hidden="1" customHeight="1">
      <c r="A48" s="141" t="str">
        <f t="shared" si="0"/>
        <v/>
      </c>
      <c r="B48" s="141" t="str">
        <f t="shared" si="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6"/>
        <v/>
      </c>
      <c r="M48" s="164">
        <f t="shared" si="7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5"/>
        <v/>
      </c>
    </row>
    <row r="49" spans="1:25" s="155" customFormat="1" ht="30" hidden="1" customHeight="1">
      <c r="A49" s="141" t="str">
        <f t="shared" si="0"/>
        <v/>
      </c>
      <c r="B49" s="141" t="str">
        <f t="shared" si="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6"/>
        <v/>
      </c>
      <c r="M49" s="164">
        <f t="shared" si="7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5"/>
        <v/>
      </c>
    </row>
    <row r="50" spans="1:25" s="155" customFormat="1" ht="30" hidden="1" customHeight="1">
      <c r="A50" s="141" t="str">
        <f t="shared" si="0"/>
        <v/>
      </c>
      <c r="B50" s="141" t="str">
        <f t="shared" si="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6"/>
        <v/>
      </c>
      <c r="M50" s="164">
        <f t="shared" si="7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5"/>
        <v/>
      </c>
    </row>
    <row r="51" spans="1:25" s="155" customFormat="1" ht="30" hidden="1" customHeight="1">
      <c r="A51" s="141" t="str">
        <f t="shared" si="0"/>
        <v/>
      </c>
      <c r="B51" s="141" t="str">
        <f t="shared" si="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6"/>
        <v/>
      </c>
      <c r="M51" s="164">
        <f t="shared" si="7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5"/>
        <v/>
      </c>
    </row>
    <row r="52" spans="1:25" s="155" customFormat="1" ht="30" hidden="1" customHeight="1">
      <c r="A52" s="141" t="str">
        <f t="shared" si="0"/>
        <v/>
      </c>
      <c r="B52" s="141" t="str">
        <f t="shared" si="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6"/>
        <v/>
      </c>
      <c r="M52" s="164">
        <f t="shared" si="7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5"/>
        <v/>
      </c>
    </row>
    <row r="53" spans="1:25" s="155" customFormat="1" ht="30" hidden="1" customHeight="1">
      <c r="A53" s="141" t="str">
        <f t="shared" si="0"/>
        <v/>
      </c>
      <c r="B53" s="141" t="str">
        <f t="shared" si="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6"/>
        <v/>
      </c>
      <c r="M53" s="164">
        <f t="shared" si="7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5"/>
        <v/>
      </c>
    </row>
    <row r="54" spans="1:25" s="155" customFormat="1" ht="30" hidden="1" customHeight="1">
      <c r="A54" s="141" t="str">
        <f t="shared" si="0"/>
        <v/>
      </c>
      <c r="B54" s="141" t="str">
        <f t="shared" si="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6"/>
        <v/>
      </c>
      <c r="M54" s="164">
        <f t="shared" si="7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5"/>
        <v/>
      </c>
    </row>
    <row r="55" spans="1:25" s="155" customFormat="1" ht="30" hidden="1" customHeight="1">
      <c r="A55" s="141" t="str">
        <f t="shared" si="0"/>
        <v/>
      </c>
      <c r="B55" s="141" t="str">
        <f t="shared" si="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6"/>
        <v/>
      </c>
      <c r="M55" s="164">
        <f t="shared" si="7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5"/>
        <v/>
      </c>
    </row>
    <row r="56" spans="1:25" s="155" customFormat="1" ht="30" hidden="1" customHeight="1">
      <c r="A56" s="141" t="str">
        <f t="shared" si="0"/>
        <v/>
      </c>
      <c r="B56" s="141" t="str">
        <f t="shared" si="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6"/>
        <v/>
      </c>
      <c r="M56" s="164">
        <f t="shared" si="7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5"/>
        <v/>
      </c>
    </row>
    <row r="57" spans="1:25" s="155" customFormat="1" ht="30" hidden="1" customHeight="1">
      <c r="A57" s="141" t="str">
        <f t="shared" si="0"/>
        <v/>
      </c>
      <c r="B57" s="141" t="str">
        <f t="shared" si="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6"/>
        <v/>
      </c>
      <c r="M57" s="164">
        <f t="shared" si="7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5"/>
        <v/>
      </c>
    </row>
    <row r="58" spans="1:25" s="155" customFormat="1" ht="30" hidden="1" customHeight="1">
      <c r="A58" s="141" t="str">
        <f t="shared" si="0"/>
        <v/>
      </c>
      <c r="B58" s="141" t="str">
        <f t="shared" si="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6"/>
        <v/>
      </c>
      <c r="M58" s="164">
        <f t="shared" si="7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5"/>
        <v/>
      </c>
    </row>
    <row r="59" spans="1:25" s="155" customFormat="1" ht="30" hidden="1" customHeight="1">
      <c r="A59" s="141" t="str">
        <f t="shared" si="0"/>
        <v/>
      </c>
      <c r="B59" s="141" t="str">
        <f t="shared" si="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6"/>
        <v/>
      </c>
      <c r="M59" s="164">
        <f t="shared" si="7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5"/>
        <v/>
      </c>
    </row>
    <row r="60" spans="1:25" s="155" customFormat="1" ht="30" hidden="1" customHeight="1">
      <c r="A60" s="141" t="str">
        <f t="shared" si="0"/>
        <v/>
      </c>
      <c r="B60" s="141" t="str">
        <f t="shared" si="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6"/>
        <v/>
      </c>
      <c r="M60" s="164">
        <f t="shared" si="7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5"/>
        <v/>
      </c>
    </row>
    <row r="61" spans="1:25" s="155" customFormat="1" ht="30" hidden="1" customHeight="1">
      <c r="A61" s="141" t="str">
        <f t="shared" si="0"/>
        <v/>
      </c>
      <c r="B61" s="141" t="str">
        <f t="shared" si="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6"/>
        <v/>
      </c>
      <c r="M61" s="164">
        <f t="shared" si="7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5"/>
        <v/>
      </c>
    </row>
    <row r="62" spans="1:25" s="155" customFormat="1" ht="30" hidden="1" customHeight="1">
      <c r="A62" s="141" t="str">
        <f t="shared" si="0"/>
        <v/>
      </c>
      <c r="B62" s="141" t="str">
        <f t="shared" si="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6"/>
        <v/>
      </c>
      <c r="M62" s="164">
        <f t="shared" si="7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5"/>
        <v/>
      </c>
    </row>
    <row r="63" spans="1:25" s="155" customFormat="1" ht="30" hidden="1" customHeight="1">
      <c r="A63" s="141" t="str">
        <f t="shared" si="0"/>
        <v/>
      </c>
      <c r="B63" s="141" t="str">
        <f t="shared" si="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6"/>
        <v/>
      </c>
      <c r="M63" s="164">
        <f t="shared" si="7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5"/>
        <v/>
      </c>
    </row>
    <row r="64" spans="1:25" s="155" customFormat="1" ht="30" hidden="1" customHeight="1">
      <c r="A64" s="141" t="str">
        <f t="shared" si="0"/>
        <v/>
      </c>
      <c r="B64" s="141" t="str">
        <f t="shared" si="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6"/>
        <v/>
      </c>
      <c r="M64" s="164">
        <f t="shared" si="7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5"/>
        <v/>
      </c>
    </row>
    <row r="65" spans="1:25" s="155" customFormat="1" ht="30" hidden="1" customHeight="1">
      <c r="A65" s="141" t="str">
        <f t="shared" si="0"/>
        <v/>
      </c>
      <c r="B65" s="141" t="str">
        <f t="shared" si="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6"/>
        <v/>
      </c>
      <c r="M65" s="164">
        <f t="shared" si="7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5"/>
        <v/>
      </c>
    </row>
    <row r="66" spans="1:25" s="155" customFormat="1" ht="30" hidden="1" customHeight="1">
      <c r="A66" s="141" t="str">
        <f t="shared" si="0"/>
        <v/>
      </c>
      <c r="B66" s="141" t="str">
        <f t="shared" si="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6"/>
        <v/>
      </c>
      <c r="M66" s="164">
        <f t="shared" si="7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5"/>
        <v/>
      </c>
    </row>
    <row r="67" spans="1:25" s="155" customFormat="1" ht="30" hidden="1" customHeight="1">
      <c r="A67" s="141" t="str">
        <f t="shared" si="0"/>
        <v/>
      </c>
      <c r="B67" s="141" t="str">
        <f t="shared" si="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6"/>
        <v/>
      </c>
      <c r="M67" s="164">
        <f t="shared" si="7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5"/>
        <v/>
      </c>
    </row>
    <row r="68" spans="1:25" s="155" customFormat="1" ht="30" hidden="1" customHeight="1">
      <c r="A68" s="141" t="str">
        <f t="shared" si="0"/>
        <v/>
      </c>
      <c r="B68" s="141" t="str">
        <f t="shared" si="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6"/>
        <v/>
      </c>
      <c r="M68" s="164">
        <f t="shared" si="7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5"/>
        <v/>
      </c>
    </row>
    <row r="69" spans="1:25" s="155" customFormat="1" ht="30" hidden="1" customHeight="1">
      <c r="A69" s="141" t="str">
        <f t="shared" si="0"/>
        <v/>
      </c>
      <c r="B69" s="141" t="str">
        <f t="shared" si="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6"/>
        <v/>
      </c>
      <c r="M69" s="164">
        <f t="shared" si="7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5"/>
        <v/>
      </c>
    </row>
    <row r="70" spans="1:25" s="155" customFormat="1" ht="30" hidden="1" customHeight="1">
      <c r="A70" s="141" t="str">
        <f t="shared" si="0"/>
        <v/>
      </c>
      <c r="B70" s="141" t="str">
        <f t="shared" si="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6"/>
        <v/>
      </c>
      <c r="M70" s="164">
        <f t="shared" si="7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5"/>
        <v/>
      </c>
    </row>
    <row r="71" spans="1:25" s="155" customFormat="1" ht="30" hidden="1" customHeight="1">
      <c r="A71" s="141" t="str">
        <f t="shared" si="0"/>
        <v/>
      </c>
      <c r="B71" s="141" t="str">
        <f t="shared" si="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6"/>
        <v/>
      </c>
      <c r="M71" s="164">
        <f t="shared" si="7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5"/>
        <v/>
      </c>
    </row>
    <row r="72" spans="1:25" s="155" customFormat="1" ht="30" hidden="1" customHeight="1">
      <c r="A72" s="141" t="str">
        <f t="shared" si="0"/>
        <v/>
      </c>
      <c r="B72" s="141" t="str">
        <f t="shared" si="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6"/>
        <v/>
      </c>
      <c r="M72" s="164">
        <f t="shared" si="7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5"/>
        <v/>
      </c>
    </row>
    <row r="73" spans="1:25" s="155" customFormat="1" ht="30" hidden="1" customHeight="1">
      <c r="A73" s="141" t="str">
        <f t="shared" si="0"/>
        <v/>
      </c>
      <c r="B73" s="141" t="str">
        <f t="shared" si="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6"/>
        <v/>
      </c>
      <c r="M73" s="164">
        <f t="shared" si="7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5"/>
        <v/>
      </c>
    </row>
    <row r="74" spans="1:25" s="155" customFormat="1" ht="30" hidden="1" customHeight="1">
      <c r="A74" s="141" t="str">
        <f t="shared" si="0"/>
        <v/>
      </c>
      <c r="B74" s="141" t="str">
        <f t="shared" si="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6"/>
        <v/>
      </c>
      <c r="M74" s="164">
        <f t="shared" si="7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5"/>
        <v/>
      </c>
    </row>
    <row r="75" spans="1:25" s="155" customFormat="1" ht="30" hidden="1" customHeight="1">
      <c r="A75" s="141" t="str">
        <f t="shared" si="0"/>
        <v/>
      </c>
      <c r="B75" s="141" t="str">
        <f t="shared" si="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6"/>
        <v/>
      </c>
      <c r="M75" s="164">
        <f t="shared" si="7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5"/>
        <v/>
      </c>
    </row>
    <row r="76" spans="1:25" s="155" customFormat="1" ht="30" hidden="1" customHeight="1">
      <c r="A76" s="141" t="str">
        <f t="shared" ref="A76:A77" si="8">IF(R76="IN",$E$6,"")</f>
        <v/>
      </c>
      <c r="B76" s="141" t="str">
        <f t="shared" ref="B76:B77" si="9">IF(R76="IN","Muc "&amp;$E$7,"")</f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6"/>
        <v/>
      </c>
      <c r="M76" s="164">
        <f t="shared" si="7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ref="R76:R77" si="10">IF(OR(C76&lt;&gt;"",D76&lt;&gt;""),"IN","")</f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5"/>
        <v/>
      </c>
    </row>
    <row r="77" spans="1:25" s="155" customFormat="1" ht="30" customHeight="1" thickBot="1">
      <c r="A77" s="141" t="str">
        <f t="shared" si="8"/>
        <v>DC113B(EI60)</v>
      </c>
      <c r="B77" s="141" t="str">
        <f t="shared" si="9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 t="e">
        <f>SUM(N12:N76)</f>
        <v>#VALUE!</v>
      </c>
      <c r="O77" s="189" t="e">
        <f>SUM(O12:O76)</f>
        <v>#VALUE!</v>
      </c>
      <c r="P77" s="190" t="e">
        <f>SUM(P12:P76)</f>
        <v>#VALUE!</v>
      </c>
      <c r="Q77" s="153">
        <f t="shared" si="3"/>
        <v>6</v>
      </c>
      <c r="R77" s="153" t="str">
        <f t="shared" si="10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A10:A11"/>
    <mergeCell ref="B10:B11"/>
    <mergeCell ref="C10:C11"/>
    <mergeCell ref="D10:D11"/>
    <mergeCell ref="E10:G10"/>
    <mergeCell ref="C1:E3"/>
    <mergeCell ref="F1:J3"/>
    <mergeCell ref="L1:P1"/>
    <mergeCell ref="L2:P2"/>
    <mergeCell ref="L3:P3"/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</mergeCells>
  <conditionalFormatting sqref="C13:P76">
    <cfRule type="expression" dxfId="65" priority="15">
      <formula>$S12&gt;999</formula>
    </cfRule>
  </conditionalFormatting>
  <conditionalFormatting sqref="K13:L13 K23:L76">
    <cfRule type="expression" dxfId="64" priority="19">
      <formula>K13="LỖI DỮ LIỆU"</formula>
    </cfRule>
  </conditionalFormatting>
  <conditionalFormatting sqref="K13:P76">
    <cfRule type="cellIs" dxfId="63" priority="17" operator="equal">
      <formula>0</formula>
    </cfRule>
  </conditionalFormatting>
  <conditionalFormatting sqref="M13:M76">
    <cfRule type="cellIs" dxfId="62" priority="16" operator="equal">
      <formula>0</formula>
    </cfRule>
    <cfRule type="cellIs" dxfId="61" priority="18" operator="equal">
      <formula>0</formula>
    </cfRule>
  </conditionalFormatting>
  <conditionalFormatting sqref="K14:L22">
    <cfRule type="expression" dxfId="60" priority="1">
      <formula>K14="LỖI DỮ LIỆU"</formula>
    </cfRule>
  </conditionalFormatting>
  <dataValidations count="3">
    <dataValidation type="list" allowBlank="1" showInputMessage="1" showErrorMessage="1" sqref="G84" xr:uid="{10B5C009-ED19-4A0B-99FB-F723002A602F}">
      <formula1>$AB$2:$AB$3</formula1>
    </dataValidation>
    <dataValidation type="list" allowBlank="1" showInputMessage="1" showErrorMessage="1" sqref="L77" xr:uid="{4D75BAF9-978F-4853-AAF5-36AF0AE50596}">
      <formula1>$Z$2:$Z$9</formula1>
    </dataValidation>
    <dataValidation type="list" allowBlank="1" showInputMessage="1" showErrorMessage="1" sqref="K84" xr:uid="{8A6D4DAC-D68E-482E-B489-3577BF7BBDA8}">
      <formula1>$AA$2:$AA$7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7F1A4-4CC0-423E-9EF6-8802DFB5EDAF}">
  <sheetPr codeName="Sheet14" filterMode="1">
    <tabColor rgb="FFFFFF00"/>
  </sheetPr>
  <dimension ref="A1:AE88"/>
  <sheetViews>
    <sheetView view="pageBreakPreview" zoomScale="70" zoomScaleNormal="70" zoomScaleSheetLayoutView="70" workbookViewId="0">
      <pane ySplit="11" topLeftCell="A12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16384" width="4.85546875" style="3"/>
  </cols>
  <sheetData>
    <row r="1" spans="1:31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1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1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1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1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1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IV'!T13=8,AVERAGE('BOM_Phan IV'!M13:M1400),""),"")</f>
        <v/>
      </c>
      <c r="L6" s="228" t="str">
        <f>IFERROR(IF('BOM_Phan IV'!T13=8,AVERAGE('BOM_Phan IV'!L13:L1400),""),"")</f>
        <v/>
      </c>
      <c r="M6" s="228" t="str">
        <f>IFERROR(IF('BOM_Phan IV'!T13=8,AVERAGE('BOM_Phan IV'!K13:K1400),""),"")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1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IV'!N13:N1400),"")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1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1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1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1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1" s="155" customFormat="1" ht="30" customHeight="1">
      <c r="A12" s="141" t="str">
        <f t="shared" ref="A12:A75" si="0">IF(R12="IN",$E$6,"")</f>
        <v>DC113B(EI60)</v>
      </c>
      <c r="B12" s="141" t="str">
        <f t="shared" ref="B12:B75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75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1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76" si="5">IF(C13&lt;&gt;"",1,"")</f>
        <v/>
      </c>
    </row>
    <row r="14" spans="1:31" s="155" customFormat="1" ht="30" customHeight="1">
      <c r="A14" s="141" t="str">
        <f t="shared" si="0"/>
        <v>DC113B(EI60)</v>
      </c>
      <c r="B14" s="141" t="str">
        <f t="shared" si="1"/>
        <v>Muc 9.1</v>
      </c>
      <c r="C14" s="157">
        <f>IF(D14="","",IFERROR((IF(LEFT(MID(D14,SEARCH("_",D14)+1,2),1)="0",(MID(D14,SEARCH("_",D14)+2,1)),MID(D14,SEARCH("_",D14)+1,2)))&amp;"."&amp;IF(LEFT(RIGHT(D14,2),1)="0",RIGHT(D14,1),RIGHT(D14,2)),MAX($C$12:$C13)+1))</f>
        <v>1</v>
      </c>
      <c r="D14" s="158" t="s">
        <v>103</v>
      </c>
      <c r="E14" s="159">
        <v>25</v>
      </c>
      <c r="F14" s="159">
        <v>35</v>
      </c>
      <c r="G14" s="159" t="str">
        <f>IFERROR(IF((($K$6*2)+($L$6*2))&lt;0,0,($K$6*2)+($L$6*2)),"")</f>
        <v/>
      </c>
      <c r="H14" s="159" t="str">
        <f>IFERROR(2*K7,"")</f>
        <v/>
      </c>
      <c r="I14" s="158" t="s">
        <v>104</v>
      </c>
      <c r="J14" s="161"/>
      <c r="K14" s="162"/>
      <c r="L14" s="163" t="s">
        <v>105</v>
      </c>
      <c r="M14" s="164" t="str">
        <f>IFERROR(IF(OR(L14="Con",L14="Cụm",L14="Hệ"),H14,IF(L14="Thanh",(G14*H14/2400),IF(L14="Tấm",(F14*G14*H14)/(1220*2440),IF(L14="M2",F14*G14*H14/10^6,IF(L14="M3",E14*F14*G14*H14/10^9,0))))),"")</f>
        <v/>
      </c>
      <c r="N14" s="165" t="e">
        <f>IF(ISERR(SEARCH("2d",#REF!)),IF(ISERR(SEARCH("1d",#REF!)),0,1),2)*($G14)*$H14/10^3+IF(ISERR(SEARCH("2n",#REF!)),IF(ISERR(SEARCH("1n",#REF!)),0,1),2)*($F14)*$H14/10^3</f>
        <v>#VALUE!</v>
      </c>
      <c r="O14" s="165" t="e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#VALUE!</v>
      </c>
      <c r="P14" s="166" t="e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#VALUE!</v>
      </c>
      <c r="Q14" s="153">
        <f t="shared" si="3"/>
        <v>6</v>
      </c>
      <c r="R14" s="153" t="str">
        <f t="shared" si="2"/>
        <v>IN</v>
      </c>
      <c r="S14" s="154" t="str">
        <f t="shared" si="4"/>
        <v>1000</v>
      </c>
      <c r="T14" s="153" t="str">
        <f>IFERROR(MATCH(#REF!,#REF!,0)&amp;",","")</f>
        <v/>
      </c>
      <c r="U14" s="154"/>
      <c r="Y14" s="155">
        <f t="shared" si="5"/>
        <v>1</v>
      </c>
    </row>
    <row r="15" spans="1:31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2</v>
      </c>
      <c r="D15" s="158" t="s">
        <v>106</v>
      </c>
      <c r="E15" s="159">
        <v>25</v>
      </c>
      <c r="F15" s="159">
        <v>35</v>
      </c>
      <c r="G15" s="159" t="str">
        <f>IFERROR(IF($M$6-$F$14-$F$14&lt;0,0,$M$6-$F$14-$F$14),"")</f>
        <v/>
      </c>
      <c r="H15" s="159" t="str">
        <f>IFERROR(4*K7,"")</f>
        <v/>
      </c>
      <c r="I15" s="158" t="s">
        <v>104</v>
      </c>
      <c r="J15" s="161"/>
      <c r="K15" s="162"/>
      <c r="L15" s="163" t="s">
        <v>105</v>
      </c>
      <c r="M15" s="164" t="str">
        <f>IFERROR(IF(OR(L15="Con",L15="Cụm",L15="Hệ"),H15,IF(L15="Thanh",(G15*H15/2400),IF(L15="Tấm",(F15*G15*H15)/(1220*2440),IF(L15="M2",F15*G15*H15/10^6,IF(L15="M3",E15*F15*G15*H15/10^9,0))))),"")</f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</row>
    <row r="16" spans="1:31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3</v>
      </c>
      <c r="D16" s="158" t="s">
        <v>107</v>
      </c>
      <c r="E16" s="159"/>
      <c r="F16" s="159"/>
      <c r="G16" s="159"/>
      <c r="H16" s="159"/>
      <c r="I16" s="158" t="s">
        <v>108</v>
      </c>
      <c r="J16" s="161"/>
      <c r="K16" s="162"/>
      <c r="L16" s="163" t="s">
        <v>109</v>
      </c>
      <c r="M16" s="164" t="str">
        <f>IFERROR(($K$6*$L$6*4+$L$6*$M$6*2)*10^-6*1.3/0.5*$K$7,"")</f>
        <v/>
      </c>
      <c r="N16" s="165">
        <f>IFERROR(IF(ISERR(SEARCH("2d",#REF!)),IF(ISERR(SEARCH("1d",#REF!)),0,1),2)*($G16)*$H16/10^3+IF(ISERR(SEARCH("2n",#REF!)),IF(ISERR(SEARCH("1n",#REF!)),0,1),2)*($F16)*$H16/10^3,"")</f>
        <v>0</v>
      </c>
      <c r="O16" s="165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>0</v>
      </c>
      <c r="P16" s="166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>0</v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</row>
    <row r="17" spans="1:25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4</v>
      </c>
      <c r="D17" s="158" t="s">
        <v>110</v>
      </c>
      <c r="E17" s="159"/>
      <c r="F17" s="159"/>
      <c r="G17" s="159"/>
      <c r="H17" s="159"/>
      <c r="I17" s="158" t="s">
        <v>111</v>
      </c>
      <c r="J17" s="161"/>
      <c r="K17" s="162"/>
      <c r="L17" s="163" t="s">
        <v>109</v>
      </c>
      <c r="M17" s="164" t="str">
        <f>IFERROR(($K$6*$L$6*4+$L$6*$M$6*2)*10^-6*1.3/1.2*$K$7,"")</f>
        <v/>
      </c>
      <c r="N17" s="165">
        <f>IF(ISERR(SEARCH("2d",#REF!)),IF(ISERR(SEARCH("1d",#REF!)),0,1),2)*($G17)*$H17/10^3+IF(ISERR(SEARCH("2n",#REF!)),IF(ISERR(SEARCH("1n",#REF!)),0,1),2)*($F17)*$H17/10^3</f>
        <v>0</v>
      </c>
      <c r="O17" s="165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166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</row>
    <row r="18" spans="1:25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5</v>
      </c>
      <c r="D18" s="158" t="s">
        <v>112</v>
      </c>
      <c r="E18" s="159"/>
      <c r="F18" s="159"/>
      <c r="G18" s="159"/>
      <c r="H18" s="159"/>
      <c r="I18" s="158" t="s">
        <v>113</v>
      </c>
      <c r="J18" s="161"/>
      <c r="K18" s="162"/>
      <c r="L18" s="163" t="s">
        <v>109</v>
      </c>
      <c r="M18" s="164" t="str">
        <f>IFERROR(($K$6*2+$L$6*2+200*16)*10^-3*$K$7,"")</f>
        <v/>
      </c>
      <c r="N18" s="165">
        <f>IF(ISERR(SEARCH("2d",#REF!)),IF(ISERR(SEARCH("1d",#REF!)),0,1),2)*($G18)*$H18/10^3+IF(ISERR(SEARCH("2n",#REF!)),IF(ISERR(SEARCH("1n",#REF!)),0,1),2)*($F18)*$H18/10^3</f>
        <v>0</v>
      </c>
      <c r="O18" s="165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166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</row>
    <row r="19" spans="1:25" s="155" customFormat="1" ht="30" hidden="1" customHeight="1">
      <c r="A19" s="141" t="str">
        <f t="shared" si="0"/>
        <v/>
      </c>
      <c r="B19" s="141" t="str">
        <f t="shared" si="1"/>
        <v/>
      </c>
      <c r="C19" s="157" t="str">
        <f>IF(D19="","",IFERROR((IF(LEFT(MID(D19,SEARCH("_",D19)+1,2),1)="0",(MID(D19,SEARCH("_",D19)+2,1)),MID(D19,SEARCH("_",D19)+1,2)))&amp;"."&amp;IF(LEFT(RIGHT(D19,2),1)="0",RIGHT(D19,1),RIGHT(D19,2)),MAX($C$12:$C18)+1))</f>
        <v/>
      </c>
      <c r="D19" s="158"/>
      <c r="E19" s="159"/>
      <c r="F19" s="159"/>
      <c r="G19" s="159"/>
      <c r="H19" s="159"/>
      <c r="I19" s="158"/>
      <c r="J19" s="161"/>
      <c r="K19" s="162"/>
      <c r="L19" s="163"/>
      <c r="M19" s="164"/>
      <c r="N19" s="165">
        <f>IF(ISERR(SEARCH("2d",#REF!)),IF(ISERR(SEARCH("1d",#REF!)),0,1),2)*($G19)*$H19/10^3+IF(ISERR(SEARCH("2n",#REF!)),IF(ISERR(SEARCH("1n",#REF!)),0,1),2)*($F19)*$H19/10^3</f>
        <v>0</v>
      </c>
      <c r="O19" s="165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166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153" t="str">
        <f t="shared" si="3"/>
        <v/>
      </c>
      <c r="R19" s="153" t="str">
        <f t="shared" si="2"/>
        <v/>
      </c>
      <c r="S19" s="154" t="str">
        <f t="shared" si="4"/>
        <v>1000</v>
      </c>
      <c r="T19" s="153" t="str">
        <f>IFERROR(MATCH(#REF!,#REF!,0)&amp;",","")</f>
        <v/>
      </c>
      <c r="U19" s="154"/>
      <c r="Y19" s="155" t="str">
        <f t="shared" si="5"/>
        <v/>
      </c>
    </row>
    <row r="20" spans="1:25" s="155" customFormat="1" ht="30" hidden="1" customHeight="1">
      <c r="A20" s="141" t="str">
        <f t="shared" si="0"/>
        <v/>
      </c>
      <c r="B20" s="141" t="str">
        <f t="shared" si="1"/>
        <v/>
      </c>
      <c r="C20" s="157" t="str">
        <f>IF(D20="","",IFERROR((IF(LEFT(MID(D20,SEARCH("_",D20)+1,2),1)="0",(MID(D20,SEARCH("_",D20)+2,1)),MID(D20,SEARCH("_",D20)+1,2)))&amp;"."&amp;IF(LEFT(RIGHT(D20,2),1)="0",RIGHT(D20,1),RIGHT(D20,2)),MAX($C$12:$C19)+1))</f>
        <v/>
      </c>
      <c r="D20" s="158"/>
      <c r="E20" s="159"/>
      <c r="F20" s="159"/>
      <c r="G20" s="159"/>
      <c r="H20" s="159"/>
      <c r="I20" s="158"/>
      <c r="J20" s="161"/>
      <c r="K20" s="162"/>
      <c r="L20" s="163"/>
      <c r="M20" s="164"/>
      <c r="N20" s="165">
        <f>IF(ISERR(SEARCH("2d",#REF!)),IF(ISERR(SEARCH("1d",#REF!)),0,1),2)*($G20)*$H20/10^3+IF(ISERR(SEARCH("2n",#REF!)),IF(ISERR(SEARCH("1n",#REF!)),0,1),2)*($F20)*$H20/10^3</f>
        <v>0</v>
      </c>
      <c r="O20" s="165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166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153" t="str">
        <f t="shared" si="3"/>
        <v/>
      </c>
      <c r="R20" s="153" t="str">
        <f t="shared" si="2"/>
        <v/>
      </c>
      <c r="S20" s="154" t="str">
        <f t="shared" si="4"/>
        <v>1000</v>
      </c>
      <c r="T20" s="153" t="str">
        <f>IFERROR(MATCH(#REF!,#REF!,0)&amp;",","")</f>
        <v/>
      </c>
      <c r="U20" s="154"/>
      <c r="Y20" s="155" t="str">
        <f t="shared" si="5"/>
        <v/>
      </c>
    </row>
    <row r="21" spans="1:25" s="155" customFormat="1" ht="30" hidden="1" customHeight="1">
      <c r="A21" s="141" t="str">
        <f t="shared" si="0"/>
        <v/>
      </c>
      <c r="B21" s="141" t="str">
        <f t="shared" si="1"/>
        <v/>
      </c>
      <c r="C21" s="157" t="str">
        <f>IF(D21="","",IFERROR((IF(LEFT(MID(D21,SEARCH("_",D21)+1,2),1)="0",(MID(D21,SEARCH("_",D21)+2,1)),MID(D21,SEARCH("_",D21)+1,2)))&amp;"."&amp;IF(LEFT(RIGHT(D21,2),1)="0",RIGHT(D21,1),RIGHT(D21,2)),MAX($C$12:$C20)+1))</f>
        <v/>
      </c>
      <c r="D21" s="158"/>
      <c r="E21" s="159"/>
      <c r="F21" s="159"/>
      <c r="G21" s="159"/>
      <c r="H21" s="159"/>
      <c r="I21" s="158"/>
      <c r="J21" s="161"/>
      <c r="K21" s="162"/>
      <c r="L21" s="163"/>
      <c r="M21" s="164"/>
      <c r="N21" s="165">
        <f>IF(ISERR(SEARCH("2d",#REF!)),IF(ISERR(SEARCH("1d",#REF!)),0,1),2)*($G21)*$H21/10^3+IF(ISERR(SEARCH("2n",#REF!)),IF(ISERR(SEARCH("1n",#REF!)),0,1),2)*($F21)*$H21/10^3</f>
        <v>0</v>
      </c>
      <c r="O21" s="165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166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153" t="str">
        <f t="shared" si="3"/>
        <v/>
      </c>
      <c r="R21" s="153" t="str">
        <f t="shared" si="2"/>
        <v/>
      </c>
      <c r="S21" s="154" t="str">
        <f t="shared" si="4"/>
        <v>1000</v>
      </c>
      <c r="T21" s="153" t="str">
        <f>IFERROR(MATCH(#REF!,#REF!,0)&amp;",","")</f>
        <v/>
      </c>
      <c r="U21" s="154"/>
      <c r="Y21" s="155" t="str">
        <f t="shared" si="5"/>
        <v/>
      </c>
    </row>
    <row r="22" spans="1:25" s="155" customFormat="1" ht="30" hidden="1" customHeight="1">
      <c r="A22" s="141" t="str">
        <f t="shared" si="0"/>
        <v/>
      </c>
      <c r="B22" s="141" t="str">
        <f t="shared" si="1"/>
        <v/>
      </c>
      <c r="C22" s="157" t="str">
        <f>IF(D22="","",IFERROR((IF(LEFT(MID(D22,SEARCH("_",D22)+1,2),1)="0",(MID(D22,SEARCH("_",D22)+2,1)),MID(D22,SEARCH("_",D22)+1,2)))&amp;"."&amp;IF(LEFT(RIGHT(D22,2),1)="0",RIGHT(D22,1),RIGHT(D22,2)),MAX($C$12:$C21)+1))</f>
        <v/>
      </c>
      <c r="D22" s="158"/>
      <c r="E22" s="159"/>
      <c r="F22" s="159"/>
      <c r="G22" s="159"/>
      <c r="H22" s="159"/>
      <c r="I22" s="158"/>
      <c r="J22" s="161"/>
      <c r="K22" s="162"/>
      <c r="L22" s="163"/>
      <c r="M22" s="164"/>
      <c r="N22" s="165">
        <f>IF(ISERR(SEARCH("2d",#REF!)),IF(ISERR(SEARCH("1d",#REF!)),0,1),2)*($G22)*$H22/10^3+IF(ISERR(SEARCH("2n",#REF!)),IF(ISERR(SEARCH("1n",#REF!)),0,1),2)*($F22)*$H22/10^3</f>
        <v>0</v>
      </c>
      <c r="O22" s="165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166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153" t="str">
        <f t="shared" si="3"/>
        <v/>
      </c>
      <c r="R22" s="153" t="str">
        <f t="shared" si="2"/>
        <v/>
      </c>
      <c r="S22" s="154" t="str">
        <f t="shared" si="4"/>
        <v>1000</v>
      </c>
      <c r="T22" s="153" t="str">
        <f>IFERROR(MATCH(#REF!,#REF!,0)&amp;",","")</f>
        <v/>
      </c>
      <c r="U22" s="154"/>
      <c r="Y22" s="155" t="str">
        <f t="shared" si="5"/>
        <v/>
      </c>
    </row>
    <row r="23" spans="1:25" s="155" customFormat="1" ht="30" hidden="1" customHeight="1">
      <c r="A23" s="141" t="str">
        <f t="shared" si="0"/>
        <v/>
      </c>
      <c r="B23" s="141" t="str">
        <f t="shared" si="1"/>
        <v/>
      </c>
      <c r="C23" s="157" t="str">
        <f>IF(D23="","",IFERROR((IF(LEFT(MID(D23,SEARCH("_",D23)+1,2),1)="0",(MID(D23,SEARCH("_",D23)+2,1)),MID(D23,SEARCH("_",D23)+1,2)))&amp;"."&amp;IF(LEFT(RIGHT(D23,2),1)="0",RIGHT(D23,1),RIGHT(D23,2)),MAX($C$12:$C22)+1))</f>
        <v/>
      </c>
      <c r="D23" s="194"/>
      <c r="E23" s="163"/>
      <c r="F23" s="163"/>
      <c r="G23" s="163"/>
      <c r="H23" s="163"/>
      <c r="I23" s="194"/>
      <c r="J23" s="161"/>
      <c r="K23" s="162"/>
      <c r="L23" s="163" t="str">
        <f t="shared" ref="L23:L76" si="6">IF(I23="","",IF(LEFT(I23,2)="gỗ","m3","Tấm"))</f>
        <v/>
      </c>
      <c r="M23" s="164">
        <f t="shared" ref="M23:M76" si="7">IF(OR(L23="Con",L23="Cụm",L23="Hệ",L23="Thanh"),H23,IF(L23="Tấm",(F23*G23*H23)/(1220*2440),IF(L23="Md",G23*H23/1000,IF(L23="M2",F23*G23*H23/10^6,IF(L23="M3",E23*F23*G23*H23/10^9,0)))))</f>
        <v>0</v>
      </c>
      <c r="N23" s="165">
        <f>IF(ISERR(SEARCH("2d",#REF!)),IF(ISERR(SEARCH("1d",#REF!)),0,1),2)*($G23)*$H23/10^3+IF(ISERR(SEARCH("2n",#REF!)),IF(ISERR(SEARCH("1n",#REF!)),0,1),2)*($F23)*$H23/10^3</f>
        <v>0</v>
      </c>
      <c r="O23" s="165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166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153" t="str">
        <f t="shared" si="3"/>
        <v/>
      </c>
      <c r="R23" s="153" t="str">
        <f t="shared" si="2"/>
        <v/>
      </c>
      <c r="S23" s="154" t="str">
        <f t="shared" si="4"/>
        <v>1000</v>
      </c>
      <c r="T23" s="153" t="str">
        <f>IFERROR(MATCH(#REF!,#REF!,0)&amp;",","")</f>
        <v/>
      </c>
      <c r="U23" s="154"/>
      <c r="Y23" s="155" t="str">
        <f t="shared" si="5"/>
        <v/>
      </c>
    </row>
    <row r="24" spans="1:25" s="155" customFormat="1" ht="30" hidden="1" customHeight="1">
      <c r="A24" s="141" t="str">
        <f t="shared" si="0"/>
        <v/>
      </c>
      <c r="B24" s="141" t="str">
        <f t="shared" si="1"/>
        <v/>
      </c>
      <c r="C24" s="157" t="str">
        <f>IF(D24="","",IFERROR((IF(LEFT(MID(D24,SEARCH("_",D24)+1,2),1)="0",(MID(D24,SEARCH("_",D24)+2,1)),MID(D24,SEARCH("_",D24)+1,2)))&amp;"."&amp;IF(LEFT(RIGHT(D24,2),1)="0",RIGHT(D24,1),RIGHT(D24,2)),MAX($C$12:$C23)+1))</f>
        <v/>
      </c>
      <c r="D24" s="158"/>
      <c r="E24" s="159"/>
      <c r="F24" s="159"/>
      <c r="G24" s="159"/>
      <c r="H24" s="159"/>
      <c r="I24" s="158"/>
      <c r="J24" s="161"/>
      <c r="K24" s="162"/>
      <c r="L24" s="163" t="str">
        <f t="shared" si="6"/>
        <v/>
      </c>
      <c r="M24" s="164">
        <f t="shared" si="7"/>
        <v>0</v>
      </c>
      <c r="N24" s="165">
        <f>IF(ISERR(SEARCH("2d",#REF!)),IF(ISERR(SEARCH("1d",#REF!)),0,1),2)*($G24)*$H24/10^3+IF(ISERR(SEARCH("2n",#REF!)),IF(ISERR(SEARCH("1n",#REF!)),0,1),2)*($F24)*$H24/10^3</f>
        <v>0</v>
      </c>
      <c r="O24" s="165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166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153" t="str">
        <f t="shared" si="3"/>
        <v/>
      </c>
      <c r="R24" s="153" t="str">
        <f t="shared" si="2"/>
        <v/>
      </c>
      <c r="S24" s="154" t="str">
        <f t="shared" si="4"/>
        <v>1000</v>
      </c>
      <c r="T24" s="153" t="str">
        <f>IFERROR(MATCH(#REF!,#REF!,0)&amp;",","")</f>
        <v/>
      </c>
      <c r="U24" s="154"/>
      <c r="Y24" s="155" t="str">
        <f t="shared" si="5"/>
        <v/>
      </c>
    </row>
    <row r="25" spans="1:25" s="155" customFormat="1" ht="30" hidden="1" customHeight="1">
      <c r="A25" s="141" t="str">
        <f t="shared" si="0"/>
        <v/>
      </c>
      <c r="B25" s="141" t="str">
        <f t="shared" si="1"/>
        <v/>
      </c>
      <c r="C25" s="157" t="str">
        <f>IF(D25="","",IFERROR((IF(LEFT(MID(D25,SEARCH("_",D25)+1,2),1)="0",(MID(D25,SEARCH("_",D25)+2,1)),MID(D25,SEARCH("_",D25)+1,2)))&amp;"."&amp;IF(LEFT(RIGHT(D25,2),1)="0",RIGHT(D25,1),RIGHT(D25,2)),MAX($C$12:$C24)+1))</f>
        <v/>
      </c>
      <c r="D25" s="158"/>
      <c r="E25" s="159"/>
      <c r="F25" s="159"/>
      <c r="G25" s="159"/>
      <c r="H25" s="159"/>
      <c r="I25" s="158"/>
      <c r="J25" s="161"/>
      <c r="K25" s="162"/>
      <c r="L25" s="163" t="str">
        <f t="shared" si="6"/>
        <v/>
      </c>
      <c r="M25" s="164">
        <f t="shared" si="7"/>
        <v>0</v>
      </c>
      <c r="N25" s="165">
        <f>IF(ISERR(SEARCH("2d",#REF!)),IF(ISERR(SEARCH("1d",#REF!)),0,1),2)*($G25)*$H25/10^3+IF(ISERR(SEARCH("2n",#REF!)),IF(ISERR(SEARCH("1n",#REF!)),0,1),2)*($F25)*$H25/10^3</f>
        <v>0</v>
      </c>
      <c r="O25" s="165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166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153" t="str">
        <f t="shared" si="3"/>
        <v/>
      </c>
      <c r="R25" s="153" t="str">
        <f t="shared" si="2"/>
        <v/>
      </c>
      <c r="S25" s="154" t="str">
        <f t="shared" si="4"/>
        <v>1000</v>
      </c>
      <c r="T25" s="153" t="str">
        <f>IFERROR(MATCH(#REF!,#REF!,0)&amp;",","")</f>
        <v/>
      </c>
      <c r="U25" s="154"/>
      <c r="Y25" s="155" t="str">
        <f t="shared" si="5"/>
        <v/>
      </c>
    </row>
    <row r="26" spans="1:25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si="6"/>
        <v/>
      </c>
      <c r="M26" s="164">
        <f t="shared" si="7"/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25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6"/>
        <v/>
      </c>
      <c r="M27" s="164">
        <f t="shared" si="7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25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6"/>
        <v/>
      </c>
      <c r="M28" s="164">
        <f t="shared" si="7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25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6"/>
        <v/>
      </c>
      <c r="M29" s="164">
        <f t="shared" si="7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25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6"/>
        <v/>
      </c>
      <c r="M30" s="164">
        <f t="shared" si="7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25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6"/>
        <v/>
      </c>
      <c r="M31" s="164">
        <f t="shared" si="7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25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6"/>
        <v/>
      </c>
      <c r="M32" s="164">
        <f t="shared" si="7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6"/>
        <v/>
      </c>
      <c r="M33" s="164">
        <f t="shared" si="7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 t="str">
        <f t="shared" si="6"/>
        <v/>
      </c>
      <c r="M34" s="164">
        <f t="shared" si="7"/>
        <v>0</v>
      </c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si="6"/>
        <v/>
      </c>
      <c r="M35" s="164">
        <f t="shared" si="7"/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6"/>
        <v/>
      </c>
      <c r="M36" s="164">
        <f t="shared" si="7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6"/>
        <v/>
      </c>
      <c r="M37" s="164">
        <f t="shared" si="7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6"/>
        <v/>
      </c>
      <c r="M38" s="164">
        <f t="shared" si="7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6"/>
        <v/>
      </c>
      <c r="M39" s="164">
        <f t="shared" si="7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6"/>
        <v/>
      </c>
      <c r="M40" s="164">
        <f t="shared" si="7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6"/>
        <v/>
      </c>
      <c r="M41" s="164">
        <f t="shared" si="7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6"/>
        <v/>
      </c>
      <c r="M42" s="164">
        <f t="shared" si="7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6"/>
        <v/>
      </c>
      <c r="M43" s="164">
        <f t="shared" si="7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si="0"/>
        <v/>
      </c>
      <c r="B44" s="141" t="str">
        <f t="shared" si="1"/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6"/>
        <v/>
      </c>
      <c r="M44" s="164">
        <f t="shared" si="7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si="2"/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0"/>
        <v/>
      </c>
      <c r="B45" s="141" t="str">
        <f t="shared" si="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6"/>
        <v/>
      </c>
      <c r="M45" s="164">
        <f t="shared" si="7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si="5"/>
        <v/>
      </c>
    </row>
    <row r="46" spans="1:25" s="155" customFormat="1" ht="30" hidden="1" customHeight="1">
      <c r="A46" s="141" t="str">
        <f t="shared" si="0"/>
        <v/>
      </c>
      <c r="B46" s="141" t="str">
        <f t="shared" si="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6"/>
        <v/>
      </c>
      <c r="M46" s="164">
        <f t="shared" si="7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5"/>
        <v/>
      </c>
    </row>
    <row r="47" spans="1:25" s="155" customFormat="1" ht="30" hidden="1" customHeight="1">
      <c r="A47" s="141" t="str">
        <f t="shared" si="0"/>
        <v/>
      </c>
      <c r="B47" s="141" t="str">
        <f t="shared" si="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6"/>
        <v/>
      </c>
      <c r="M47" s="164">
        <f t="shared" si="7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5"/>
        <v/>
      </c>
    </row>
    <row r="48" spans="1:25" s="155" customFormat="1" ht="30" hidden="1" customHeight="1">
      <c r="A48" s="141" t="str">
        <f t="shared" si="0"/>
        <v/>
      </c>
      <c r="B48" s="141" t="str">
        <f t="shared" si="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6"/>
        <v/>
      </c>
      <c r="M48" s="164">
        <f t="shared" si="7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5"/>
        <v/>
      </c>
    </row>
    <row r="49" spans="1:25" s="155" customFormat="1" ht="30" hidden="1" customHeight="1">
      <c r="A49" s="141" t="str">
        <f t="shared" si="0"/>
        <v/>
      </c>
      <c r="B49" s="141" t="str">
        <f t="shared" si="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6"/>
        <v/>
      </c>
      <c r="M49" s="164">
        <f t="shared" si="7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5"/>
        <v/>
      </c>
    </row>
    <row r="50" spans="1:25" s="155" customFormat="1" ht="30" hidden="1" customHeight="1">
      <c r="A50" s="141" t="str">
        <f t="shared" si="0"/>
        <v/>
      </c>
      <c r="B50" s="141" t="str">
        <f t="shared" si="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6"/>
        <v/>
      </c>
      <c r="M50" s="164">
        <f t="shared" si="7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5"/>
        <v/>
      </c>
    </row>
    <row r="51" spans="1:25" s="155" customFormat="1" ht="30" hidden="1" customHeight="1">
      <c r="A51" s="141" t="str">
        <f t="shared" si="0"/>
        <v/>
      </c>
      <c r="B51" s="141" t="str">
        <f t="shared" si="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6"/>
        <v/>
      </c>
      <c r="M51" s="164">
        <f t="shared" si="7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5"/>
        <v/>
      </c>
    </row>
    <row r="52" spans="1:25" s="155" customFormat="1" ht="30" hidden="1" customHeight="1">
      <c r="A52" s="141" t="str">
        <f t="shared" si="0"/>
        <v/>
      </c>
      <c r="B52" s="141" t="str">
        <f t="shared" si="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6"/>
        <v/>
      </c>
      <c r="M52" s="164">
        <f t="shared" si="7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5"/>
        <v/>
      </c>
    </row>
    <row r="53" spans="1:25" s="155" customFormat="1" ht="30" hidden="1" customHeight="1">
      <c r="A53" s="141" t="str">
        <f t="shared" si="0"/>
        <v/>
      </c>
      <c r="B53" s="141" t="str">
        <f t="shared" si="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6"/>
        <v/>
      </c>
      <c r="M53" s="164">
        <f t="shared" si="7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5"/>
        <v/>
      </c>
    </row>
    <row r="54" spans="1:25" s="155" customFormat="1" ht="30" hidden="1" customHeight="1">
      <c r="A54" s="141" t="str">
        <f t="shared" si="0"/>
        <v/>
      </c>
      <c r="B54" s="141" t="str">
        <f t="shared" si="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6"/>
        <v/>
      </c>
      <c r="M54" s="164">
        <f t="shared" si="7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5"/>
        <v/>
      </c>
    </row>
    <row r="55" spans="1:25" s="155" customFormat="1" ht="30" hidden="1" customHeight="1">
      <c r="A55" s="141" t="str">
        <f t="shared" si="0"/>
        <v/>
      </c>
      <c r="B55" s="141" t="str">
        <f t="shared" si="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6"/>
        <v/>
      </c>
      <c r="M55" s="164">
        <f t="shared" si="7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5"/>
        <v/>
      </c>
    </row>
    <row r="56" spans="1:25" s="155" customFormat="1" ht="30" hidden="1" customHeight="1">
      <c r="A56" s="141" t="str">
        <f t="shared" si="0"/>
        <v/>
      </c>
      <c r="B56" s="141" t="str">
        <f t="shared" si="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6"/>
        <v/>
      </c>
      <c r="M56" s="164">
        <f t="shared" si="7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5"/>
        <v/>
      </c>
    </row>
    <row r="57" spans="1:25" s="155" customFormat="1" ht="30" hidden="1" customHeight="1">
      <c r="A57" s="141" t="str">
        <f t="shared" si="0"/>
        <v/>
      </c>
      <c r="B57" s="141" t="str">
        <f t="shared" si="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6"/>
        <v/>
      </c>
      <c r="M57" s="164">
        <f t="shared" si="7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5"/>
        <v/>
      </c>
    </row>
    <row r="58" spans="1:25" s="155" customFormat="1" ht="30" hidden="1" customHeight="1">
      <c r="A58" s="141" t="str">
        <f t="shared" si="0"/>
        <v/>
      </c>
      <c r="B58" s="141" t="str">
        <f t="shared" si="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6"/>
        <v/>
      </c>
      <c r="M58" s="164">
        <f t="shared" si="7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5"/>
        <v/>
      </c>
    </row>
    <row r="59" spans="1:25" s="155" customFormat="1" ht="30" hidden="1" customHeight="1">
      <c r="A59" s="141" t="str">
        <f t="shared" si="0"/>
        <v/>
      </c>
      <c r="B59" s="141" t="str">
        <f t="shared" si="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6"/>
        <v/>
      </c>
      <c r="M59" s="164">
        <f t="shared" si="7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5"/>
        <v/>
      </c>
    </row>
    <row r="60" spans="1:25" s="155" customFormat="1" ht="30" hidden="1" customHeight="1">
      <c r="A60" s="141" t="str">
        <f t="shared" si="0"/>
        <v/>
      </c>
      <c r="B60" s="141" t="str">
        <f t="shared" si="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6"/>
        <v/>
      </c>
      <c r="M60" s="164">
        <f t="shared" si="7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5"/>
        <v/>
      </c>
    </row>
    <row r="61" spans="1:25" s="155" customFormat="1" ht="30" hidden="1" customHeight="1">
      <c r="A61" s="141" t="str">
        <f t="shared" si="0"/>
        <v/>
      </c>
      <c r="B61" s="141" t="str">
        <f t="shared" si="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6"/>
        <v/>
      </c>
      <c r="M61" s="164">
        <f t="shared" si="7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5"/>
        <v/>
      </c>
    </row>
    <row r="62" spans="1:25" s="155" customFormat="1" ht="30" hidden="1" customHeight="1">
      <c r="A62" s="141" t="str">
        <f t="shared" si="0"/>
        <v/>
      </c>
      <c r="B62" s="141" t="str">
        <f t="shared" si="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6"/>
        <v/>
      </c>
      <c r="M62" s="164">
        <f t="shared" si="7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5"/>
        <v/>
      </c>
    </row>
    <row r="63" spans="1:25" s="155" customFormat="1" ht="30" hidden="1" customHeight="1">
      <c r="A63" s="141" t="str">
        <f t="shared" si="0"/>
        <v/>
      </c>
      <c r="B63" s="141" t="str">
        <f t="shared" si="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6"/>
        <v/>
      </c>
      <c r="M63" s="164">
        <f t="shared" si="7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5"/>
        <v/>
      </c>
    </row>
    <row r="64" spans="1:25" s="155" customFormat="1" ht="30" hidden="1" customHeight="1">
      <c r="A64" s="141" t="str">
        <f t="shared" si="0"/>
        <v/>
      </c>
      <c r="B64" s="141" t="str">
        <f t="shared" si="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6"/>
        <v/>
      </c>
      <c r="M64" s="164">
        <f t="shared" si="7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5"/>
        <v/>
      </c>
    </row>
    <row r="65" spans="1:25" s="155" customFormat="1" ht="30" hidden="1" customHeight="1">
      <c r="A65" s="141" t="str">
        <f t="shared" si="0"/>
        <v/>
      </c>
      <c r="B65" s="141" t="str">
        <f t="shared" si="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6"/>
        <v/>
      </c>
      <c r="M65" s="164">
        <f t="shared" si="7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5"/>
        <v/>
      </c>
    </row>
    <row r="66" spans="1:25" s="155" customFormat="1" ht="30" hidden="1" customHeight="1">
      <c r="A66" s="141" t="str">
        <f t="shared" si="0"/>
        <v/>
      </c>
      <c r="B66" s="141" t="str">
        <f t="shared" si="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6"/>
        <v/>
      </c>
      <c r="M66" s="164">
        <f t="shared" si="7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5"/>
        <v/>
      </c>
    </row>
    <row r="67" spans="1:25" s="155" customFormat="1" ht="30" hidden="1" customHeight="1">
      <c r="A67" s="141" t="str">
        <f t="shared" si="0"/>
        <v/>
      </c>
      <c r="B67" s="141" t="str">
        <f t="shared" si="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6"/>
        <v/>
      </c>
      <c r="M67" s="164">
        <f t="shared" si="7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5"/>
        <v/>
      </c>
    </row>
    <row r="68" spans="1:25" s="155" customFormat="1" ht="30" hidden="1" customHeight="1">
      <c r="A68" s="141" t="str">
        <f t="shared" si="0"/>
        <v/>
      </c>
      <c r="B68" s="141" t="str">
        <f t="shared" si="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6"/>
        <v/>
      </c>
      <c r="M68" s="164">
        <f t="shared" si="7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5"/>
        <v/>
      </c>
    </row>
    <row r="69" spans="1:25" s="155" customFormat="1" ht="30" hidden="1" customHeight="1">
      <c r="A69" s="141" t="str">
        <f t="shared" si="0"/>
        <v/>
      </c>
      <c r="B69" s="141" t="str">
        <f t="shared" si="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6"/>
        <v/>
      </c>
      <c r="M69" s="164">
        <f t="shared" si="7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5"/>
        <v/>
      </c>
    </row>
    <row r="70" spans="1:25" s="155" customFormat="1" ht="30" hidden="1" customHeight="1">
      <c r="A70" s="141" t="str">
        <f t="shared" si="0"/>
        <v/>
      </c>
      <c r="B70" s="141" t="str">
        <f t="shared" si="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6"/>
        <v/>
      </c>
      <c r="M70" s="164">
        <f t="shared" si="7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5"/>
        <v/>
      </c>
    </row>
    <row r="71" spans="1:25" s="155" customFormat="1" ht="30" hidden="1" customHeight="1">
      <c r="A71" s="141" t="str">
        <f t="shared" si="0"/>
        <v/>
      </c>
      <c r="B71" s="141" t="str">
        <f t="shared" si="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6"/>
        <v/>
      </c>
      <c r="M71" s="164">
        <f t="shared" si="7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5"/>
        <v/>
      </c>
    </row>
    <row r="72" spans="1:25" s="155" customFormat="1" ht="30" hidden="1" customHeight="1">
      <c r="A72" s="141" t="str">
        <f t="shared" si="0"/>
        <v/>
      </c>
      <c r="B72" s="141" t="str">
        <f t="shared" si="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6"/>
        <v/>
      </c>
      <c r="M72" s="164">
        <f t="shared" si="7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5"/>
        <v/>
      </c>
    </row>
    <row r="73" spans="1:25" s="155" customFormat="1" ht="30" hidden="1" customHeight="1">
      <c r="A73" s="141" t="str">
        <f t="shared" si="0"/>
        <v/>
      </c>
      <c r="B73" s="141" t="str">
        <f t="shared" si="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6"/>
        <v/>
      </c>
      <c r="M73" s="164">
        <f t="shared" si="7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5"/>
        <v/>
      </c>
    </row>
    <row r="74" spans="1:25" s="155" customFormat="1" ht="30" hidden="1" customHeight="1">
      <c r="A74" s="141" t="str">
        <f t="shared" si="0"/>
        <v/>
      </c>
      <c r="B74" s="141" t="str">
        <f t="shared" si="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6"/>
        <v/>
      </c>
      <c r="M74" s="164">
        <f t="shared" si="7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5"/>
        <v/>
      </c>
    </row>
    <row r="75" spans="1:25" s="155" customFormat="1" ht="30" hidden="1" customHeight="1">
      <c r="A75" s="141" t="str">
        <f t="shared" si="0"/>
        <v/>
      </c>
      <c r="B75" s="141" t="str">
        <f t="shared" si="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6"/>
        <v/>
      </c>
      <c r="M75" s="164">
        <f t="shared" si="7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5"/>
        <v/>
      </c>
    </row>
    <row r="76" spans="1:25" s="155" customFormat="1" ht="30" hidden="1" customHeight="1">
      <c r="A76" s="141" t="str">
        <f t="shared" ref="A76:A77" si="8">IF(R76="IN",$E$6,"")</f>
        <v/>
      </c>
      <c r="B76" s="141" t="str">
        <f t="shared" ref="B76:B77" si="9">IF(R76="IN","Muc "&amp;$E$7,"")</f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6"/>
        <v/>
      </c>
      <c r="M76" s="164">
        <f t="shared" si="7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ref="R76:R77" si="10">IF(OR(C76&lt;&gt;"",D76&lt;&gt;""),"IN","")</f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5"/>
        <v/>
      </c>
    </row>
    <row r="77" spans="1:25" s="155" customFormat="1" ht="30" customHeight="1" thickBot="1">
      <c r="A77" s="141" t="str">
        <f t="shared" si="8"/>
        <v>DC113B(EI60)</v>
      </c>
      <c r="B77" s="141" t="str">
        <f t="shared" si="9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 t="e">
        <f>SUM(N12:N76)</f>
        <v>#VALUE!</v>
      </c>
      <c r="O77" s="189" t="e">
        <f>SUM(O12:O76)</f>
        <v>#VALUE!</v>
      </c>
      <c r="P77" s="190" t="e">
        <f>SUM(P12:P76)</f>
        <v>#VALUE!</v>
      </c>
      <c r="Q77" s="153">
        <f t="shared" si="3"/>
        <v>6</v>
      </c>
      <c r="R77" s="153" t="str">
        <f t="shared" si="10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A10:A11"/>
    <mergeCell ref="B10:B11"/>
    <mergeCell ref="C10:C11"/>
    <mergeCell ref="D10:D11"/>
    <mergeCell ref="E10:G10"/>
    <mergeCell ref="C1:E3"/>
    <mergeCell ref="F1:J3"/>
    <mergeCell ref="L1:P1"/>
    <mergeCell ref="L2:P2"/>
    <mergeCell ref="L3:P3"/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</mergeCells>
  <conditionalFormatting sqref="C13:P76">
    <cfRule type="expression" dxfId="59" priority="7">
      <formula>$S12&gt;999</formula>
    </cfRule>
  </conditionalFormatting>
  <conditionalFormatting sqref="K13:L13 K23:L76">
    <cfRule type="expression" dxfId="58" priority="11">
      <formula>K13="LỖI DỮ LIỆU"</formula>
    </cfRule>
  </conditionalFormatting>
  <conditionalFormatting sqref="K13:P76">
    <cfRule type="cellIs" dxfId="57" priority="9" operator="equal">
      <formula>0</formula>
    </cfRule>
  </conditionalFormatting>
  <conditionalFormatting sqref="M13:M76">
    <cfRule type="cellIs" dxfId="56" priority="8" operator="equal">
      <formula>0</formula>
    </cfRule>
    <cfRule type="cellIs" dxfId="55" priority="10" operator="equal">
      <formula>0</formula>
    </cfRule>
  </conditionalFormatting>
  <conditionalFormatting sqref="K19:L22">
    <cfRule type="expression" dxfId="54" priority="6">
      <formula>K19="LỖI DỮ LIỆU"</formula>
    </cfRule>
  </conditionalFormatting>
  <conditionalFormatting sqref="K14:L18">
    <cfRule type="expression" dxfId="53" priority="1">
      <formula>K14="LỖI DỮ LIỆU"</formula>
    </cfRule>
  </conditionalFormatting>
  <dataValidations count="3">
    <dataValidation type="list" allowBlank="1" showInputMessage="1" showErrorMessage="1" sqref="K84" xr:uid="{6F83177C-68F4-4985-8A26-40D488F99D56}">
      <formula1>$AA$2:$AA$7</formula1>
    </dataValidation>
    <dataValidation type="list" allowBlank="1" showInputMessage="1" showErrorMessage="1" sqref="L77" xr:uid="{718A954D-C0A4-4C4D-A182-6974A4451A1E}">
      <formula1>$Z$2:$Z$9</formula1>
    </dataValidation>
    <dataValidation type="list" allowBlank="1" showInputMessage="1" showErrorMessage="1" sqref="G84" xr:uid="{EF60DD12-5938-4598-8EDE-F887C40BF9DA}">
      <formula1>$AB$2:$AB$3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3C89D-948A-48F5-896C-2F83756E01EC}">
  <sheetPr codeName="Sheet5" filterMode="1">
    <tabColor rgb="FFFFFF00"/>
  </sheetPr>
  <dimension ref="A1:AE88"/>
  <sheetViews>
    <sheetView view="pageBreakPreview" zoomScale="70" zoomScaleNormal="70" zoomScaleSheetLayoutView="70" workbookViewId="0">
      <pane ySplit="11" topLeftCell="A12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16384" width="4.85546875" style="3"/>
  </cols>
  <sheetData>
    <row r="1" spans="1:31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1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1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1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1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1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IV'!T13=1,AVERAGE('BOM_Phan IV'!M13:M835),""),"")</f>
        <v/>
      </c>
      <c r="L6" s="228" t="str">
        <f>IFERROR(IF('BOM_Phan IV'!T13=1,AVERAGE('BOM_Phan IV'!L13:L835),""),"")</f>
        <v/>
      </c>
      <c r="M6" s="228" t="str">
        <f>IFERROR(IF('BOM_Phan IV'!T13=1,AVERAGE('BOM_Phan IV'!K13:K835),""),"")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1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IV'!N13:N835),"")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1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1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1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1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1" s="155" customFormat="1" ht="30" customHeight="1">
      <c r="A12" s="141" t="str">
        <f t="shared" ref="A12:A43" si="0">IF(R12="IN",$E$6,"")</f>
        <v>DC113B(EI60)</v>
      </c>
      <c r="B12" s="141" t="str">
        <f t="shared" ref="B12:B43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43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1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44" si="5">IF(C13&lt;&gt;"",1,"")</f>
        <v/>
      </c>
    </row>
    <row r="14" spans="1:31" s="155" customFormat="1" ht="30" hidden="1" customHeight="1">
      <c r="A14" s="141" t="str">
        <f t="shared" si="0"/>
        <v/>
      </c>
      <c r="B14" s="141" t="str">
        <f t="shared" si="1"/>
        <v/>
      </c>
      <c r="C14" s="157" t="str">
        <f>IF(D14="","",IFERROR((IF(LEFT(MID(D14,SEARCH("_",D14)+1,2),1)="0",(MID(D14,SEARCH("_",D14)+2,1)),MID(D14,SEARCH("_",D14)+1,2)))&amp;"."&amp;IF(LEFT(RIGHT(D14,2),1)="0",RIGHT(D14,1),RIGHT(D14,2)),MAX($C$12:$C13)+1))</f>
        <v/>
      </c>
      <c r="D14" s="158"/>
      <c r="E14" s="159"/>
      <c r="F14" s="159"/>
      <c r="G14" s="159"/>
      <c r="H14" s="159"/>
      <c r="I14" s="158"/>
      <c r="J14" s="161"/>
      <c r="K14" s="162"/>
      <c r="L14" s="163" t="str">
        <f>IF(I14="","",IF(LEFT(I14,2)="gỗ","m3","Tấm"))</f>
        <v/>
      </c>
      <c r="M14" s="164">
        <f>IF(OR(L14="Con",L14="Cụm",L14="Hệ",L14="Thanh"),H14,IF(L14="Tấm",(F14*G14*H14)/(1220*2440),IF(L14="Md",G14*H14/1000,IF(L14="M2",F14*G14*H14/10^6,IF(L14="M3",E14*F14*G14*H14/10^9,0)))))</f>
        <v>0</v>
      </c>
      <c r="N14" s="165">
        <f>IF(ISERR(SEARCH("2d",#REF!)),IF(ISERR(SEARCH("1d",#REF!)),0,1),2)*($G14)*$H14/10^3+IF(ISERR(SEARCH("2n",#REF!)),IF(ISERR(SEARCH("1n",#REF!)),0,1),2)*($F14)*$H14/10^3</f>
        <v>0</v>
      </c>
      <c r="O14" s="165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0</v>
      </c>
      <c r="P14" s="166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0</v>
      </c>
      <c r="Q14" s="153" t="str">
        <f t="shared" si="3"/>
        <v/>
      </c>
      <c r="R14" s="153" t="str">
        <f t="shared" si="2"/>
        <v/>
      </c>
      <c r="S14" s="154" t="str">
        <f t="shared" si="4"/>
        <v>1000</v>
      </c>
      <c r="T14" s="153" t="str">
        <f>IFERROR(MATCH(#REF!,#REF!,0)&amp;",","")</f>
        <v/>
      </c>
      <c r="U14" s="154"/>
      <c r="Y14" s="155" t="str">
        <f t="shared" si="5"/>
        <v/>
      </c>
    </row>
    <row r="15" spans="1:31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1</v>
      </c>
      <c r="D15" s="158" t="s">
        <v>103</v>
      </c>
      <c r="E15" s="159">
        <v>25</v>
      </c>
      <c r="F15" s="159">
        <v>35</v>
      </c>
      <c r="G15" s="229" t="str">
        <f>IFERROR(IF((($K$6*2)+($L$6*2))&lt;0,0,($K$6*2)+($L$6*2)),"")</f>
        <v/>
      </c>
      <c r="H15" s="159" t="str">
        <f>IFERROR(IF('BOM_Phan IV'!O13="XK_CHUẨN 1",2*K7,""),"")</f>
        <v/>
      </c>
      <c r="I15" s="158" t="s">
        <v>104</v>
      </c>
      <c r="J15" s="161"/>
      <c r="K15" s="162"/>
      <c r="L15" s="163" t="s">
        <v>105</v>
      </c>
      <c r="M15" s="230" t="str">
        <f>IFERROR(IF('BOM_Phan IV'!O13="XK_CHUẨN 1",G15*H15/2400,""),"")</f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</row>
    <row r="16" spans="1:31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2</v>
      </c>
      <c r="D16" s="158" t="s">
        <v>106</v>
      </c>
      <c r="E16" s="159">
        <v>25</v>
      </c>
      <c r="F16" s="159">
        <v>35</v>
      </c>
      <c r="G16" s="229" t="str">
        <f>IFERROR(IF($M$6-$F$15-$F$15&lt;0,0,$M$6-$F$15-$F$15),"")</f>
        <v/>
      </c>
      <c r="H16" s="159" t="str">
        <f>IFERROR(IF('BOM_Phan IV'!O13="XK_CHUẨN 1",4*K7,""),"")</f>
        <v/>
      </c>
      <c r="I16" s="158" t="s">
        <v>104</v>
      </c>
      <c r="J16" s="161"/>
      <c r="K16" s="162"/>
      <c r="L16" s="163" t="s">
        <v>105</v>
      </c>
      <c r="M16" s="230" t="str">
        <f>IFERROR(IF('BOM_Phan IV'!O13="XK_CHUẨN 1",G16*H16/2400,""),"")</f>
        <v/>
      </c>
      <c r="N16" s="165" t="str">
        <f>IFERROR(IF(ISERR(SEARCH("2d",#REF!)),IF(ISERR(SEARCH("1d",#REF!)),0,1),2)*($G16)*$H16/10^3+IF(ISERR(SEARCH("2n",#REF!)),IF(ISERR(SEARCH("1n",#REF!)),0,1),2)*($F16)*$H16/10^3,"")</f>
        <v/>
      </c>
      <c r="O16" s="165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166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</row>
    <row r="17" spans="1:25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3</v>
      </c>
      <c r="D17" s="158" t="s">
        <v>107</v>
      </c>
      <c r="E17" s="159"/>
      <c r="F17" s="159"/>
      <c r="G17" s="159"/>
      <c r="H17" s="159"/>
      <c r="I17" s="158" t="s">
        <v>108</v>
      </c>
      <c r="J17" s="161"/>
      <c r="K17" s="162"/>
      <c r="L17" s="163" t="s">
        <v>109</v>
      </c>
      <c r="M17" s="230" t="str">
        <f>IF('BOM_Phan IV'!O13="XK_CHUẨN 1",IFERROR(($K$6*$L$6*4+$L$6*$M$6*2)*10^-6*1.3/0.5*$K$7,""),"")</f>
        <v/>
      </c>
      <c r="N17" s="165">
        <f>IF(ISERR(SEARCH("2d",#REF!)),IF(ISERR(SEARCH("1d",#REF!)),0,1),2)*($G17)*$H17/10^3+IF(ISERR(SEARCH("2n",#REF!)),IF(ISERR(SEARCH("1n",#REF!)),0,1),2)*($F17)*$H17/10^3</f>
        <v>0</v>
      </c>
      <c r="O17" s="165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166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</row>
    <row r="18" spans="1:25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4</v>
      </c>
      <c r="D18" s="158" t="s">
        <v>110</v>
      </c>
      <c r="E18" s="159"/>
      <c r="F18" s="159"/>
      <c r="G18" s="159"/>
      <c r="H18" s="159"/>
      <c r="I18" s="158" t="s">
        <v>111</v>
      </c>
      <c r="J18" s="161"/>
      <c r="K18" s="162"/>
      <c r="L18" s="163" t="s">
        <v>109</v>
      </c>
      <c r="M18" s="230" t="str">
        <f>IF('BOM_Phan IV'!O13="XK_CHUẨN 1",IFERROR(($K$6*$L$6*4+$L$6*$M$6*2)*10^-6*1.3/1.2*$K$7,""),"")</f>
        <v/>
      </c>
      <c r="N18" s="165">
        <f>IF(ISERR(SEARCH("2d",#REF!)),IF(ISERR(SEARCH("1d",#REF!)),0,1),2)*($G18)*$H18/10^3+IF(ISERR(SEARCH("2n",#REF!)),IF(ISERR(SEARCH("1n",#REF!)),0,1),2)*($F18)*$H18/10^3</f>
        <v>0</v>
      </c>
      <c r="O18" s="165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166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</row>
    <row r="19" spans="1:25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5</v>
      </c>
      <c r="D19" s="158" t="s">
        <v>112</v>
      </c>
      <c r="E19" s="159"/>
      <c r="F19" s="159"/>
      <c r="G19" s="159"/>
      <c r="H19" s="159"/>
      <c r="I19" s="158" t="s">
        <v>113</v>
      </c>
      <c r="J19" s="161"/>
      <c r="K19" s="162"/>
      <c r="L19" s="163" t="s">
        <v>109</v>
      </c>
      <c r="M19" s="230" t="str">
        <f>IF('BOM_Phan IV'!O13="XK_CHUẨN 1",IFERROR(($K$6*2+$L$6*2+200*16)*10^-3*$K$7,""),"")</f>
        <v/>
      </c>
      <c r="N19" s="165">
        <f>IF(ISERR(SEARCH("2d",#REF!)),IF(ISERR(SEARCH("1d",#REF!)),0,1),2)*($G19)*$H19/10^3+IF(ISERR(SEARCH("2n",#REF!)),IF(ISERR(SEARCH("1n",#REF!)),0,1),2)*($F19)*$H19/10^3</f>
        <v>0</v>
      </c>
      <c r="O19" s="165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166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</row>
    <row r="20" spans="1:25" s="155" customFormat="1" ht="30" hidden="1" customHeight="1">
      <c r="A20" s="141" t="str">
        <f t="shared" si="0"/>
        <v/>
      </c>
      <c r="B20" s="141" t="str">
        <f t="shared" si="1"/>
        <v/>
      </c>
      <c r="C20" s="157" t="str">
        <f>IF(D20="","",IFERROR((IF(LEFT(MID(D20,SEARCH("_",D20)+1,2),1)="0",(MID(D20,SEARCH("_",D20)+2,1)),MID(D20,SEARCH("_",D20)+1,2)))&amp;"."&amp;IF(LEFT(RIGHT(D20,2),1)="0",RIGHT(D20,1),RIGHT(D20,2)),MAX($C$12:$C19)+1))</f>
        <v/>
      </c>
      <c r="D20" s="158"/>
      <c r="E20" s="159"/>
      <c r="F20" s="159"/>
      <c r="G20" s="159"/>
      <c r="H20" s="159"/>
      <c r="I20" s="158"/>
      <c r="J20" s="161"/>
      <c r="K20" s="162"/>
      <c r="L20" s="163" t="str">
        <f t="shared" ref="L20:L51" si="6">IF(I20="","",IF(LEFT(I20,2)="gỗ","m3","Tấm"))</f>
        <v/>
      </c>
      <c r="M20" s="164">
        <f t="shared" ref="M20:M51" si="7">IF(OR(L20="Con",L20="Cụm",L20="Hệ",L20="Thanh"),H20,IF(L20="Tấm",(F20*G20*H20)/(1220*2440),IF(L20="Md",G20*H20/1000,IF(L20="M2",F20*G20*H20/10^6,IF(L20="M3",E20*F20*G20*H20/10^9,0)))))</f>
        <v>0</v>
      </c>
      <c r="N20" s="165">
        <f>IF(ISERR(SEARCH("2d",#REF!)),IF(ISERR(SEARCH("1d",#REF!)),0,1),2)*($G20)*$H20/10^3+IF(ISERR(SEARCH("2n",#REF!)),IF(ISERR(SEARCH("1n",#REF!)),0,1),2)*($F20)*$H20/10^3</f>
        <v>0</v>
      </c>
      <c r="O20" s="165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166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153" t="str">
        <f t="shared" si="3"/>
        <v/>
      </c>
      <c r="R20" s="153" t="str">
        <f t="shared" si="2"/>
        <v/>
      </c>
      <c r="S20" s="154" t="str">
        <f t="shared" si="4"/>
        <v>1000</v>
      </c>
      <c r="T20" s="153" t="str">
        <f>IFERROR(MATCH(#REF!,#REF!,0)&amp;",","")</f>
        <v/>
      </c>
      <c r="U20" s="154"/>
      <c r="Y20" s="155" t="str">
        <f t="shared" si="5"/>
        <v/>
      </c>
    </row>
    <row r="21" spans="1:25" s="155" customFormat="1" ht="30" hidden="1" customHeight="1">
      <c r="A21" s="141" t="str">
        <f t="shared" si="0"/>
        <v/>
      </c>
      <c r="B21" s="141" t="str">
        <f t="shared" si="1"/>
        <v/>
      </c>
      <c r="C21" s="157" t="str">
        <f>IF(D21="","",IFERROR((IF(LEFT(MID(D21,SEARCH("_",D21)+1,2),1)="0",(MID(D21,SEARCH("_",D21)+2,1)),MID(D21,SEARCH("_",D21)+1,2)))&amp;"."&amp;IF(LEFT(RIGHT(D21,2),1)="0",RIGHT(D21,1),RIGHT(D21,2)),MAX($C$12:$C20)+1))</f>
        <v/>
      </c>
      <c r="D21" s="194"/>
      <c r="E21" s="163"/>
      <c r="F21" s="163"/>
      <c r="G21" s="163"/>
      <c r="H21" s="163"/>
      <c r="I21" s="194"/>
      <c r="J21" s="161"/>
      <c r="K21" s="162"/>
      <c r="L21" s="163" t="str">
        <f t="shared" si="6"/>
        <v/>
      </c>
      <c r="M21" s="164">
        <f t="shared" si="7"/>
        <v>0</v>
      </c>
      <c r="N21" s="165">
        <f>IF(ISERR(SEARCH("2d",#REF!)),IF(ISERR(SEARCH("1d",#REF!)),0,1),2)*($G21)*$H21/10^3+IF(ISERR(SEARCH("2n",#REF!)),IF(ISERR(SEARCH("1n",#REF!)),0,1),2)*($F21)*$H21/10^3</f>
        <v>0</v>
      </c>
      <c r="O21" s="165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166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153" t="str">
        <f t="shared" si="3"/>
        <v/>
      </c>
      <c r="R21" s="153" t="str">
        <f t="shared" si="2"/>
        <v/>
      </c>
      <c r="S21" s="154" t="str">
        <f t="shared" si="4"/>
        <v>1000</v>
      </c>
      <c r="T21" s="153" t="str">
        <f>IFERROR(MATCH(#REF!,#REF!,0)&amp;",","")</f>
        <v/>
      </c>
      <c r="U21" s="154"/>
      <c r="Y21" s="155" t="str">
        <f t="shared" si="5"/>
        <v/>
      </c>
    </row>
    <row r="22" spans="1:25" s="155" customFormat="1" ht="30" hidden="1" customHeight="1">
      <c r="A22" s="141" t="str">
        <f t="shared" si="0"/>
        <v/>
      </c>
      <c r="B22" s="141" t="str">
        <f t="shared" si="1"/>
        <v/>
      </c>
      <c r="C22" s="157" t="str">
        <f>IF(D22="","",IFERROR((IF(LEFT(MID(D22,SEARCH("_",D22)+1,2),1)="0",(MID(D22,SEARCH("_",D22)+2,1)),MID(D22,SEARCH("_",D22)+1,2)))&amp;"."&amp;IF(LEFT(RIGHT(D22,2),1)="0",RIGHT(D22,1),RIGHT(D22,2)),MAX($C$12:$C21)+1))</f>
        <v/>
      </c>
      <c r="D22" s="194"/>
      <c r="E22" s="163"/>
      <c r="F22" s="163"/>
      <c r="G22" s="163"/>
      <c r="H22" s="163"/>
      <c r="I22" s="194"/>
      <c r="J22" s="161"/>
      <c r="K22" s="162"/>
      <c r="L22" s="163" t="str">
        <f t="shared" si="6"/>
        <v/>
      </c>
      <c r="M22" s="164">
        <f t="shared" si="7"/>
        <v>0</v>
      </c>
      <c r="N22" s="165">
        <f>IF(ISERR(SEARCH("2d",#REF!)),IF(ISERR(SEARCH("1d",#REF!)),0,1),2)*($G22)*$H22/10^3+IF(ISERR(SEARCH("2n",#REF!)),IF(ISERR(SEARCH("1n",#REF!)),0,1),2)*($F22)*$H22/10^3</f>
        <v>0</v>
      </c>
      <c r="O22" s="165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166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153" t="str">
        <f t="shared" si="3"/>
        <v/>
      </c>
      <c r="R22" s="153" t="str">
        <f t="shared" si="2"/>
        <v/>
      </c>
      <c r="S22" s="154" t="str">
        <f t="shared" si="4"/>
        <v>1000</v>
      </c>
      <c r="T22" s="153" t="str">
        <f>IFERROR(MATCH(#REF!,#REF!,0)&amp;",","")</f>
        <v/>
      </c>
      <c r="U22" s="154"/>
      <c r="Y22" s="155" t="str">
        <f t="shared" si="5"/>
        <v/>
      </c>
    </row>
    <row r="23" spans="1:25" s="155" customFormat="1" ht="30" hidden="1" customHeight="1">
      <c r="A23" s="141" t="str">
        <f t="shared" si="0"/>
        <v/>
      </c>
      <c r="B23" s="141" t="str">
        <f t="shared" si="1"/>
        <v/>
      </c>
      <c r="C23" s="157" t="str">
        <f>IF(D23="","",IFERROR((IF(LEFT(MID(D23,SEARCH("_",D23)+1,2),1)="0",(MID(D23,SEARCH("_",D23)+2,1)),MID(D23,SEARCH("_",D23)+1,2)))&amp;"."&amp;IF(LEFT(RIGHT(D23,2),1)="0",RIGHT(D23,1),RIGHT(D23,2)),MAX($C$12:$C22)+1))</f>
        <v/>
      </c>
      <c r="D23" s="194"/>
      <c r="E23" s="163"/>
      <c r="F23" s="163"/>
      <c r="G23" s="163"/>
      <c r="H23" s="163"/>
      <c r="I23" s="194"/>
      <c r="J23" s="161"/>
      <c r="K23" s="162"/>
      <c r="L23" s="163" t="str">
        <f t="shared" si="6"/>
        <v/>
      </c>
      <c r="M23" s="164">
        <f t="shared" si="7"/>
        <v>0</v>
      </c>
      <c r="N23" s="165">
        <f>IF(ISERR(SEARCH("2d",#REF!)),IF(ISERR(SEARCH("1d",#REF!)),0,1),2)*($G23)*$H23/10^3+IF(ISERR(SEARCH("2n",#REF!)),IF(ISERR(SEARCH("1n",#REF!)),0,1),2)*($F23)*$H23/10^3</f>
        <v>0</v>
      </c>
      <c r="O23" s="165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166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153" t="str">
        <f t="shared" si="3"/>
        <v/>
      </c>
      <c r="R23" s="153" t="str">
        <f t="shared" si="2"/>
        <v/>
      </c>
      <c r="S23" s="154" t="str">
        <f t="shared" si="4"/>
        <v>1000</v>
      </c>
      <c r="T23" s="153" t="str">
        <f>IFERROR(MATCH(#REF!,#REF!,0)&amp;",","")</f>
        <v/>
      </c>
      <c r="U23" s="154"/>
      <c r="Y23" s="155" t="str">
        <f t="shared" si="5"/>
        <v/>
      </c>
    </row>
    <row r="24" spans="1:25" s="155" customFormat="1" ht="30" hidden="1" customHeight="1">
      <c r="A24" s="141" t="str">
        <f t="shared" si="0"/>
        <v/>
      </c>
      <c r="B24" s="141" t="str">
        <f t="shared" si="1"/>
        <v/>
      </c>
      <c r="C24" s="157" t="str">
        <f>IF(D24="","",IFERROR((IF(LEFT(MID(D24,SEARCH("_",D24)+1,2),1)="0",(MID(D24,SEARCH("_",D24)+2,1)),MID(D24,SEARCH("_",D24)+1,2)))&amp;"."&amp;IF(LEFT(RIGHT(D24,2),1)="0",RIGHT(D24,1),RIGHT(D24,2)),MAX($C$12:$C23)+1))</f>
        <v/>
      </c>
      <c r="D24" s="158"/>
      <c r="E24" s="159"/>
      <c r="F24" s="159"/>
      <c r="G24" s="159"/>
      <c r="H24" s="159"/>
      <c r="I24" s="158"/>
      <c r="J24" s="161"/>
      <c r="K24" s="162"/>
      <c r="L24" s="163" t="str">
        <f t="shared" si="6"/>
        <v/>
      </c>
      <c r="M24" s="164">
        <f t="shared" si="7"/>
        <v>0</v>
      </c>
      <c r="N24" s="165">
        <f>IF(ISERR(SEARCH("2d",#REF!)),IF(ISERR(SEARCH("1d",#REF!)),0,1),2)*($G24)*$H24/10^3+IF(ISERR(SEARCH("2n",#REF!)),IF(ISERR(SEARCH("1n",#REF!)),0,1),2)*($F24)*$H24/10^3</f>
        <v>0</v>
      </c>
      <c r="O24" s="165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166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153" t="str">
        <f t="shared" si="3"/>
        <v/>
      </c>
      <c r="R24" s="153" t="str">
        <f t="shared" si="2"/>
        <v/>
      </c>
      <c r="S24" s="154" t="str">
        <f t="shared" si="4"/>
        <v>1000</v>
      </c>
      <c r="T24" s="153" t="str">
        <f>IFERROR(MATCH(#REF!,#REF!,0)&amp;",","")</f>
        <v/>
      </c>
      <c r="U24" s="154"/>
      <c r="Y24" s="155" t="str">
        <f t="shared" si="5"/>
        <v/>
      </c>
    </row>
    <row r="25" spans="1:25" s="155" customFormat="1" ht="30" hidden="1" customHeight="1">
      <c r="A25" s="141" t="str">
        <f t="shared" si="0"/>
        <v/>
      </c>
      <c r="B25" s="141" t="str">
        <f t="shared" si="1"/>
        <v/>
      </c>
      <c r="C25" s="157" t="str">
        <f>IF(D25="","",IFERROR((IF(LEFT(MID(D25,SEARCH("_",D25)+1,2),1)="0",(MID(D25,SEARCH("_",D25)+2,1)),MID(D25,SEARCH("_",D25)+1,2)))&amp;"."&amp;IF(LEFT(RIGHT(D25,2),1)="0",RIGHT(D25,1),RIGHT(D25,2)),MAX($C$12:$C24)+1))</f>
        <v/>
      </c>
      <c r="D25" s="158"/>
      <c r="E25" s="159"/>
      <c r="F25" s="159"/>
      <c r="G25" s="159"/>
      <c r="H25" s="159"/>
      <c r="I25" s="158"/>
      <c r="J25" s="161"/>
      <c r="K25" s="162"/>
      <c r="L25" s="163" t="str">
        <f t="shared" si="6"/>
        <v/>
      </c>
      <c r="M25" s="164">
        <f t="shared" si="7"/>
        <v>0</v>
      </c>
      <c r="N25" s="165">
        <f>IF(ISERR(SEARCH("2d",#REF!)),IF(ISERR(SEARCH("1d",#REF!)),0,1),2)*($G25)*$H25/10^3+IF(ISERR(SEARCH("2n",#REF!)),IF(ISERR(SEARCH("1n",#REF!)),0,1),2)*($F25)*$H25/10^3</f>
        <v>0</v>
      </c>
      <c r="O25" s="165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166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153" t="str">
        <f t="shared" si="3"/>
        <v/>
      </c>
      <c r="R25" s="153" t="str">
        <f t="shared" si="2"/>
        <v/>
      </c>
      <c r="S25" s="154" t="str">
        <f t="shared" si="4"/>
        <v>1000</v>
      </c>
      <c r="T25" s="153" t="str">
        <f>IFERROR(MATCH(#REF!,#REF!,0)&amp;",","")</f>
        <v/>
      </c>
      <c r="U25" s="154"/>
      <c r="Y25" s="155" t="str">
        <f t="shared" si="5"/>
        <v/>
      </c>
    </row>
    <row r="26" spans="1:25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si="6"/>
        <v/>
      </c>
      <c r="M26" s="164">
        <f t="shared" si="7"/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25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6"/>
        <v/>
      </c>
      <c r="M27" s="164">
        <f t="shared" si="7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25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6"/>
        <v/>
      </c>
      <c r="M28" s="164">
        <f t="shared" si="7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25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6"/>
        <v/>
      </c>
      <c r="M29" s="164">
        <f t="shared" si="7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25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6"/>
        <v/>
      </c>
      <c r="M30" s="164">
        <f t="shared" si="7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25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6"/>
        <v/>
      </c>
      <c r="M31" s="164">
        <f t="shared" si="7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25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6"/>
        <v/>
      </c>
      <c r="M32" s="164">
        <f t="shared" si="7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6"/>
        <v/>
      </c>
      <c r="M33" s="164">
        <f t="shared" si="7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 t="str">
        <f t="shared" si="6"/>
        <v/>
      </c>
      <c r="M34" s="164">
        <f t="shared" si="7"/>
        <v>0</v>
      </c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si="6"/>
        <v/>
      </c>
      <c r="M35" s="164">
        <f t="shared" si="7"/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6"/>
        <v/>
      </c>
      <c r="M36" s="164">
        <f t="shared" si="7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6"/>
        <v/>
      </c>
      <c r="M37" s="164">
        <f t="shared" si="7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6"/>
        <v/>
      </c>
      <c r="M38" s="164">
        <f t="shared" si="7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6"/>
        <v/>
      </c>
      <c r="M39" s="164">
        <f t="shared" si="7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6"/>
        <v/>
      </c>
      <c r="M40" s="164">
        <f t="shared" si="7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6"/>
        <v/>
      </c>
      <c r="M41" s="164">
        <f t="shared" si="7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6"/>
        <v/>
      </c>
      <c r="M42" s="164">
        <f t="shared" si="7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6"/>
        <v/>
      </c>
      <c r="M43" s="164">
        <f t="shared" si="7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ref="A44:A75" si="8">IF(R44="IN",$E$6,"")</f>
        <v/>
      </c>
      <c r="B44" s="141" t="str">
        <f t="shared" ref="B44:B77" si="9">IF(R44="IN","Muc "&amp;$E$7,"")</f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6"/>
        <v/>
      </c>
      <c r="M44" s="164">
        <f t="shared" si="7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ref="R44:R77" si="10">IF(OR(C44&lt;&gt;"",D44&lt;&gt;""),"IN","")</f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8"/>
        <v/>
      </c>
      <c r="B45" s="141" t="str">
        <f t="shared" si="9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6"/>
        <v/>
      </c>
      <c r="M45" s="164">
        <f t="shared" si="7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10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ref="Y45:Y76" si="11">IF(C45&lt;&gt;"",1,"")</f>
        <v/>
      </c>
    </row>
    <row r="46" spans="1:25" s="155" customFormat="1" ht="30" hidden="1" customHeight="1">
      <c r="A46" s="141" t="str">
        <f t="shared" si="8"/>
        <v/>
      </c>
      <c r="B46" s="141" t="str">
        <f t="shared" si="9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6"/>
        <v/>
      </c>
      <c r="M46" s="164">
        <f t="shared" si="7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10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11"/>
        <v/>
      </c>
    </row>
    <row r="47" spans="1:25" s="155" customFormat="1" ht="30" hidden="1" customHeight="1">
      <c r="A47" s="141" t="str">
        <f t="shared" si="8"/>
        <v/>
      </c>
      <c r="B47" s="141" t="str">
        <f t="shared" si="9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6"/>
        <v/>
      </c>
      <c r="M47" s="164">
        <f t="shared" si="7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10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11"/>
        <v/>
      </c>
    </row>
    <row r="48" spans="1:25" s="155" customFormat="1" ht="30" hidden="1" customHeight="1">
      <c r="A48" s="141" t="str">
        <f t="shared" si="8"/>
        <v/>
      </c>
      <c r="B48" s="141" t="str">
        <f t="shared" si="9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6"/>
        <v/>
      </c>
      <c r="M48" s="164">
        <f t="shared" si="7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10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11"/>
        <v/>
      </c>
    </row>
    <row r="49" spans="1:25" s="155" customFormat="1" ht="30" hidden="1" customHeight="1">
      <c r="A49" s="141" t="str">
        <f t="shared" si="8"/>
        <v/>
      </c>
      <c r="B49" s="141" t="str">
        <f t="shared" si="9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6"/>
        <v/>
      </c>
      <c r="M49" s="164">
        <f t="shared" si="7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10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11"/>
        <v/>
      </c>
    </row>
    <row r="50" spans="1:25" s="155" customFormat="1" ht="30" hidden="1" customHeight="1">
      <c r="A50" s="141" t="str">
        <f t="shared" si="8"/>
        <v/>
      </c>
      <c r="B50" s="141" t="str">
        <f t="shared" si="9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6"/>
        <v/>
      </c>
      <c r="M50" s="164">
        <f t="shared" si="7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10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11"/>
        <v/>
      </c>
    </row>
    <row r="51" spans="1:25" s="155" customFormat="1" ht="30" hidden="1" customHeight="1">
      <c r="A51" s="141" t="str">
        <f t="shared" si="8"/>
        <v/>
      </c>
      <c r="B51" s="141" t="str">
        <f t="shared" si="9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6"/>
        <v/>
      </c>
      <c r="M51" s="164">
        <f t="shared" si="7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10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11"/>
        <v/>
      </c>
    </row>
    <row r="52" spans="1:25" s="155" customFormat="1" ht="30" hidden="1" customHeight="1">
      <c r="A52" s="141" t="str">
        <f t="shared" si="8"/>
        <v/>
      </c>
      <c r="B52" s="141" t="str">
        <f t="shared" si="9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ref="L52:L76" si="12">IF(I52="","",IF(LEFT(I52,2)="gỗ","m3","Tấm"))</f>
        <v/>
      </c>
      <c r="M52" s="164">
        <f t="shared" ref="M52:M76" si="13">IF(OR(L52="Con",L52="Cụm",L52="Hệ",L52="Thanh"),H52,IF(L52="Tấm",(F52*G52*H52)/(1220*2440),IF(L52="Md",G52*H52/1000,IF(L52="M2",F52*G52*H52/10^6,IF(L52="M3",E52*F52*G52*H52/10^9,0)))))</f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10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11"/>
        <v/>
      </c>
    </row>
    <row r="53" spans="1:25" s="155" customFormat="1" ht="30" hidden="1" customHeight="1">
      <c r="A53" s="141" t="str">
        <f t="shared" si="8"/>
        <v/>
      </c>
      <c r="B53" s="141" t="str">
        <f t="shared" si="9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12"/>
        <v/>
      </c>
      <c r="M53" s="164">
        <f t="shared" si="13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10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11"/>
        <v/>
      </c>
    </row>
    <row r="54" spans="1:25" s="155" customFormat="1" ht="30" hidden="1" customHeight="1">
      <c r="A54" s="141" t="str">
        <f t="shared" si="8"/>
        <v/>
      </c>
      <c r="B54" s="141" t="str">
        <f t="shared" si="9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12"/>
        <v/>
      </c>
      <c r="M54" s="164">
        <f t="shared" si="13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10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11"/>
        <v/>
      </c>
    </row>
    <row r="55" spans="1:25" s="155" customFormat="1" ht="30" hidden="1" customHeight="1">
      <c r="A55" s="141" t="str">
        <f t="shared" si="8"/>
        <v/>
      </c>
      <c r="B55" s="141" t="str">
        <f t="shared" si="9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12"/>
        <v/>
      </c>
      <c r="M55" s="164">
        <f t="shared" si="13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10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11"/>
        <v/>
      </c>
    </row>
    <row r="56" spans="1:25" s="155" customFormat="1" ht="30" hidden="1" customHeight="1">
      <c r="A56" s="141" t="str">
        <f t="shared" si="8"/>
        <v/>
      </c>
      <c r="B56" s="141" t="str">
        <f t="shared" si="9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12"/>
        <v/>
      </c>
      <c r="M56" s="164">
        <f t="shared" si="13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10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11"/>
        <v/>
      </c>
    </row>
    <row r="57" spans="1:25" s="155" customFormat="1" ht="30" hidden="1" customHeight="1">
      <c r="A57" s="141" t="str">
        <f t="shared" si="8"/>
        <v/>
      </c>
      <c r="B57" s="141" t="str">
        <f t="shared" si="9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12"/>
        <v/>
      </c>
      <c r="M57" s="164">
        <f t="shared" si="13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10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11"/>
        <v/>
      </c>
    </row>
    <row r="58" spans="1:25" s="155" customFormat="1" ht="30" hidden="1" customHeight="1">
      <c r="A58" s="141" t="str">
        <f t="shared" si="8"/>
        <v/>
      </c>
      <c r="B58" s="141" t="str">
        <f t="shared" si="9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12"/>
        <v/>
      </c>
      <c r="M58" s="164">
        <f t="shared" si="13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10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11"/>
        <v/>
      </c>
    </row>
    <row r="59" spans="1:25" s="155" customFormat="1" ht="30" hidden="1" customHeight="1">
      <c r="A59" s="141" t="str">
        <f t="shared" si="8"/>
        <v/>
      </c>
      <c r="B59" s="141" t="str">
        <f t="shared" si="9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12"/>
        <v/>
      </c>
      <c r="M59" s="164">
        <f t="shared" si="13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10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11"/>
        <v/>
      </c>
    </row>
    <row r="60" spans="1:25" s="155" customFormat="1" ht="30" hidden="1" customHeight="1">
      <c r="A60" s="141" t="str">
        <f t="shared" si="8"/>
        <v/>
      </c>
      <c r="B60" s="141" t="str">
        <f t="shared" si="9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12"/>
        <v/>
      </c>
      <c r="M60" s="164">
        <f t="shared" si="13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10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11"/>
        <v/>
      </c>
    </row>
    <row r="61" spans="1:25" s="155" customFormat="1" ht="30" hidden="1" customHeight="1">
      <c r="A61" s="141" t="str">
        <f t="shared" si="8"/>
        <v/>
      </c>
      <c r="B61" s="141" t="str">
        <f t="shared" si="9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12"/>
        <v/>
      </c>
      <c r="M61" s="164">
        <f t="shared" si="13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10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11"/>
        <v/>
      </c>
    </row>
    <row r="62" spans="1:25" s="155" customFormat="1" ht="30" hidden="1" customHeight="1">
      <c r="A62" s="141" t="str">
        <f t="shared" si="8"/>
        <v/>
      </c>
      <c r="B62" s="141" t="str">
        <f t="shared" si="9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12"/>
        <v/>
      </c>
      <c r="M62" s="164">
        <f t="shared" si="13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10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11"/>
        <v/>
      </c>
    </row>
    <row r="63" spans="1:25" s="155" customFormat="1" ht="30" hidden="1" customHeight="1">
      <c r="A63" s="141" t="str">
        <f t="shared" si="8"/>
        <v/>
      </c>
      <c r="B63" s="141" t="str">
        <f t="shared" si="9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12"/>
        <v/>
      </c>
      <c r="M63" s="164">
        <f t="shared" si="13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10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11"/>
        <v/>
      </c>
    </row>
    <row r="64" spans="1:25" s="155" customFormat="1" ht="30" hidden="1" customHeight="1">
      <c r="A64" s="141" t="str">
        <f t="shared" si="8"/>
        <v/>
      </c>
      <c r="B64" s="141" t="str">
        <f t="shared" si="9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12"/>
        <v/>
      </c>
      <c r="M64" s="164">
        <f t="shared" si="13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10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11"/>
        <v/>
      </c>
    </row>
    <row r="65" spans="1:25" s="155" customFormat="1" ht="30" hidden="1" customHeight="1">
      <c r="A65" s="141" t="str">
        <f t="shared" si="8"/>
        <v/>
      </c>
      <c r="B65" s="141" t="str">
        <f t="shared" si="9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12"/>
        <v/>
      </c>
      <c r="M65" s="164">
        <f t="shared" si="13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10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11"/>
        <v/>
      </c>
    </row>
    <row r="66" spans="1:25" s="155" customFormat="1" ht="30" hidden="1" customHeight="1">
      <c r="A66" s="141" t="str">
        <f t="shared" si="8"/>
        <v/>
      </c>
      <c r="B66" s="141" t="str">
        <f t="shared" si="9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12"/>
        <v/>
      </c>
      <c r="M66" s="164">
        <f t="shared" si="13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10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11"/>
        <v/>
      </c>
    </row>
    <row r="67" spans="1:25" s="155" customFormat="1" ht="30" hidden="1" customHeight="1">
      <c r="A67" s="141" t="str">
        <f t="shared" si="8"/>
        <v/>
      </c>
      <c r="B67" s="141" t="str">
        <f t="shared" si="9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12"/>
        <v/>
      </c>
      <c r="M67" s="164">
        <f t="shared" si="13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10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11"/>
        <v/>
      </c>
    </row>
    <row r="68" spans="1:25" s="155" customFormat="1" ht="30" hidden="1" customHeight="1">
      <c r="A68" s="141" t="str">
        <f t="shared" si="8"/>
        <v/>
      </c>
      <c r="B68" s="141" t="str">
        <f t="shared" si="9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12"/>
        <v/>
      </c>
      <c r="M68" s="164">
        <f t="shared" si="13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10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11"/>
        <v/>
      </c>
    </row>
    <row r="69" spans="1:25" s="155" customFormat="1" ht="30" hidden="1" customHeight="1">
      <c r="A69" s="141" t="str">
        <f t="shared" si="8"/>
        <v/>
      </c>
      <c r="B69" s="141" t="str">
        <f t="shared" si="9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12"/>
        <v/>
      </c>
      <c r="M69" s="164">
        <f t="shared" si="13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10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11"/>
        <v/>
      </c>
    </row>
    <row r="70" spans="1:25" s="155" customFormat="1" ht="30" hidden="1" customHeight="1">
      <c r="A70" s="141" t="str">
        <f t="shared" si="8"/>
        <v/>
      </c>
      <c r="B70" s="141" t="str">
        <f t="shared" si="9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12"/>
        <v/>
      </c>
      <c r="M70" s="164">
        <f t="shared" si="13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10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11"/>
        <v/>
      </c>
    </row>
    <row r="71" spans="1:25" s="155" customFormat="1" ht="30" hidden="1" customHeight="1">
      <c r="A71" s="141" t="str">
        <f t="shared" si="8"/>
        <v/>
      </c>
      <c r="B71" s="141" t="str">
        <f t="shared" si="9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12"/>
        <v/>
      </c>
      <c r="M71" s="164">
        <f t="shared" si="13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10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11"/>
        <v/>
      </c>
    </row>
    <row r="72" spans="1:25" s="155" customFormat="1" ht="30" hidden="1" customHeight="1">
      <c r="A72" s="141" t="str">
        <f t="shared" si="8"/>
        <v/>
      </c>
      <c r="B72" s="141" t="str">
        <f t="shared" si="9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12"/>
        <v/>
      </c>
      <c r="M72" s="164">
        <f t="shared" si="13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10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11"/>
        <v/>
      </c>
    </row>
    <row r="73" spans="1:25" s="155" customFormat="1" ht="30" hidden="1" customHeight="1">
      <c r="A73" s="141" t="str">
        <f t="shared" si="8"/>
        <v/>
      </c>
      <c r="B73" s="141" t="str">
        <f t="shared" si="9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12"/>
        <v/>
      </c>
      <c r="M73" s="164">
        <f t="shared" si="13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10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11"/>
        <v/>
      </c>
    </row>
    <row r="74" spans="1:25" s="155" customFormat="1" ht="30" hidden="1" customHeight="1">
      <c r="A74" s="141" t="str">
        <f t="shared" si="8"/>
        <v/>
      </c>
      <c r="B74" s="141" t="str">
        <f t="shared" si="9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12"/>
        <v/>
      </c>
      <c r="M74" s="164">
        <f t="shared" si="13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10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11"/>
        <v/>
      </c>
    </row>
    <row r="75" spans="1:25" s="155" customFormat="1" ht="30" hidden="1" customHeight="1">
      <c r="A75" s="141" t="str">
        <f t="shared" si="8"/>
        <v/>
      </c>
      <c r="B75" s="141" t="str">
        <f t="shared" si="9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12"/>
        <v/>
      </c>
      <c r="M75" s="164">
        <f t="shared" si="13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10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11"/>
        <v/>
      </c>
    </row>
    <row r="76" spans="1:25" s="155" customFormat="1" ht="30" hidden="1" customHeight="1">
      <c r="A76" s="141" t="str">
        <f t="shared" ref="A76:A77" si="14">IF(R76="IN",$E$6,"")</f>
        <v/>
      </c>
      <c r="B76" s="141" t="str">
        <f t="shared" si="9"/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12"/>
        <v/>
      </c>
      <c r="M76" s="164">
        <f t="shared" si="13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si="10"/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11"/>
        <v/>
      </c>
    </row>
    <row r="77" spans="1:25" s="155" customFormat="1" ht="30" customHeight="1" thickBot="1">
      <c r="A77" s="141" t="str">
        <f t="shared" si="14"/>
        <v>DC113B(EI60)</v>
      </c>
      <c r="B77" s="141" t="str">
        <f t="shared" si="9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0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M10:M11"/>
    <mergeCell ref="N10:N11"/>
    <mergeCell ref="O10:P10"/>
    <mergeCell ref="Q10:Q11"/>
    <mergeCell ref="N88:P88"/>
    <mergeCell ref="I10:I11"/>
    <mergeCell ref="J10:J11"/>
    <mergeCell ref="K10:K11"/>
    <mergeCell ref="L10:L11"/>
    <mergeCell ref="A10:A11"/>
    <mergeCell ref="B10:B11"/>
    <mergeCell ref="C10:C11"/>
    <mergeCell ref="D10:D11"/>
    <mergeCell ref="E10:G10"/>
    <mergeCell ref="H10:H11"/>
    <mergeCell ref="C1:E3"/>
    <mergeCell ref="F1:J3"/>
    <mergeCell ref="L1:P1"/>
    <mergeCell ref="L2:P2"/>
    <mergeCell ref="L3:P3"/>
  </mergeCells>
  <conditionalFormatting sqref="C13:P76">
    <cfRule type="expression" dxfId="52" priority="6">
      <formula>$S12&gt;999</formula>
    </cfRule>
  </conditionalFormatting>
  <conditionalFormatting sqref="K13:L14 K20:L76">
    <cfRule type="expression" dxfId="51" priority="10">
      <formula>K13="LỖI DỮ LIỆU"</formula>
    </cfRule>
  </conditionalFormatting>
  <conditionalFormatting sqref="K13:P76">
    <cfRule type="cellIs" dxfId="50" priority="8" operator="equal">
      <formula>0</formula>
    </cfRule>
  </conditionalFormatting>
  <conditionalFormatting sqref="M13:M76">
    <cfRule type="cellIs" dxfId="49" priority="7" operator="equal">
      <formula>0</formula>
    </cfRule>
    <cfRule type="cellIs" dxfId="48" priority="9" operator="equal">
      <formula>0</formula>
    </cfRule>
  </conditionalFormatting>
  <conditionalFormatting sqref="K17:L19">
    <cfRule type="expression" dxfId="47" priority="2">
      <formula>K17="LỖI DỮ LIỆU"</formula>
    </cfRule>
  </conditionalFormatting>
  <conditionalFormatting sqref="K15:L16">
    <cfRule type="expression" dxfId="46" priority="1">
      <formula>K15="LỖI DỮ LIỆU"</formula>
    </cfRule>
  </conditionalFormatting>
  <dataValidations disablePrompts="1" count="3">
    <dataValidation type="list" allowBlank="1" showInputMessage="1" showErrorMessage="1" sqref="K84" xr:uid="{010F2C63-673C-4D18-8F91-9B6F0518CFD9}">
      <formula1>$AA$2:$AA$7</formula1>
    </dataValidation>
    <dataValidation type="list" allowBlank="1" showInputMessage="1" showErrorMessage="1" sqref="L77" xr:uid="{3309AFBF-40BE-41C0-8B1F-1F74423C5134}">
      <formula1>$Z$2:$Z$9</formula1>
    </dataValidation>
    <dataValidation type="list" allowBlank="1" showInputMessage="1" showErrorMessage="1" sqref="G84" xr:uid="{C616DC02-DFB3-4EEF-9912-7F54E1DFFF0A}">
      <formula1>$AB$2:$AB$3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E79B0-76C2-49F7-978E-3A79F7EA3B37}">
  <sheetPr codeName="Sheet6" filterMode="1">
    <tabColor rgb="FFFFFF00"/>
  </sheetPr>
  <dimension ref="A1:AE88"/>
  <sheetViews>
    <sheetView view="pageBreakPreview" zoomScale="70" zoomScaleNormal="70" zoomScaleSheetLayoutView="70" workbookViewId="0">
      <pane ySplit="11" topLeftCell="A12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16384" width="4.85546875" style="3"/>
  </cols>
  <sheetData>
    <row r="1" spans="1:31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1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1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1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1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1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IV'!T13=2,AVERAGE('BOM_Phan IV'!M13:M835),""),"")</f>
        <v/>
      </c>
      <c r="L6" s="228" t="str">
        <f>IFERROR(IF('BOM_Phan IV'!T13=2,AVERAGE('BOM_Phan IV'!L13:L512),""),"")</f>
        <v/>
      </c>
      <c r="M6" s="228" t="str">
        <f>IFERROR(IF('BOM_Phan IV'!T13=2,AVERAGE('BOM_Phan IV'!K13:K512),""),"")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1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IV'!N13:N835),"")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1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1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1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1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1" s="155" customFormat="1" ht="30" customHeight="1">
      <c r="A12" s="141" t="str">
        <f t="shared" ref="A12:A43" si="0">IF(R12="IN",$E$6,"")</f>
        <v>DC113B(EI60)</v>
      </c>
      <c r="B12" s="141" t="str">
        <f t="shared" ref="B12:B43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43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1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44" si="5">IF(C13&lt;&gt;"",1,"")</f>
        <v/>
      </c>
    </row>
    <row r="14" spans="1:31" s="155" customFormat="1" ht="30" hidden="1" customHeight="1">
      <c r="A14" s="141" t="str">
        <f t="shared" si="0"/>
        <v/>
      </c>
      <c r="B14" s="141" t="str">
        <f t="shared" si="1"/>
        <v/>
      </c>
      <c r="C14" s="157" t="str">
        <f>IF(D14="","",IFERROR((IF(LEFT(MID(D14,SEARCH("_",D14)+1,2),1)="0",(MID(D14,SEARCH("_",D14)+2,1)),MID(D14,SEARCH("_",D14)+1,2)))&amp;"."&amp;IF(LEFT(RIGHT(D14,2),1)="0",RIGHT(D14,1),RIGHT(D14,2)),MAX($C$12:$C13)+1))</f>
        <v/>
      </c>
      <c r="D14" s="158"/>
      <c r="E14" s="159"/>
      <c r="F14" s="159"/>
      <c r="G14" s="159"/>
      <c r="H14" s="159"/>
      <c r="I14" s="158"/>
      <c r="J14" s="161"/>
      <c r="K14" s="162"/>
      <c r="L14" s="163" t="str">
        <f>IF(I14="","",IF(LEFT(I14,2)="gỗ","m3","Tấm"))</f>
        <v/>
      </c>
      <c r="M14" s="164">
        <f>IF(OR(L14="Con",L14="Cụm",L14="Hệ",L14="Thanh"),H14,IF(L14="Tấm",(F14*G14*H14)/(1220*2440),IF(L14="Md",G14*H14/1000,IF(L14="M2",F14*G14*H14/10^6,IF(L14="M3",E14*F14*G14*H14/10^9,0)))))</f>
        <v>0</v>
      </c>
      <c r="N14" s="165">
        <f>IF(ISERR(SEARCH("2d",#REF!)),IF(ISERR(SEARCH("1d",#REF!)),0,1),2)*($G14)*$H14/10^3+IF(ISERR(SEARCH("2n",#REF!)),IF(ISERR(SEARCH("1n",#REF!)),0,1),2)*($F14)*$H14/10^3</f>
        <v>0</v>
      </c>
      <c r="O14" s="165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0</v>
      </c>
      <c r="P14" s="166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0</v>
      </c>
      <c r="Q14" s="153" t="str">
        <f t="shared" si="3"/>
        <v/>
      </c>
      <c r="R14" s="153" t="str">
        <f t="shared" si="2"/>
        <v/>
      </c>
      <c r="S14" s="154" t="str">
        <f t="shared" si="4"/>
        <v>1000</v>
      </c>
      <c r="T14" s="153" t="str">
        <f>IFERROR(MATCH(#REF!,#REF!,0)&amp;",","")</f>
        <v/>
      </c>
      <c r="U14" s="154"/>
      <c r="Y14" s="155" t="str">
        <f t="shared" si="5"/>
        <v/>
      </c>
    </row>
    <row r="15" spans="1:31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1</v>
      </c>
      <c r="D15" s="158" t="s">
        <v>103</v>
      </c>
      <c r="E15" s="159">
        <v>25</v>
      </c>
      <c r="F15" s="159">
        <v>35</v>
      </c>
      <c r="G15" s="229" t="str">
        <f>IFERROR(IF((($K$6*2)+($L$6*2))&lt;0,0,($K$6*2)+($L$6*2)),"")</f>
        <v/>
      </c>
      <c r="H15" s="159" t="str">
        <f>IFERROR(IF('BOM_Phan IV'!O13="XK_CHUẨN 2",2*K7,""),"")</f>
        <v/>
      </c>
      <c r="I15" s="158" t="s">
        <v>104</v>
      </c>
      <c r="J15" s="161"/>
      <c r="K15" s="162"/>
      <c r="L15" s="163" t="s">
        <v>105</v>
      </c>
      <c r="M15" s="230" t="str">
        <f>IFERROR(IF('BOM_Phan IV'!O13="XK_CHUẨN 2",G15*H15/2400,""),"")</f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</row>
    <row r="16" spans="1:31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2</v>
      </c>
      <c r="D16" s="158" t="s">
        <v>106</v>
      </c>
      <c r="E16" s="159">
        <v>25</v>
      </c>
      <c r="F16" s="159">
        <v>35</v>
      </c>
      <c r="G16" s="229" t="str">
        <f>IFERROR(IF($M$6-$F$15-$F$15&lt;0,0,$M$6-$F$15-$F$15),"")</f>
        <v/>
      </c>
      <c r="H16" s="159" t="str">
        <f>IFERROR(IF('BOM_Phan IV'!O13="XK_CHUẨN 2",4*K7,""),"")</f>
        <v/>
      </c>
      <c r="I16" s="158" t="s">
        <v>104</v>
      </c>
      <c r="J16" s="161"/>
      <c r="K16" s="162"/>
      <c r="L16" s="163" t="s">
        <v>105</v>
      </c>
      <c r="M16" s="230" t="str">
        <f>IFERROR(IF('BOM_Phan IV'!O13="XK_CHUẨN 2",G16*H16/2400,""),"")</f>
        <v/>
      </c>
      <c r="N16" s="165" t="str">
        <f>IFERROR(IF(ISERR(SEARCH("2d",#REF!)),IF(ISERR(SEARCH("1d",#REF!)),0,1),2)*($G16)*$H16/10^3+IF(ISERR(SEARCH("2n",#REF!)),IF(ISERR(SEARCH("1n",#REF!)),0,1),2)*($F16)*$H16/10^3,"")</f>
        <v/>
      </c>
      <c r="O16" s="165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166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</row>
    <row r="17" spans="1:25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3</v>
      </c>
      <c r="D17" s="158" t="s">
        <v>107</v>
      </c>
      <c r="E17" s="159"/>
      <c r="F17" s="159"/>
      <c r="G17" s="159"/>
      <c r="H17" s="159"/>
      <c r="I17" s="158" t="s">
        <v>108</v>
      </c>
      <c r="J17" s="161"/>
      <c r="K17" s="162"/>
      <c r="L17" s="163" t="s">
        <v>109</v>
      </c>
      <c r="M17" s="230" t="str">
        <f>IFERROR(($K$6*$L$6*4+$L$6*$M$6*2)*10^-6*1.3/0.5*$K$7,"")</f>
        <v/>
      </c>
      <c r="N17" s="165">
        <f>IF(ISERR(SEARCH("2d",#REF!)),IF(ISERR(SEARCH("1d",#REF!)),0,1),2)*($G17)*$H17/10^3+IF(ISERR(SEARCH("2n",#REF!)),IF(ISERR(SEARCH("1n",#REF!)),0,1),2)*($F17)*$H17/10^3</f>
        <v>0</v>
      </c>
      <c r="O17" s="165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166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</row>
    <row r="18" spans="1:25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4</v>
      </c>
      <c r="D18" s="158" t="s">
        <v>110</v>
      </c>
      <c r="E18" s="159"/>
      <c r="F18" s="159"/>
      <c r="G18" s="159"/>
      <c r="H18" s="159"/>
      <c r="I18" s="158" t="s">
        <v>111</v>
      </c>
      <c r="J18" s="161"/>
      <c r="K18" s="162"/>
      <c r="L18" s="163" t="s">
        <v>109</v>
      </c>
      <c r="M18" s="230" t="str">
        <f>IFERROR(($K$6*$L$6*4+$L$6*$M$6*2)*10^-6*1.3/1.2*$K$7,"")</f>
        <v/>
      </c>
      <c r="N18" s="165">
        <f>IF(ISERR(SEARCH("2d",#REF!)),IF(ISERR(SEARCH("1d",#REF!)),0,1),2)*($G18)*$H18/10^3+IF(ISERR(SEARCH("2n",#REF!)),IF(ISERR(SEARCH("1n",#REF!)),0,1),2)*($F18)*$H18/10^3</f>
        <v>0</v>
      </c>
      <c r="O18" s="165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166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</row>
    <row r="19" spans="1:25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5</v>
      </c>
      <c r="D19" s="158" t="s">
        <v>112</v>
      </c>
      <c r="E19" s="159"/>
      <c r="F19" s="159"/>
      <c r="G19" s="159"/>
      <c r="H19" s="159"/>
      <c r="I19" s="158" t="s">
        <v>113</v>
      </c>
      <c r="J19" s="161"/>
      <c r="K19" s="162"/>
      <c r="L19" s="163" t="s">
        <v>109</v>
      </c>
      <c r="M19" s="230" t="str">
        <f>IFERROR(($K$6*2+$L$6*2+200*16)*10^-3*$K$7,"")</f>
        <v/>
      </c>
      <c r="N19" s="165">
        <f>IF(ISERR(SEARCH("2d",#REF!)),IF(ISERR(SEARCH("1d",#REF!)),0,1),2)*($G19)*$H19/10^3+IF(ISERR(SEARCH("2n",#REF!)),IF(ISERR(SEARCH("1n",#REF!)),0,1),2)*($F19)*$H19/10^3</f>
        <v>0</v>
      </c>
      <c r="O19" s="165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166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</row>
    <row r="20" spans="1:25" s="155" customFormat="1" ht="30" hidden="1" customHeight="1">
      <c r="A20" s="141" t="str">
        <f t="shared" si="0"/>
        <v/>
      </c>
      <c r="B20" s="141" t="str">
        <f t="shared" si="1"/>
        <v/>
      </c>
      <c r="C20" s="157" t="str">
        <f>IF(D20="","",IFERROR((IF(LEFT(MID(D20,SEARCH("_",D20)+1,2),1)="0",(MID(D20,SEARCH("_",D20)+2,1)),MID(D20,SEARCH("_",D20)+1,2)))&amp;"."&amp;IF(LEFT(RIGHT(D20,2),1)="0",RIGHT(D20,1),RIGHT(D20,2)),MAX($C$12:$C19)+1))</f>
        <v/>
      </c>
      <c r="D20" s="158"/>
      <c r="E20" s="159"/>
      <c r="F20" s="159"/>
      <c r="G20" s="159"/>
      <c r="H20" s="159"/>
      <c r="I20" s="158"/>
      <c r="J20" s="161"/>
      <c r="K20" s="162"/>
      <c r="L20" s="163" t="str">
        <f t="shared" ref="L20:L51" si="6">IF(I20="","",IF(LEFT(I20,2)="gỗ","m3","Tấm"))</f>
        <v/>
      </c>
      <c r="M20" s="164">
        <f t="shared" ref="M20:M51" si="7">IF(OR(L20="Con",L20="Cụm",L20="Hệ",L20="Thanh"),H20,IF(L20="Tấm",(F20*G20*H20)/(1220*2440),IF(L20="Md",G20*H20/1000,IF(L20="M2",F20*G20*H20/10^6,IF(L20="M3",E20*F20*G20*H20/10^9,0)))))</f>
        <v>0</v>
      </c>
      <c r="N20" s="165">
        <f>IF(ISERR(SEARCH("2d",#REF!)),IF(ISERR(SEARCH("1d",#REF!)),0,1),2)*($G20)*$H20/10^3+IF(ISERR(SEARCH("2n",#REF!)),IF(ISERR(SEARCH("1n",#REF!)),0,1),2)*($F20)*$H20/10^3</f>
        <v>0</v>
      </c>
      <c r="O20" s="165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166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153" t="str">
        <f t="shared" si="3"/>
        <v/>
      </c>
      <c r="R20" s="153" t="str">
        <f t="shared" si="2"/>
        <v/>
      </c>
      <c r="S20" s="154" t="str">
        <f t="shared" si="4"/>
        <v>1000</v>
      </c>
      <c r="T20" s="153" t="str">
        <f>IFERROR(MATCH(#REF!,#REF!,0)&amp;",","")</f>
        <v/>
      </c>
      <c r="U20" s="154"/>
      <c r="Y20" s="155" t="str">
        <f t="shared" si="5"/>
        <v/>
      </c>
    </row>
    <row r="21" spans="1:25" s="155" customFormat="1" ht="30" hidden="1" customHeight="1">
      <c r="A21" s="141" t="str">
        <f t="shared" si="0"/>
        <v/>
      </c>
      <c r="B21" s="141" t="str">
        <f t="shared" si="1"/>
        <v/>
      </c>
      <c r="C21" s="157" t="str">
        <f>IF(D21="","",IFERROR((IF(LEFT(MID(D21,SEARCH("_",D21)+1,2),1)="0",(MID(D21,SEARCH("_",D21)+2,1)),MID(D21,SEARCH("_",D21)+1,2)))&amp;"."&amp;IF(LEFT(RIGHT(D21,2),1)="0",RIGHT(D21,1),RIGHT(D21,2)),MAX($C$12:$C20)+1))</f>
        <v/>
      </c>
      <c r="D21" s="194"/>
      <c r="E21" s="163"/>
      <c r="F21" s="163"/>
      <c r="G21" s="163"/>
      <c r="H21" s="163"/>
      <c r="I21" s="194"/>
      <c r="J21" s="161"/>
      <c r="K21" s="162"/>
      <c r="L21" s="163" t="str">
        <f t="shared" si="6"/>
        <v/>
      </c>
      <c r="M21" s="164">
        <f t="shared" si="7"/>
        <v>0</v>
      </c>
      <c r="N21" s="165">
        <f>IF(ISERR(SEARCH("2d",#REF!)),IF(ISERR(SEARCH("1d",#REF!)),0,1),2)*($G21)*$H21/10^3+IF(ISERR(SEARCH("2n",#REF!)),IF(ISERR(SEARCH("1n",#REF!)),0,1),2)*($F21)*$H21/10^3</f>
        <v>0</v>
      </c>
      <c r="O21" s="165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166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153" t="str">
        <f t="shared" si="3"/>
        <v/>
      </c>
      <c r="R21" s="153" t="str">
        <f t="shared" si="2"/>
        <v/>
      </c>
      <c r="S21" s="154" t="str">
        <f t="shared" si="4"/>
        <v>1000</v>
      </c>
      <c r="T21" s="153" t="str">
        <f>IFERROR(MATCH(#REF!,#REF!,0)&amp;",","")</f>
        <v/>
      </c>
      <c r="U21" s="154"/>
      <c r="Y21" s="155" t="str">
        <f t="shared" si="5"/>
        <v/>
      </c>
    </row>
    <row r="22" spans="1:25" s="155" customFormat="1" ht="30" hidden="1" customHeight="1">
      <c r="A22" s="141" t="str">
        <f t="shared" si="0"/>
        <v/>
      </c>
      <c r="B22" s="141" t="str">
        <f t="shared" si="1"/>
        <v/>
      </c>
      <c r="C22" s="157" t="str">
        <f>IF(D22="","",IFERROR((IF(LEFT(MID(D22,SEARCH("_",D22)+1,2),1)="0",(MID(D22,SEARCH("_",D22)+2,1)),MID(D22,SEARCH("_",D22)+1,2)))&amp;"."&amp;IF(LEFT(RIGHT(D22,2),1)="0",RIGHT(D22,1),RIGHT(D22,2)),MAX($C$12:$C21)+1))</f>
        <v/>
      </c>
      <c r="D22" s="194"/>
      <c r="E22" s="163"/>
      <c r="F22" s="163"/>
      <c r="G22" s="163"/>
      <c r="H22" s="163"/>
      <c r="I22" s="194"/>
      <c r="J22" s="161"/>
      <c r="K22" s="162"/>
      <c r="L22" s="163" t="str">
        <f t="shared" si="6"/>
        <v/>
      </c>
      <c r="M22" s="164">
        <f t="shared" si="7"/>
        <v>0</v>
      </c>
      <c r="N22" s="165">
        <f>IF(ISERR(SEARCH("2d",#REF!)),IF(ISERR(SEARCH("1d",#REF!)),0,1),2)*($G22)*$H22/10^3+IF(ISERR(SEARCH("2n",#REF!)),IF(ISERR(SEARCH("1n",#REF!)),0,1),2)*($F22)*$H22/10^3</f>
        <v>0</v>
      </c>
      <c r="O22" s="165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166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153" t="str">
        <f t="shared" si="3"/>
        <v/>
      </c>
      <c r="R22" s="153" t="str">
        <f t="shared" si="2"/>
        <v/>
      </c>
      <c r="S22" s="154" t="str">
        <f t="shared" si="4"/>
        <v>1000</v>
      </c>
      <c r="T22" s="153" t="str">
        <f>IFERROR(MATCH(#REF!,#REF!,0)&amp;",","")</f>
        <v/>
      </c>
      <c r="U22" s="154"/>
      <c r="Y22" s="155" t="str">
        <f t="shared" si="5"/>
        <v/>
      </c>
    </row>
    <row r="23" spans="1:25" s="155" customFormat="1" ht="30" hidden="1" customHeight="1">
      <c r="A23" s="141" t="str">
        <f t="shared" si="0"/>
        <v/>
      </c>
      <c r="B23" s="141" t="str">
        <f t="shared" si="1"/>
        <v/>
      </c>
      <c r="C23" s="157" t="str">
        <f>IF(D23="","",IFERROR((IF(LEFT(MID(D23,SEARCH("_",D23)+1,2),1)="0",(MID(D23,SEARCH("_",D23)+2,1)),MID(D23,SEARCH("_",D23)+1,2)))&amp;"."&amp;IF(LEFT(RIGHT(D23,2),1)="0",RIGHT(D23,1),RIGHT(D23,2)),MAX($C$12:$C22)+1))</f>
        <v/>
      </c>
      <c r="D23" s="194"/>
      <c r="E23" s="163"/>
      <c r="F23" s="163"/>
      <c r="G23" s="163"/>
      <c r="H23" s="163"/>
      <c r="I23" s="194"/>
      <c r="J23" s="161"/>
      <c r="K23" s="162"/>
      <c r="L23" s="163" t="str">
        <f t="shared" si="6"/>
        <v/>
      </c>
      <c r="M23" s="164">
        <f t="shared" si="7"/>
        <v>0</v>
      </c>
      <c r="N23" s="165">
        <f>IF(ISERR(SEARCH("2d",#REF!)),IF(ISERR(SEARCH("1d",#REF!)),0,1),2)*($G23)*$H23/10^3+IF(ISERR(SEARCH("2n",#REF!)),IF(ISERR(SEARCH("1n",#REF!)),0,1),2)*($F23)*$H23/10^3</f>
        <v>0</v>
      </c>
      <c r="O23" s="165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166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153" t="str">
        <f t="shared" si="3"/>
        <v/>
      </c>
      <c r="R23" s="153" t="str">
        <f t="shared" si="2"/>
        <v/>
      </c>
      <c r="S23" s="154" t="str">
        <f t="shared" si="4"/>
        <v>1000</v>
      </c>
      <c r="T23" s="153" t="str">
        <f>IFERROR(MATCH(#REF!,#REF!,0)&amp;",","")</f>
        <v/>
      </c>
      <c r="U23" s="154"/>
      <c r="Y23" s="155" t="str">
        <f t="shared" si="5"/>
        <v/>
      </c>
    </row>
    <row r="24" spans="1:25" s="155" customFormat="1" ht="30" hidden="1" customHeight="1">
      <c r="A24" s="141" t="str">
        <f t="shared" si="0"/>
        <v/>
      </c>
      <c r="B24" s="141" t="str">
        <f t="shared" si="1"/>
        <v/>
      </c>
      <c r="C24" s="157" t="str">
        <f>IF(D24="","",IFERROR((IF(LEFT(MID(D24,SEARCH("_",D24)+1,2),1)="0",(MID(D24,SEARCH("_",D24)+2,1)),MID(D24,SEARCH("_",D24)+1,2)))&amp;"."&amp;IF(LEFT(RIGHT(D24,2),1)="0",RIGHT(D24,1),RIGHT(D24,2)),MAX($C$12:$C23)+1))</f>
        <v/>
      </c>
      <c r="D24" s="158"/>
      <c r="E24" s="159"/>
      <c r="F24" s="159"/>
      <c r="G24" s="159"/>
      <c r="H24" s="159"/>
      <c r="I24" s="158"/>
      <c r="J24" s="161"/>
      <c r="K24" s="162"/>
      <c r="L24" s="163" t="str">
        <f t="shared" si="6"/>
        <v/>
      </c>
      <c r="M24" s="164">
        <f t="shared" si="7"/>
        <v>0</v>
      </c>
      <c r="N24" s="165">
        <f>IF(ISERR(SEARCH("2d",#REF!)),IF(ISERR(SEARCH("1d",#REF!)),0,1),2)*($G24)*$H24/10^3+IF(ISERR(SEARCH("2n",#REF!)),IF(ISERR(SEARCH("1n",#REF!)),0,1),2)*($F24)*$H24/10^3</f>
        <v>0</v>
      </c>
      <c r="O24" s="165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166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153" t="str">
        <f t="shared" si="3"/>
        <v/>
      </c>
      <c r="R24" s="153" t="str">
        <f t="shared" si="2"/>
        <v/>
      </c>
      <c r="S24" s="154" t="str">
        <f t="shared" si="4"/>
        <v>1000</v>
      </c>
      <c r="T24" s="153" t="str">
        <f>IFERROR(MATCH(#REF!,#REF!,0)&amp;",","")</f>
        <v/>
      </c>
      <c r="U24" s="154"/>
      <c r="Y24" s="155" t="str">
        <f t="shared" si="5"/>
        <v/>
      </c>
    </row>
    <row r="25" spans="1:25" s="155" customFormat="1" ht="30" hidden="1" customHeight="1">
      <c r="A25" s="141" t="str">
        <f t="shared" si="0"/>
        <v/>
      </c>
      <c r="B25" s="141" t="str">
        <f t="shared" si="1"/>
        <v/>
      </c>
      <c r="C25" s="157" t="str">
        <f>IF(D25="","",IFERROR((IF(LEFT(MID(D25,SEARCH("_",D25)+1,2),1)="0",(MID(D25,SEARCH("_",D25)+2,1)),MID(D25,SEARCH("_",D25)+1,2)))&amp;"."&amp;IF(LEFT(RIGHT(D25,2),1)="0",RIGHT(D25,1),RIGHT(D25,2)),MAX($C$12:$C24)+1))</f>
        <v/>
      </c>
      <c r="D25" s="158"/>
      <c r="E25" s="159"/>
      <c r="F25" s="159"/>
      <c r="G25" s="159"/>
      <c r="H25" s="159"/>
      <c r="I25" s="158"/>
      <c r="J25" s="161"/>
      <c r="K25" s="162"/>
      <c r="L25" s="163" t="str">
        <f t="shared" si="6"/>
        <v/>
      </c>
      <c r="M25" s="164">
        <f t="shared" si="7"/>
        <v>0</v>
      </c>
      <c r="N25" s="165">
        <f>IF(ISERR(SEARCH("2d",#REF!)),IF(ISERR(SEARCH("1d",#REF!)),0,1),2)*($G25)*$H25/10^3+IF(ISERR(SEARCH("2n",#REF!)),IF(ISERR(SEARCH("1n",#REF!)),0,1),2)*($F25)*$H25/10^3</f>
        <v>0</v>
      </c>
      <c r="O25" s="165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166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153" t="str">
        <f t="shared" si="3"/>
        <v/>
      </c>
      <c r="R25" s="153" t="str">
        <f t="shared" si="2"/>
        <v/>
      </c>
      <c r="S25" s="154" t="str">
        <f t="shared" si="4"/>
        <v>1000</v>
      </c>
      <c r="T25" s="153" t="str">
        <f>IFERROR(MATCH(#REF!,#REF!,0)&amp;",","")</f>
        <v/>
      </c>
      <c r="U25" s="154"/>
      <c r="Y25" s="155" t="str">
        <f t="shared" si="5"/>
        <v/>
      </c>
    </row>
    <row r="26" spans="1:25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si="6"/>
        <v/>
      </c>
      <c r="M26" s="164">
        <f t="shared" si="7"/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25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6"/>
        <v/>
      </c>
      <c r="M27" s="164">
        <f t="shared" si="7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25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6"/>
        <v/>
      </c>
      <c r="M28" s="164">
        <f t="shared" si="7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25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6"/>
        <v/>
      </c>
      <c r="M29" s="164">
        <f t="shared" si="7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25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6"/>
        <v/>
      </c>
      <c r="M30" s="164">
        <f t="shared" si="7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25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6"/>
        <v/>
      </c>
      <c r="M31" s="164">
        <f t="shared" si="7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25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6"/>
        <v/>
      </c>
      <c r="M32" s="164">
        <f t="shared" si="7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6"/>
        <v/>
      </c>
      <c r="M33" s="164">
        <f t="shared" si="7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 t="str">
        <f t="shared" si="6"/>
        <v/>
      </c>
      <c r="M34" s="164">
        <f t="shared" si="7"/>
        <v>0</v>
      </c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si="6"/>
        <v/>
      </c>
      <c r="M35" s="164">
        <f t="shared" si="7"/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6"/>
        <v/>
      </c>
      <c r="M36" s="164">
        <f t="shared" si="7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6"/>
        <v/>
      </c>
      <c r="M37" s="164">
        <f t="shared" si="7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6"/>
        <v/>
      </c>
      <c r="M38" s="164">
        <f t="shared" si="7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6"/>
        <v/>
      </c>
      <c r="M39" s="164">
        <f t="shared" si="7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6"/>
        <v/>
      </c>
      <c r="M40" s="164">
        <f t="shared" si="7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6"/>
        <v/>
      </c>
      <c r="M41" s="164">
        <f t="shared" si="7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6"/>
        <v/>
      </c>
      <c r="M42" s="164">
        <f t="shared" si="7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6"/>
        <v/>
      </c>
      <c r="M43" s="164">
        <f t="shared" si="7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ref="A44:A75" si="8">IF(R44="IN",$E$6,"")</f>
        <v/>
      </c>
      <c r="B44" s="141" t="str">
        <f t="shared" ref="B44:B77" si="9">IF(R44="IN","Muc "&amp;$E$7,"")</f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6"/>
        <v/>
      </c>
      <c r="M44" s="164">
        <f t="shared" si="7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ref="R44:R77" si="10">IF(OR(C44&lt;&gt;"",D44&lt;&gt;""),"IN","")</f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8"/>
        <v/>
      </c>
      <c r="B45" s="141" t="str">
        <f t="shared" si="9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6"/>
        <v/>
      </c>
      <c r="M45" s="164">
        <f t="shared" si="7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10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ref="Y45:Y76" si="11">IF(C45&lt;&gt;"",1,"")</f>
        <v/>
      </c>
    </row>
    <row r="46" spans="1:25" s="155" customFormat="1" ht="30" hidden="1" customHeight="1">
      <c r="A46" s="141" t="str">
        <f t="shared" si="8"/>
        <v/>
      </c>
      <c r="B46" s="141" t="str">
        <f t="shared" si="9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6"/>
        <v/>
      </c>
      <c r="M46" s="164">
        <f t="shared" si="7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10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11"/>
        <v/>
      </c>
    </row>
    <row r="47" spans="1:25" s="155" customFormat="1" ht="30" hidden="1" customHeight="1">
      <c r="A47" s="141" t="str">
        <f t="shared" si="8"/>
        <v/>
      </c>
      <c r="B47" s="141" t="str">
        <f t="shared" si="9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6"/>
        <v/>
      </c>
      <c r="M47" s="164">
        <f t="shared" si="7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10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11"/>
        <v/>
      </c>
    </row>
    <row r="48" spans="1:25" s="155" customFormat="1" ht="30" hidden="1" customHeight="1">
      <c r="A48" s="141" t="str">
        <f t="shared" si="8"/>
        <v/>
      </c>
      <c r="B48" s="141" t="str">
        <f t="shared" si="9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6"/>
        <v/>
      </c>
      <c r="M48" s="164">
        <f t="shared" si="7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10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11"/>
        <v/>
      </c>
    </row>
    <row r="49" spans="1:25" s="155" customFormat="1" ht="30" hidden="1" customHeight="1">
      <c r="A49" s="141" t="str">
        <f t="shared" si="8"/>
        <v/>
      </c>
      <c r="B49" s="141" t="str">
        <f t="shared" si="9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6"/>
        <v/>
      </c>
      <c r="M49" s="164">
        <f t="shared" si="7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10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11"/>
        <v/>
      </c>
    </row>
    <row r="50" spans="1:25" s="155" customFormat="1" ht="30" hidden="1" customHeight="1">
      <c r="A50" s="141" t="str">
        <f t="shared" si="8"/>
        <v/>
      </c>
      <c r="B50" s="141" t="str">
        <f t="shared" si="9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6"/>
        <v/>
      </c>
      <c r="M50" s="164">
        <f t="shared" si="7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10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11"/>
        <v/>
      </c>
    </row>
    <row r="51" spans="1:25" s="155" customFormat="1" ht="30" hidden="1" customHeight="1">
      <c r="A51" s="141" t="str">
        <f t="shared" si="8"/>
        <v/>
      </c>
      <c r="B51" s="141" t="str">
        <f t="shared" si="9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6"/>
        <v/>
      </c>
      <c r="M51" s="164">
        <f t="shared" si="7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10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11"/>
        <v/>
      </c>
    </row>
    <row r="52" spans="1:25" s="155" customFormat="1" ht="30" hidden="1" customHeight="1">
      <c r="A52" s="141" t="str">
        <f t="shared" si="8"/>
        <v/>
      </c>
      <c r="B52" s="141" t="str">
        <f t="shared" si="9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ref="L52:L76" si="12">IF(I52="","",IF(LEFT(I52,2)="gỗ","m3","Tấm"))</f>
        <v/>
      </c>
      <c r="M52" s="164">
        <f t="shared" ref="M52:M76" si="13">IF(OR(L52="Con",L52="Cụm",L52="Hệ",L52="Thanh"),H52,IF(L52="Tấm",(F52*G52*H52)/(1220*2440),IF(L52="Md",G52*H52/1000,IF(L52="M2",F52*G52*H52/10^6,IF(L52="M3",E52*F52*G52*H52/10^9,0)))))</f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10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11"/>
        <v/>
      </c>
    </row>
    <row r="53" spans="1:25" s="155" customFormat="1" ht="30" hidden="1" customHeight="1">
      <c r="A53" s="141" t="str">
        <f t="shared" si="8"/>
        <v/>
      </c>
      <c r="B53" s="141" t="str">
        <f t="shared" si="9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12"/>
        <v/>
      </c>
      <c r="M53" s="164">
        <f t="shared" si="13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10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11"/>
        <v/>
      </c>
    </row>
    <row r="54" spans="1:25" s="155" customFormat="1" ht="30" hidden="1" customHeight="1">
      <c r="A54" s="141" t="str">
        <f t="shared" si="8"/>
        <v/>
      </c>
      <c r="B54" s="141" t="str">
        <f t="shared" si="9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12"/>
        <v/>
      </c>
      <c r="M54" s="164">
        <f t="shared" si="13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10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11"/>
        <v/>
      </c>
    </row>
    <row r="55" spans="1:25" s="155" customFormat="1" ht="30" hidden="1" customHeight="1">
      <c r="A55" s="141" t="str">
        <f t="shared" si="8"/>
        <v/>
      </c>
      <c r="B55" s="141" t="str">
        <f t="shared" si="9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12"/>
        <v/>
      </c>
      <c r="M55" s="164">
        <f t="shared" si="13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10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11"/>
        <v/>
      </c>
    </row>
    <row r="56" spans="1:25" s="155" customFormat="1" ht="30" hidden="1" customHeight="1">
      <c r="A56" s="141" t="str">
        <f t="shared" si="8"/>
        <v/>
      </c>
      <c r="B56" s="141" t="str">
        <f t="shared" si="9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12"/>
        <v/>
      </c>
      <c r="M56" s="164">
        <f t="shared" si="13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10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11"/>
        <v/>
      </c>
    </row>
    <row r="57" spans="1:25" s="155" customFormat="1" ht="30" hidden="1" customHeight="1">
      <c r="A57" s="141" t="str">
        <f t="shared" si="8"/>
        <v/>
      </c>
      <c r="B57" s="141" t="str">
        <f t="shared" si="9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12"/>
        <v/>
      </c>
      <c r="M57" s="164">
        <f t="shared" si="13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10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11"/>
        <v/>
      </c>
    </row>
    <row r="58" spans="1:25" s="155" customFormat="1" ht="30" hidden="1" customHeight="1">
      <c r="A58" s="141" t="str">
        <f t="shared" si="8"/>
        <v/>
      </c>
      <c r="B58" s="141" t="str">
        <f t="shared" si="9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12"/>
        <v/>
      </c>
      <c r="M58" s="164">
        <f t="shared" si="13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10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11"/>
        <v/>
      </c>
    </row>
    <row r="59" spans="1:25" s="155" customFormat="1" ht="30" hidden="1" customHeight="1">
      <c r="A59" s="141" t="str">
        <f t="shared" si="8"/>
        <v/>
      </c>
      <c r="B59" s="141" t="str">
        <f t="shared" si="9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12"/>
        <v/>
      </c>
      <c r="M59" s="164">
        <f t="shared" si="13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10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11"/>
        <v/>
      </c>
    </row>
    <row r="60" spans="1:25" s="155" customFormat="1" ht="30" hidden="1" customHeight="1">
      <c r="A60" s="141" t="str">
        <f t="shared" si="8"/>
        <v/>
      </c>
      <c r="B60" s="141" t="str">
        <f t="shared" si="9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12"/>
        <v/>
      </c>
      <c r="M60" s="164">
        <f t="shared" si="13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10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11"/>
        <v/>
      </c>
    </row>
    <row r="61" spans="1:25" s="155" customFormat="1" ht="30" hidden="1" customHeight="1">
      <c r="A61" s="141" t="str">
        <f t="shared" si="8"/>
        <v/>
      </c>
      <c r="B61" s="141" t="str">
        <f t="shared" si="9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12"/>
        <v/>
      </c>
      <c r="M61" s="164">
        <f t="shared" si="13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10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11"/>
        <v/>
      </c>
    </row>
    <row r="62" spans="1:25" s="155" customFormat="1" ht="30" hidden="1" customHeight="1">
      <c r="A62" s="141" t="str">
        <f t="shared" si="8"/>
        <v/>
      </c>
      <c r="B62" s="141" t="str">
        <f t="shared" si="9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12"/>
        <v/>
      </c>
      <c r="M62" s="164">
        <f t="shared" si="13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10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11"/>
        <v/>
      </c>
    </row>
    <row r="63" spans="1:25" s="155" customFormat="1" ht="30" hidden="1" customHeight="1">
      <c r="A63" s="141" t="str">
        <f t="shared" si="8"/>
        <v/>
      </c>
      <c r="B63" s="141" t="str">
        <f t="shared" si="9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12"/>
        <v/>
      </c>
      <c r="M63" s="164">
        <f t="shared" si="13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10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11"/>
        <v/>
      </c>
    </row>
    <row r="64" spans="1:25" s="155" customFormat="1" ht="30" hidden="1" customHeight="1">
      <c r="A64" s="141" t="str">
        <f t="shared" si="8"/>
        <v/>
      </c>
      <c r="B64" s="141" t="str">
        <f t="shared" si="9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12"/>
        <v/>
      </c>
      <c r="M64" s="164">
        <f t="shared" si="13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10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11"/>
        <v/>
      </c>
    </row>
    <row r="65" spans="1:25" s="155" customFormat="1" ht="30" hidden="1" customHeight="1">
      <c r="A65" s="141" t="str">
        <f t="shared" si="8"/>
        <v/>
      </c>
      <c r="B65" s="141" t="str">
        <f t="shared" si="9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12"/>
        <v/>
      </c>
      <c r="M65" s="164">
        <f t="shared" si="13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10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11"/>
        <v/>
      </c>
    </row>
    <row r="66" spans="1:25" s="155" customFormat="1" ht="30" hidden="1" customHeight="1">
      <c r="A66" s="141" t="str">
        <f t="shared" si="8"/>
        <v/>
      </c>
      <c r="B66" s="141" t="str">
        <f t="shared" si="9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12"/>
        <v/>
      </c>
      <c r="M66" s="164">
        <f t="shared" si="13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10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11"/>
        <v/>
      </c>
    </row>
    <row r="67" spans="1:25" s="155" customFormat="1" ht="30" hidden="1" customHeight="1">
      <c r="A67" s="141" t="str">
        <f t="shared" si="8"/>
        <v/>
      </c>
      <c r="B67" s="141" t="str">
        <f t="shared" si="9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12"/>
        <v/>
      </c>
      <c r="M67" s="164">
        <f t="shared" si="13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10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11"/>
        <v/>
      </c>
    </row>
    <row r="68" spans="1:25" s="155" customFormat="1" ht="30" hidden="1" customHeight="1">
      <c r="A68" s="141" t="str">
        <f t="shared" si="8"/>
        <v/>
      </c>
      <c r="B68" s="141" t="str">
        <f t="shared" si="9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12"/>
        <v/>
      </c>
      <c r="M68" s="164">
        <f t="shared" si="13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10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11"/>
        <v/>
      </c>
    </row>
    <row r="69" spans="1:25" s="155" customFormat="1" ht="30" hidden="1" customHeight="1">
      <c r="A69" s="141" t="str">
        <f t="shared" si="8"/>
        <v/>
      </c>
      <c r="B69" s="141" t="str">
        <f t="shared" si="9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12"/>
        <v/>
      </c>
      <c r="M69" s="164">
        <f t="shared" si="13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10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11"/>
        <v/>
      </c>
    </row>
    <row r="70" spans="1:25" s="155" customFormat="1" ht="30" hidden="1" customHeight="1">
      <c r="A70" s="141" t="str">
        <f t="shared" si="8"/>
        <v/>
      </c>
      <c r="B70" s="141" t="str">
        <f t="shared" si="9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12"/>
        <v/>
      </c>
      <c r="M70" s="164">
        <f t="shared" si="13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10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11"/>
        <v/>
      </c>
    </row>
    <row r="71" spans="1:25" s="155" customFormat="1" ht="30" hidden="1" customHeight="1">
      <c r="A71" s="141" t="str">
        <f t="shared" si="8"/>
        <v/>
      </c>
      <c r="B71" s="141" t="str">
        <f t="shared" si="9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12"/>
        <v/>
      </c>
      <c r="M71" s="164">
        <f t="shared" si="13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10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11"/>
        <v/>
      </c>
    </row>
    <row r="72" spans="1:25" s="155" customFormat="1" ht="30" hidden="1" customHeight="1">
      <c r="A72" s="141" t="str">
        <f t="shared" si="8"/>
        <v/>
      </c>
      <c r="B72" s="141" t="str">
        <f t="shared" si="9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12"/>
        <v/>
      </c>
      <c r="M72" s="164">
        <f t="shared" si="13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10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11"/>
        <v/>
      </c>
    </row>
    <row r="73" spans="1:25" s="155" customFormat="1" ht="30" hidden="1" customHeight="1">
      <c r="A73" s="141" t="str">
        <f t="shared" si="8"/>
        <v/>
      </c>
      <c r="B73" s="141" t="str">
        <f t="shared" si="9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12"/>
        <v/>
      </c>
      <c r="M73" s="164">
        <f t="shared" si="13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10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11"/>
        <v/>
      </c>
    </row>
    <row r="74" spans="1:25" s="155" customFormat="1" ht="30" hidden="1" customHeight="1">
      <c r="A74" s="141" t="str">
        <f t="shared" si="8"/>
        <v/>
      </c>
      <c r="B74" s="141" t="str">
        <f t="shared" si="9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12"/>
        <v/>
      </c>
      <c r="M74" s="164">
        <f t="shared" si="13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10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11"/>
        <v/>
      </c>
    </row>
    <row r="75" spans="1:25" s="155" customFormat="1" ht="30" hidden="1" customHeight="1">
      <c r="A75" s="141" t="str">
        <f t="shared" si="8"/>
        <v/>
      </c>
      <c r="B75" s="141" t="str">
        <f t="shared" si="9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12"/>
        <v/>
      </c>
      <c r="M75" s="164">
        <f t="shared" si="13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10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11"/>
        <v/>
      </c>
    </row>
    <row r="76" spans="1:25" s="155" customFormat="1" ht="30" hidden="1" customHeight="1">
      <c r="A76" s="141" t="str">
        <f t="shared" ref="A76:A77" si="14">IF(R76="IN",$E$6,"")</f>
        <v/>
      </c>
      <c r="B76" s="141" t="str">
        <f t="shared" si="9"/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12"/>
        <v/>
      </c>
      <c r="M76" s="164">
        <f t="shared" si="13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si="10"/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11"/>
        <v/>
      </c>
    </row>
    <row r="77" spans="1:25" s="155" customFormat="1" ht="30" customHeight="1" thickBot="1">
      <c r="A77" s="141" t="str">
        <f t="shared" si="14"/>
        <v>DC113B(EI60)</v>
      </c>
      <c r="B77" s="141" t="str">
        <f t="shared" si="9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0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  <mergeCell ref="C1:E3"/>
    <mergeCell ref="F1:J3"/>
    <mergeCell ref="L1:P1"/>
    <mergeCell ref="L2:P2"/>
    <mergeCell ref="L3:P3"/>
    <mergeCell ref="A10:A11"/>
    <mergeCell ref="B10:B11"/>
    <mergeCell ref="C10:C11"/>
    <mergeCell ref="D10:D11"/>
    <mergeCell ref="E10:G10"/>
  </mergeCells>
  <conditionalFormatting sqref="C13:P14 C17:P76 C15:L16 N15:P16">
    <cfRule type="expression" dxfId="45" priority="7">
      <formula>$S12&gt;999</formula>
    </cfRule>
  </conditionalFormatting>
  <conditionalFormatting sqref="K13:L14 K20:L76">
    <cfRule type="expression" dxfId="44" priority="11">
      <formula>K13="LỖI DỮ LIỆU"</formula>
    </cfRule>
  </conditionalFormatting>
  <conditionalFormatting sqref="K13:P14 K17:P76 K15:L16 N15:P16">
    <cfRule type="cellIs" dxfId="43" priority="9" operator="equal">
      <formula>0</formula>
    </cfRule>
  </conditionalFormatting>
  <conditionalFormatting sqref="M13:M14 M17:M76">
    <cfRule type="cellIs" dxfId="42" priority="8" operator="equal">
      <formula>0</formula>
    </cfRule>
    <cfRule type="cellIs" dxfId="41" priority="10" operator="equal">
      <formula>0</formula>
    </cfRule>
  </conditionalFormatting>
  <conditionalFormatting sqref="K17:L19">
    <cfRule type="expression" dxfId="40" priority="6">
      <formula>K17="LỖI DỮ LIỆU"</formula>
    </cfRule>
  </conditionalFormatting>
  <conditionalFormatting sqref="K15:L16">
    <cfRule type="expression" dxfId="39" priority="5">
      <formula>K15="LỖI DỮ LIỆU"</formula>
    </cfRule>
  </conditionalFormatting>
  <conditionalFormatting sqref="M15:M16">
    <cfRule type="expression" dxfId="38" priority="1">
      <formula>$S14&gt;999</formula>
    </cfRule>
  </conditionalFormatting>
  <conditionalFormatting sqref="M15:M16">
    <cfRule type="cellIs" dxfId="37" priority="3" operator="equal">
      <formula>0</formula>
    </cfRule>
  </conditionalFormatting>
  <conditionalFormatting sqref="M15:M16">
    <cfRule type="cellIs" dxfId="36" priority="2" operator="equal">
      <formula>0</formula>
    </cfRule>
    <cfRule type="cellIs" dxfId="35" priority="4" operator="equal">
      <formula>0</formula>
    </cfRule>
  </conditionalFormatting>
  <dataValidations disablePrompts="1" count="3">
    <dataValidation type="list" allowBlank="1" showInputMessage="1" showErrorMessage="1" sqref="G84" xr:uid="{2A8AA385-06B9-451B-8545-B20AC4B73EEF}">
      <formula1>$AB$2:$AB$3</formula1>
    </dataValidation>
    <dataValidation type="list" allowBlank="1" showInputMessage="1" showErrorMessage="1" sqref="L77" xr:uid="{969987E1-D358-410A-A878-FB235B8276F2}">
      <formula1>$Z$2:$Z$9</formula1>
    </dataValidation>
    <dataValidation type="list" allowBlank="1" showInputMessage="1" showErrorMessage="1" sqref="K84" xr:uid="{5303D46D-5489-4F8B-9799-01E409101891}">
      <formula1>$AA$2:$AA$7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A8F34-D768-4EB0-863B-8EC0073558D2}">
  <sheetPr codeName="Sheet7" filterMode="1">
    <tabColor rgb="FFFFFF00"/>
  </sheetPr>
  <dimension ref="A1:AK88"/>
  <sheetViews>
    <sheetView view="pageBreakPreview" zoomScale="70" zoomScaleNormal="70" zoomScaleSheetLayoutView="70" workbookViewId="0">
      <pane ySplit="11" topLeftCell="A22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34" width="4.85546875" style="3"/>
    <col min="35" max="35" width="7.7109375" style="3" customWidth="1"/>
    <col min="36" max="16384" width="4.85546875" style="3"/>
  </cols>
  <sheetData>
    <row r="1" spans="1:37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7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7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7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7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7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IV'!T13=3,AVERAGE('BOM_Phan IV'!M13:M835),""),"")</f>
        <v/>
      </c>
      <c r="L6" s="228" t="str">
        <f>IFERROR(IF('BOM_Phan IV'!T13=3,AVERAGE('BOM_Phan IV'!L13:L835),""),"")</f>
        <v/>
      </c>
      <c r="M6" s="228" t="str">
        <f>IFERROR(IF('BOM_Phan IV'!T13=3,AVERAGE('BOM_Phan IV'!K13:K835),""),"")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7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IV'!N13:N835),"")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7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7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7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7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7" s="155" customFormat="1" ht="30" customHeight="1">
      <c r="A12" s="141" t="str">
        <f t="shared" ref="A12:A43" si="0">IF(R12="IN",$E$6,"")</f>
        <v>DC113B(EI60)</v>
      </c>
      <c r="B12" s="141" t="str">
        <f t="shared" ref="B12:B43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43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7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44" si="5">IF(C13&lt;&gt;"",1,"")</f>
        <v/>
      </c>
    </row>
    <row r="14" spans="1:37" s="155" customFormat="1" ht="30" customHeight="1">
      <c r="A14" s="141" t="str">
        <f t="shared" si="0"/>
        <v>DC113B(EI60)</v>
      </c>
      <c r="B14" s="141" t="str">
        <f t="shared" si="1"/>
        <v>Muc 9.1</v>
      </c>
      <c r="C14" s="157">
        <f>IF(D14="","",IFERROR((IF(LEFT(MID(D14,SEARCH("_",D14)+1,2),1)="0",(MID(D14,SEARCH("_",D14)+2,1)),MID(D14,SEARCH("_",D14)+1,2)))&amp;"."&amp;IF(LEFT(RIGHT(D14,2),1)="0",RIGHT(D14,1),RIGHT(D14,2)),MAX($C$12:$C13)+1))</f>
        <v>1</v>
      </c>
      <c r="D14" s="158" t="s">
        <v>114</v>
      </c>
      <c r="E14" s="159">
        <v>20</v>
      </c>
      <c r="F14" s="229" t="str">
        <f>IFERROR(IF($L$6-100-100&lt;0,0,$L$6-100-100),"")</f>
        <v/>
      </c>
      <c r="G14" s="229" t="str">
        <f>IFERROR(IF($K$6-100-100&lt;0,0,$K$6-100-100),"")</f>
        <v/>
      </c>
      <c r="H14" s="159" t="str">
        <f>+IFERROR(2*K7,"")</f>
        <v/>
      </c>
      <c r="I14" s="158" t="s">
        <v>115</v>
      </c>
      <c r="J14" s="161"/>
      <c r="K14" s="162"/>
      <c r="L14" s="163" t="s">
        <v>116</v>
      </c>
      <c r="M14" s="239" t="str">
        <f t="shared" ref="M14:M30" si="6">IFERROR(IF(OR(L14="Cái",L14="Cụm",L14="Hệ"),H14,IF(L14="Thanh",(G14*H14/2400),IF(L14="Tấm",(F14*G14*H14)/(1220*2440),IF(L14="Tấm1",(F14*G14*H14)/(2000*1000),IF(L14="Tấm2",(F14*G14*H14)/(1800*3100),IF(L14="M2",F14*G14*H14/10^6,IF(L14="M3",E14*F14*G14*H14/10^9,0))))))),"")</f>
        <v/>
      </c>
      <c r="N14" s="165" t="str">
        <f>IFERROR(IF(ISERR(SEARCH("2d",#REF!)),IF(ISERR(SEARCH("1d",#REF!)),0,1),2)*($G14)*$H14/10^3+IF(ISERR(SEARCH("2n",#REF!)),IF(ISERR(SEARCH("1n",#REF!)),0,1),2)*($F14)*$H14/10^3,"")</f>
        <v/>
      </c>
      <c r="O14" s="165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166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153">
        <f t="shared" si="3"/>
        <v>6</v>
      </c>
      <c r="R14" s="153" t="str">
        <f t="shared" si="2"/>
        <v>IN</v>
      </c>
      <c r="S14" s="154" t="str">
        <f t="shared" si="4"/>
        <v>1000</v>
      </c>
      <c r="T14" s="153" t="str">
        <f>IFERROR(MATCH(#REF!,#REF!,0)&amp;",","")</f>
        <v/>
      </c>
      <c r="U14" s="154"/>
      <c r="Y14" s="155">
        <f t="shared" si="5"/>
        <v>1</v>
      </c>
      <c r="AI14" s="155">
        <v>2</v>
      </c>
      <c r="AK14" s="155" t="e">
        <f>H14-AI14</f>
        <v>#VALUE!</v>
      </c>
    </row>
    <row r="15" spans="1:37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2</v>
      </c>
      <c r="D15" s="158" t="s">
        <v>117</v>
      </c>
      <c r="E15" s="159">
        <v>20</v>
      </c>
      <c r="F15" s="229" t="str">
        <f>IFERROR(IF($L$6-100-100&lt;0,0,$L$6-100-100),"")</f>
        <v/>
      </c>
      <c r="G15" s="229" t="str">
        <f>IFERROR(IF($M$6-100&lt;0,0,$M$6-100),"")</f>
        <v/>
      </c>
      <c r="H15" s="159" t="str">
        <f>+IFERROR(2*K7,"")</f>
        <v/>
      </c>
      <c r="I15" s="158" t="s">
        <v>115</v>
      </c>
      <c r="J15" s="161"/>
      <c r="K15" s="162"/>
      <c r="L15" s="163" t="s">
        <v>116</v>
      </c>
      <c r="M15" s="239" t="str">
        <f t="shared" si="6"/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  <c r="AI15" s="155">
        <v>2</v>
      </c>
      <c r="AK15" s="155" t="e">
        <f t="shared" ref="AK15:AK33" si="7">H15-AI15</f>
        <v>#VALUE!</v>
      </c>
    </row>
    <row r="16" spans="1:37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3</v>
      </c>
      <c r="D16" s="158" t="s">
        <v>118</v>
      </c>
      <c r="E16" s="159">
        <v>20</v>
      </c>
      <c r="F16" s="229" t="str">
        <f>IFERROR(IF($K$6-100-100&lt;0,0,$K$6-100-100),"")</f>
        <v/>
      </c>
      <c r="G16" s="229" t="str">
        <f>IFERROR(IF($M$6-100&lt;0,0,$M$6-100),"")</f>
        <v/>
      </c>
      <c r="H16" s="159" t="str">
        <f>+IFERROR(2*K7,"")</f>
        <v/>
      </c>
      <c r="I16" s="158" t="s">
        <v>115</v>
      </c>
      <c r="J16" s="161"/>
      <c r="K16" s="162"/>
      <c r="L16" s="163" t="s">
        <v>116</v>
      </c>
      <c r="M16" s="239" t="str">
        <f t="shared" si="6"/>
        <v/>
      </c>
      <c r="N16" s="165" t="str">
        <f>IFERROR(IF(ISERR(SEARCH("2d",#REF!)),IF(ISERR(SEARCH("1d",#REF!)),0,1),2)*($G16)*$H16/10^3+IF(ISERR(SEARCH("2n",#REF!)),IF(ISERR(SEARCH("1n",#REF!)),0,1),2)*($F16)*$H16/10^3,"")</f>
        <v/>
      </c>
      <c r="O16" s="165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166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  <c r="AI16" s="155">
        <v>2</v>
      </c>
      <c r="AK16" s="155" t="e">
        <f t="shared" si="7"/>
        <v>#VALUE!</v>
      </c>
    </row>
    <row r="17" spans="1:37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4</v>
      </c>
      <c r="D17" s="158" t="s">
        <v>119</v>
      </c>
      <c r="E17" s="159"/>
      <c r="F17" s="159">
        <v>100</v>
      </c>
      <c r="G17" s="159">
        <v>100</v>
      </c>
      <c r="H17" s="159" t="str">
        <f>+IFERROR(24*K7,"")</f>
        <v/>
      </c>
      <c r="I17" s="158" t="s">
        <v>120</v>
      </c>
      <c r="J17" s="161"/>
      <c r="K17" s="162"/>
      <c r="L17" s="163" t="s">
        <v>121</v>
      </c>
      <c r="M17" s="239" t="str">
        <f t="shared" si="6"/>
        <v/>
      </c>
      <c r="N17" s="165" t="str">
        <f>IFERROR(IF(ISERR(SEARCH("2d",#REF!)),IF(ISERR(SEARCH("1d",#REF!)),0,1),2)*($G17)*$H17/10^3+IF(ISERR(SEARCH("2n",#REF!)),IF(ISERR(SEARCH("1n",#REF!)),0,1),2)*($F17)*$H17/10^3,"")</f>
        <v/>
      </c>
      <c r="O17" s="165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166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  <c r="AI17" s="155">
        <v>24</v>
      </c>
      <c r="AK17" s="155" t="e">
        <f t="shared" si="7"/>
        <v>#VALUE!</v>
      </c>
    </row>
    <row r="18" spans="1:37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5</v>
      </c>
      <c r="D18" s="158" t="s">
        <v>122</v>
      </c>
      <c r="E18" s="159">
        <v>20</v>
      </c>
      <c r="F18" s="159">
        <v>100</v>
      </c>
      <c r="G18" s="159">
        <v>100</v>
      </c>
      <c r="H18" s="159" t="str">
        <f>+IFERROR(8*K7,"")</f>
        <v/>
      </c>
      <c r="I18" s="158" t="s">
        <v>123</v>
      </c>
      <c r="J18" s="161"/>
      <c r="K18" s="162"/>
      <c r="L18" s="163" t="s">
        <v>124</v>
      </c>
      <c r="M18" s="239" t="str">
        <f t="shared" si="6"/>
        <v/>
      </c>
      <c r="N18" s="165" t="str">
        <f>IFERROR(IF(ISERR(SEARCH("2d",#REF!)),IF(ISERR(SEARCH("1d",#REF!)),0,1),2)*($G18)*$H18/10^3+IF(ISERR(SEARCH("2n",#REF!)),IF(ISERR(SEARCH("1n",#REF!)),0,1),2)*($F18)*$H18/10^3,"")</f>
        <v/>
      </c>
      <c r="O18" s="165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166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  <c r="AI18" s="155">
        <v>8</v>
      </c>
      <c r="AK18" s="155" t="e">
        <f t="shared" si="7"/>
        <v>#VALUE!</v>
      </c>
    </row>
    <row r="19" spans="1:37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6</v>
      </c>
      <c r="D19" s="158" t="s">
        <v>125</v>
      </c>
      <c r="E19" s="159"/>
      <c r="F19" s="159">
        <f>+$F$17-$E$18</f>
        <v>80</v>
      </c>
      <c r="G19" s="159">
        <f>+$G$17-$E$18</f>
        <v>80</v>
      </c>
      <c r="H19" s="159" t="str">
        <f>+IFERROR(24*K7,"")</f>
        <v/>
      </c>
      <c r="I19" s="158" t="s">
        <v>120</v>
      </c>
      <c r="J19" s="161"/>
      <c r="K19" s="162"/>
      <c r="L19" s="163" t="s">
        <v>121</v>
      </c>
      <c r="M19" s="239" t="str">
        <f t="shared" si="6"/>
        <v/>
      </c>
      <c r="N19" s="165" t="str">
        <f>IFERROR(IF(ISERR(SEARCH("2d",#REF!)),IF(ISERR(SEARCH("1d",#REF!)),0,1),2)*($G19)*$H19/10^3+IF(ISERR(SEARCH("2n",#REF!)),IF(ISERR(SEARCH("1n",#REF!)),0,1),2)*($F19)*$H19/10^3,"")</f>
        <v/>
      </c>
      <c r="O19" s="165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166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  <c r="AI19" s="155">
        <v>24</v>
      </c>
      <c r="AK19" s="155" t="e">
        <f t="shared" si="7"/>
        <v>#VALUE!</v>
      </c>
    </row>
    <row r="20" spans="1:37" s="155" customFormat="1" ht="30" customHeight="1">
      <c r="A20" s="141" t="str">
        <f t="shared" si="0"/>
        <v>DC113B(EI60)</v>
      </c>
      <c r="B20" s="141" t="str">
        <f t="shared" si="1"/>
        <v>Muc 9.1</v>
      </c>
      <c r="C20" s="157">
        <f>IF(D20="","",IFERROR((IF(LEFT(MID(D20,SEARCH("_",D20)+1,2),1)="0",(MID(D20,SEARCH("_",D20)+2,1)),MID(D20,SEARCH("_",D20)+1,2)))&amp;"."&amp;IF(LEFT(RIGHT(D20,2),1)="0",RIGHT(D20,1),RIGHT(D20,2)),MAX($C$12:$C19)+1))</f>
        <v>7</v>
      </c>
      <c r="D20" s="158" t="s">
        <v>126</v>
      </c>
      <c r="E20" s="159"/>
      <c r="F20" s="159">
        <v>100</v>
      </c>
      <c r="G20" s="229" t="str">
        <f>IFERROR(IF($M$6-100-100&lt;0,0,$M$6-100-100),"")</f>
        <v/>
      </c>
      <c r="H20" s="159" t="str">
        <f>+IFERROR(8*K7,"")</f>
        <v/>
      </c>
      <c r="I20" s="158" t="s">
        <v>120</v>
      </c>
      <c r="J20" s="161"/>
      <c r="K20" s="162"/>
      <c r="L20" s="163" t="s">
        <v>121</v>
      </c>
      <c r="M20" s="239" t="str">
        <f t="shared" si="6"/>
        <v/>
      </c>
      <c r="N20" s="165" t="str">
        <f>IFERROR(IF(ISERR(SEARCH("2d",#REF!)),IF(ISERR(SEARCH("1d",#REF!)),0,1),2)*($G20)*$H20/10^3+IF(ISERR(SEARCH("2n",#REF!)),IF(ISERR(SEARCH("1n",#REF!)),0,1),2)*($F20)*$H20/10^3,"")</f>
        <v/>
      </c>
      <c r="O20" s="165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166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153">
        <f t="shared" si="3"/>
        <v>6</v>
      </c>
      <c r="R20" s="153" t="str">
        <f t="shared" si="2"/>
        <v>IN</v>
      </c>
      <c r="S20" s="154" t="str">
        <f t="shared" si="4"/>
        <v>1000</v>
      </c>
      <c r="T20" s="153" t="str">
        <f>IFERROR(MATCH(#REF!,#REF!,0)&amp;",","")</f>
        <v/>
      </c>
      <c r="U20" s="154"/>
      <c r="Y20" s="155">
        <f t="shared" si="5"/>
        <v>1</v>
      </c>
      <c r="AI20" s="155">
        <v>8</v>
      </c>
      <c r="AK20" s="155" t="e">
        <f t="shared" si="7"/>
        <v>#VALUE!</v>
      </c>
    </row>
    <row r="21" spans="1:37" s="155" customFormat="1" ht="30" customHeight="1">
      <c r="A21" s="141" t="str">
        <f t="shared" si="0"/>
        <v>DC113B(EI60)</v>
      </c>
      <c r="B21" s="141" t="str">
        <f t="shared" si="1"/>
        <v>Muc 9.1</v>
      </c>
      <c r="C21" s="157">
        <f>IF(D21="","",IFERROR((IF(LEFT(MID(D21,SEARCH("_",D21)+1,2),1)="0",(MID(D21,SEARCH("_",D21)+2,1)),MID(D21,SEARCH("_",D21)+1,2)))&amp;"."&amp;IF(LEFT(RIGHT(D21,2),1)="0",RIGHT(D21,1),RIGHT(D21,2)),MAX($C$12:$C20)+1))</f>
        <v>8</v>
      </c>
      <c r="D21" s="158" t="s">
        <v>127</v>
      </c>
      <c r="E21" s="159">
        <v>20</v>
      </c>
      <c r="F21" s="159">
        <v>100</v>
      </c>
      <c r="G21" s="229" t="str">
        <f>+$G$20</f>
        <v/>
      </c>
      <c r="H21" s="159" t="str">
        <f>+H20</f>
        <v/>
      </c>
      <c r="I21" s="158" t="s">
        <v>115</v>
      </c>
      <c r="J21" s="161"/>
      <c r="K21" s="162"/>
      <c r="L21" s="163" t="s">
        <v>116</v>
      </c>
      <c r="M21" s="239" t="str">
        <f t="shared" si="6"/>
        <v/>
      </c>
      <c r="N21" s="165" t="str">
        <f>IFERROR(IF(ISERR(SEARCH("2d",#REF!)),IF(ISERR(SEARCH("1d",#REF!)),0,1),2)*($G21)*$H21/10^3+IF(ISERR(SEARCH("2n",#REF!)),IF(ISERR(SEARCH("1n",#REF!)),0,1),2)*($F21)*$H21/10^3,"")</f>
        <v/>
      </c>
      <c r="O21" s="165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P21" s="166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Q21" s="153">
        <f t="shared" si="3"/>
        <v>6</v>
      </c>
      <c r="R21" s="153" t="str">
        <f t="shared" si="2"/>
        <v>IN</v>
      </c>
      <c r="S21" s="154" t="str">
        <f t="shared" si="4"/>
        <v>1000</v>
      </c>
      <c r="T21" s="153" t="str">
        <f>IFERROR(MATCH(#REF!,#REF!,0)&amp;",","")</f>
        <v/>
      </c>
      <c r="U21" s="154"/>
      <c r="Y21" s="155">
        <f t="shared" si="5"/>
        <v>1</v>
      </c>
      <c r="AI21" s="155">
        <f>+AI20</f>
        <v>8</v>
      </c>
      <c r="AK21" s="155" t="e">
        <f t="shared" si="7"/>
        <v>#VALUE!</v>
      </c>
    </row>
    <row r="22" spans="1:37" s="155" customFormat="1" ht="30" customHeight="1">
      <c r="A22" s="141" t="str">
        <f t="shared" si="0"/>
        <v>DC113B(EI60)</v>
      </c>
      <c r="B22" s="141" t="str">
        <f t="shared" si="1"/>
        <v>Muc 9.1</v>
      </c>
      <c r="C22" s="157">
        <f>IF(D22="","",IFERROR((IF(LEFT(MID(D22,SEARCH("_",D22)+1,2),1)="0",(MID(D22,SEARCH("_",D22)+2,1)),MID(D22,SEARCH("_",D22)+1,2)))&amp;"."&amp;IF(LEFT(RIGHT(D22,2),1)="0",RIGHT(D22,1),RIGHT(D22,2)),MAX($C$12:$C21)+1))</f>
        <v>9</v>
      </c>
      <c r="D22" s="158" t="s">
        <v>128</v>
      </c>
      <c r="E22" s="159"/>
      <c r="F22" s="159">
        <f>+$F$21-$E$21</f>
        <v>80</v>
      </c>
      <c r="G22" s="229" t="str">
        <f>+$G$21</f>
        <v/>
      </c>
      <c r="H22" s="159" t="str">
        <f>+H21</f>
        <v/>
      </c>
      <c r="I22" s="158" t="s">
        <v>120</v>
      </c>
      <c r="J22" s="161"/>
      <c r="K22" s="162"/>
      <c r="L22" s="163" t="s">
        <v>121</v>
      </c>
      <c r="M22" s="239" t="str">
        <f t="shared" si="6"/>
        <v/>
      </c>
      <c r="N22" s="165" t="str">
        <f>IFERROR(IF(ISERR(SEARCH("2d",#REF!)),IF(ISERR(SEARCH("1d",#REF!)),0,1),2)*($G22)*$H22/10^3+IF(ISERR(SEARCH("2n",#REF!)),IF(ISERR(SEARCH("1n",#REF!)),0,1),2)*($F22)*$H22/10^3,"")</f>
        <v/>
      </c>
      <c r="O22" s="165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P22" s="166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Q22" s="153">
        <f t="shared" si="3"/>
        <v>6</v>
      </c>
      <c r="R22" s="153" t="str">
        <f t="shared" si="2"/>
        <v>IN</v>
      </c>
      <c r="S22" s="154" t="str">
        <f t="shared" si="4"/>
        <v>1000</v>
      </c>
      <c r="T22" s="153" t="str">
        <f>IFERROR(MATCH(#REF!,#REF!,0)&amp;",","")</f>
        <v/>
      </c>
      <c r="U22" s="154"/>
      <c r="Y22" s="155">
        <f t="shared" si="5"/>
        <v>1</v>
      </c>
      <c r="AI22" s="155">
        <f>+AI21</f>
        <v>8</v>
      </c>
      <c r="AK22" s="155" t="e">
        <f t="shared" si="7"/>
        <v>#VALUE!</v>
      </c>
    </row>
    <row r="23" spans="1:37" s="155" customFormat="1" ht="30" customHeight="1">
      <c r="A23" s="141" t="str">
        <f t="shared" si="0"/>
        <v>DC113B(EI60)</v>
      </c>
      <c r="B23" s="141" t="str">
        <f t="shared" si="1"/>
        <v>Muc 9.1</v>
      </c>
      <c r="C23" s="157">
        <f>IF(D23="","",IFERROR((IF(LEFT(MID(D23,SEARCH("_",D23)+1,2),1)="0",(MID(D23,SEARCH("_",D23)+2,1)),MID(D23,SEARCH("_",D23)+1,2)))&amp;"."&amp;IF(LEFT(RIGHT(D23,2),1)="0",RIGHT(D23,1),RIGHT(D23,2)),MAX($C$12:$C22)+1))</f>
        <v>10</v>
      </c>
      <c r="D23" s="158" t="s">
        <v>129</v>
      </c>
      <c r="E23" s="159"/>
      <c r="F23" s="159">
        <v>100</v>
      </c>
      <c r="G23" s="229" t="str">
        <f>IFERROR(IF($K$6-100-100&lt;0,0,$K$6-100-100),"")</f>
        <v/>
      </c>
      <c r="H23" s="159" t="str">
        <f>+IFERROR(4*K7,"")</f>
        <v/>
      </c>
      <c r="I23" s="158" t="s">
        <v>120</v>
      </c>
      <c r="J23" s="161"/>
      <c r="K23" s="162"/>
      <c r="L23" s="163" t="s">
        <v>121</v>
      </c>
      <c r="M23" s="239" t="str">
        <f t="shared" si="6"/>
        <v/>
      </c>
      <c r="N23" s="165" t="str">
        <f>IFERROR(IF(ISERR(SEARCH("2d",#REF!)),IF(ISERR(SEARCH("1d",#REF!)),0,1),2)*($G23)*$H23/10^3+IF(ISERR(SEARCH("2n",#REF!)),IF(ISERR(SEARCH("1n",#REF!)),0,1),2)*($F23)*$H23/10^3,"")</f>
        <v/>
      </c>
      <c r="O23" s="165" t="str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/>
      </c>
      <c r="P23" s="166" t="str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/>
      </c>
      <c r="Q23" s="153">
        <f t="shared" si="3"/>
        <v>6</v>
      </c>
      <c r="R23" s="153" t="str">
        <f t="shared" si="2"/>
        <v>IN</v>
      </c>
      <c r="S23" s="154" t="str">
        <f t="shared" si="4"/>
        <v>1000</v>
      </c>
      <c r="T23" s="153" t="str">
        <f>IFERROR(MATCH(#REF!,#REF!,0)&amp;",","")</f>
        <v/>
      </c>
      <c r="U23" s="154"/>
      <c r="Y23" s="155">
        <f t="shared" si="5"/>
        <v>1</v>
      </c>
      <c r="AI23" s="155">
        <v>4</v>
      </c>
      <c r="AK23" s="155" t="e">
        <f t="shared" si="7"/>
        <v>#VALUE!</v>
      </c>
    </row>
    <row r="24" spans="1:37" s="155" customFormat="1" ht="30" customHeight="1">
      <c r="A24" s="141" t="str">
        <f t="shared" si="0"/>
        <v>DC113B(EI60)</v>
      </c>
      <c r="B24" s="141" t="str">
        <f t="shared" si="1"/>
        <v>Muc 9.1</v>
      </c>
      <c r="C24" s="157">
        <f>IF(D24="","",IFERROR((IF(LEFT(MID(D24,SEARCH("_",D24)+1,2),1)="0",(MID(D24,SEARCH("_",D24)+2,1)),MID(D24,SEARCH("_",D24)+1,2)))&amp;"."&amp;IF(LEFT(RIGHT(D24,2),1)="0",RIGHT(D24,1),RIGHT(D24,2)),MAX($C$12:$C23)+1))</f>
        <v>11</v>
      </c>
      <c r="D24" s="158" t="s">
        <v>130</v>
      </c>
      <c r="E24" s="159">
        <v>20</v>
      </c>
      <c r="F24" s="159">
        <f>+$F$23</f>
        <v>100</v>
      </c>
      <c r="G24" s="229" t="str">
        <f>+$G$23</f>
        <v/>
      </c>
      <c r="H24" s="159" t="str">
        <f>+H23</f>
        <v/>
      </c>
      <c r="I24" s="158" t="s">
        <v>115</v>
      </c>
      <c r="J24" s="161"/>
      <c r="K24" s="162"/>
      <c r="L24" s="163" t="s">
        <v>116</v>
      </c>
      <c r="M24" s="239" t="str">
        <f t="shared" si="6"/>
        <v/>
      </c>
      <c r="N24" s="165" t="str">
        <f>IFERROR(IF(ISERR(SEARCH("2d",#REF!)),IF(ISERR(SEARCH("1d",#REF!)),0,1),2)*($G24)*$H24/10^3+IF(ISERR(SEARCH("2n",#REF!)),IF(ISERR(SEARCH("1n",#REF!)),0,1),2)*($F24)*$H24/10^3,"")</f>
        <v/>
      </c>
      <c r="O24" s="165" t="str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/>
      </c>
      <c r="P24" s="166" t="str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/>
      </c>
      <c r="Q24" s="153">
        <f t="shared" si="3"/>
        <v>6</v>
      </c>
      <c r="R24" s="153" t="str">
        <f t="shared" si="2"/>
        <v>IN</v>
      </c>
      <c r="S24" s="154" t="str">
        <f t="shared" si="4"/>
        <v>1000</v>
      </c>
      <c r="T24" s="153" t="str">
        <f>IFERROR(MATCH(#REF!,#REF!,0)&amp;",","")</f>
        <v/>
      </c>
      <c r="U24" s="154"/>
      <c r="Y24" s="155">
        <f t="shared" si="5"/>
        <v>1</v>
      </c>
      <c r="AI24" s="155">
        <f>+AI23</f>
        <v>4</v>
      </c>
      <c r="AK24" s="155" t="e">
        <f t="shared" si="7"/>
        <v>#VALUE!</v>
      </c>
    </row>
    <row r="25" spans="1:37" s="155" customFormat="1" ht="30" customHeight="1">
      <c r="A25" s="141" t="str">
        <f t="shared" si="0"/>
        <v>DC113B(EI60)</v>
      </c>
      <c r="B25" s="141" t="str">
        <f t="shared" si="1"/>
        <v>Muc 9.1</v>
      </c>
      <c r="C25" s="157">
        <f>IF(D25="","",IFERROR((IF(LEFT(MID(D25,SEARCH("_",D25)+1,2),1)="0",(MID(D25,SEARCH("_",D25)+2,1)),MID(D25,SEARCH("_",D25)+1,2)))&amp;"."&amp;IF(LEFT(RIGHT(D25,2),1)="0",RIGHT(D25,1),RIGHT(D25,2)),MAX($C$12:$C24)+1))</f>
        <v>12</v>
      </c>
      <c r="D25" s="158" t="s">
        <v>131</v>
      </c>
      <c r="E25" s="159"/>
      <c r="F25" s="159">
        <f>+$F$24-$E$24</f>
        <v>80</v>
      </c>
      <c r="G25" s="229" t="str">
        <f>+$G$24</f>
        <v/>
      </c>
      <c r="H25" s="159" t="str">
        <f>+H24</f>
        <v/>
      </c>
      <c r="I25" s="158" t="s">
        <v>120</v>
      </c>
      <c r="J25" s="161"/>
      <c r="K25" s="162"/>
      <c r="L25" s="163" t="s">
        <v>121</v>
      </c>
      <c r="M25" s="239" t="str">
        <f t="shared" si="6"/>
        <v/>
      </c>
      <c r="N25" s="165" t="str">
        <f>IFERROR(IF(ISERR(SEARCH("2d",#REF!)),IF(ISERR(SEARCH("1d",#REF!)),0,1),2)*($G25)*$H25/10^3+IF(ISERR(SEARCH("2n",#REF!)),IF(ISERR(SEARCH("1n",#REF!)),0,1),2)*($F25)*$H25/10^3,"")</f>
        <v/>
      </c>
      <c r="O25" s="165" t="str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/>
      </c>
      <c r="P25" s="166" t="str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/>
      </c>
      <c r="Q25" s="153">
        <f t="shared" si="3"/>
        <v>6</v>
      </c>
      <c r="R25" s="153" t="str">
        <f t="shared" si="2"/>
        <v>IN</v>
      </c>
      <c r="S25" s="154" t="str">
        <f t="shared" si="4"/>
        <v>1000</v>
      </c>
      <c r="T25" s="153" t="str">
        <f>IFERROR(MATCH(#REF!,#REF!,0)&amp;",","")</f>
        <v/>
      </c>
      <c r="U25" s="154"/>
      <c r="Y25" s="155">
        <f t="shared" si="5"/>
        <v>1</v>
      </c>
      <c r="AI25" s="155">
        <f>+AI24</f>
        <v>4</v>
      </c>
      <c r="AK25" s="155" t="e">
        <f t="shared" si="7"/>
        <v>#VALUE!</v>
      </c>
    </row>
    <row r="26" spans="1:37" s="155" customFormat="1" ht="30" customHeight="1">
      <c r="A26" s="141" t="str">
        <f t="shared" si="0"/>
        <v>DC113B(EI60)</v>
      </c>
      <c r="B26" s="141" t="str">
        <f t="shared" si="1"/>
        <v>Muc 9.1</v>
      </c>
      <c r="C26" s="157">
        <f>IF(D26="","",IFERROR((IF(LEFT(MID(D26,SEARCH("_",D26)+1,2),1)="0",(MID(D26,SEARCH("_",D26)+2,1)),MID(D26,SEARCH("_",D26)+1,2)))&amp;"."&amp;IF(LEFT(RIGHT(D26,2),1)="0",RIGHT(D26,1),RIGHT(D26,2)),MAX($C$12:$C25)+1))</f>
        <v>13</v>
      </c>
      <c r="D26" s="158" t="s">
        <v>132</v>
      </c>
      <c r="E26" s="159"/>
      <c r="F26" s="159">
        <v>100</v>
      </c>
      <c r="G26" s="229" t="str">
        <f>IFERROR(IF($L$6-100-100&lt;0,0,$L$6-100-100),"")</f>
        <v/>
      </c>
      <c r="H26" s="159" t="str">
        <f>+IFERROR(4*K7,"")</f>
        <v/>
      </c>
      <c r="I26" s="158" t="s">
        <v>120</v>
      </c>
      <c r="J26" s="161"/>
      <c r="K26" s="162"/>
      <c r="L26" s="163" t="s">
        <v>121</v>
      </c>
      <c r="M26" s="239" t="str">
        <f t="shared" si="6"/>
        <v/>
      </c>
      <c r="N26" s="165" t="str">
        <f>IFERROR(IF(ISERR(SEARCH("2d",#REF!)),IF(ISERR(SEARCH("1d",#REF!)),0,1),2)*($G26)*$H26/10^3+IF(ISERR(SEARCH("2n",#REF!)),IF(ISERR(SEARCH("1n",#REF!)),0,1),2)*($F26)*$H26/10^3,"")</f>
        <v/>
      </c>
      <c r="O26" s="165" t="str">
        <f>IFERROR(IF(ISERR(SEARCH("2m",#REF!)),IF(ISERR(SEARCH("1m",#REF!)),0,1),2)*$G26*$F26*$H26/10^6+IF(ISERR(SEARCH("2d",#REF!)),IF(ISERR(SEARCH("1d",#REF!)),0,1),2)*$G26*$E26*$H26/10^6+IF(ISERR(SEARCH("2n",#REF!)),IF(ISERR(SEARCH("1n",#REF!)),0,1),2)*$F26*$E26*$H26/10^6,"")</f>
        <v/>
      </c>
      <c r="P26" s="166" t="str">
        <f>IFERROR(IF(ISERR(SEARCH("2m",#REF!)),IF(ISERR(SEARCH("1m",#REF!)),0,1),2)*$G26*$F26*$H26/10^6+IF(ISERR(SEARCH("2d",#REF!)),IF(ISERR(SEARCH("1d",#REF!)),0,1),2)*$G26*$E26*$H26/10^6+IF(ISERR(SEARCH("2n",#REF!)),IF(ISERR(SEARCH("1n",#REF!)),0,1),2)*$F26*$E26*$H26/10^6,"")</f>
        <v/>
      </c>
      <c r="Q26" s="153">
        <f t="shared" si="3"/>
        <v>6</v>
      </c>
      <c r="R26" s="153" t="str">
        <f t="shared" si="2"/>
        <v>IN</v>
      </c>
      <c r="S26" s="154" t="str">
        <f t="shared" si="4"/>
        <v>1000</v>
      </c>
      <c r="T26" s="153" t="str">
        <f>IFERROR(MATCH(#REF!,#REF!,0)&amp;",","")</f>
        <v/>
      </c>
      <c r="U26" s="154"/>
      <c r="Y26" s="155">
        <f t="shared" si="5"/>
        <v>1</v>
      </c>
      <c r="AI26" s="155">
        <v>4</v>
      </c>
      <c r="AK26" s="155" t="e">
        <f t="shared" si="7"/>
        <v>#VALUE!</v>
      </c>
    </row>
    <row r="27" spans="1:37" s="155" customFormat="1" ht="30" customHeight="1">
      <c r="A27" s="141" t="str">
        <f t="shared" si="0"/>
        <v>DC113B(EI60)</v>
      </c>
      <c r="B27" s="141" t="str">
        <f t="shared" si="1"/>
        <v>Muc 9.1</v>
      </c>
      <c r="C27" s="157">
        <f>IF(D27="","",IFERROR((IF(LEFT(MID(D27,SEARCH("_",D27)+1,2),1)="0",(MID(D27,SEARCH("_",D27)+2,1)),MID(D27,SEARCH("_",D27)+1,2)))&amp;"."&amp;IF(LEFT(RIGHT(D27,2),1)="0",RIGHT(D27,1),RIGHT(D27,2)),MAX($C$12:$C26)+1))</f>
        <v>14</v>
      </c>
      <c r="D27" s="158" t="s">
        <v>133</v>
      </c>
      <c r="E27" s="159">
        <v>20</v>
      </c>
      <c r="F27" s="159">
        <v>100</v>
      </c>
      <c r="G27" s="229" t="str">
        <f>+$G$26</f>
        <v/>
      </c>
      <c r="H27" s="159" t="str">
        <f>+$H$26</f>
        <v/>
      </c>
      <c r="I27" s="158" t="s">
        <v>115</v>
      </c>
      <c r="J27" s="161"/>
      <c r="K27" s="162"/>
      <c r="L27" s="163" t="s">
        <v>116</v>
      </c>
      <c r="M27" s="239" t="str">
        <f t="shared" si="6"/>
        <v/>
      </c>
      <c r="N27" s="165" t="str">
        <f>IFERROR(IF(ISERR(SEARCH("2d",#REF!)),IF(ISERR(SEARCH("1d",#REF!)),0,1),2)*($G27)*$H27/10^3+IF(ISERR(SEARCH("2n",#REF!)),IF(ISERR(SEARCH("1n",#REF!)),0,1),2)*($F27)*$H27/10^3,"")</f>
        <v/>
      </c>
      <c r="O27" s="165" t="str">
        <f>IFERROR(IF(ISERR(SEARCH("2m",#REF!)),IF(ISERR(SEARCH("1m",#REF!)),0,1),2)*$G27*$F27*$H27/10^6+IF(ISERR(SEARCH("2d",#REF!)),IF(ISERR(SEARCH("1d",#REF!)),0,1),2)*$G27*$E27*$H27/10^6+IF(ISERR(SEARCH("2n",#REF!)),IF(ISERR(SEARCH("1n",#REF!)),0,1),2)*$F27*$E27*$H27/10^6,"")</f>
        <v/>
      </c>
      <c r="P27" s="166" t="str">
        <f>IFERROR(IF(ISERR(SEARCH("2m",#REF!)),IF(ISERR(SEARCH("1m",#REF!)),0,1),2)*$G27*$F27*$H27/10^6+IF(ISERR(SEARCH("2d",#REF!)),IF(ISERR(SEARCH("1d",#REF!)),0,1),2)*$G27*$E27*$H27/10^6+IF(ISERR(SEARCH("2n",#REF!)),IF(ISERR(SEARCH("1n",#REF!)),0,1),2)*$F27*$E27*$H27/10^6,"")</f>
        <v/>
      </c>
      <c r="Q27" s="153">
        <f t="shared" si="3"/>
        <v>6</v>
      </c>
      <c r="R27" s="153" t="str">
        <f t="shared" si="2"/>
        <v>IN</v>
      </c>
      <c r="S27" s="154" t="str">
        <f t="shared" si="4"/>
        <v>1000</v>
      </c>
      <c r="T27" s="153" t="str">
        <f>IFERROR(MATCH(#REF!,#REF!,0)&amp;",","")</f>
        <v/>
      </c>
      <c r="U27" s="154"/>
      <c r="Y27" s="155">
        <f t="shared" si="5"/>
        <v>1</v>
      </c>
      <c r="AI27" s="155">
        <v>4</v>
      </c>
      <c r="AK27" s="155" t="e">
        <f t="shared" si="7"/>
        <v>#VALUE!</v>
      </c>
    </row>
    <row r="28" spans="1:37" s="155" customFormat="1" ht="30" customHeight="1">
      <c r="A28" s="141" t="str">
        <f t="shared" si="0"/>
        <v>DC113B(EI60)</v>
      </c>
      <c r="B28" s="141" t="str">
        <f t="shared" si="1"/>
        <v>Muc 9.1</v>
      </c>
      <c r="C28" s="157">
        <f>IF(D28="","",IFERROR((IF(LEFT(MID(D28,SEARCH("_",D28)+1,2),1)="0",(MID(D28,SEARCH("_",D28)+2,1)),MID(D28,SEARCH("_",D28)+1,2)))&amp;"."&amp;IF(LEFT(RIGHT(D28,2),1)="0",RIGHT(D28,1),RIGHT(D28,2)),MAX($C$12:$C27)+1))</f>
        <v>15</v>
      </c>
      <c r="D28" s="158" t="s">
        <v>134</v>
      </c>
      <c r="E28" s="159"/>
      <c r="F28" s="159">
        <f>+$F$27-$E$27</f>
        <v>80</v>
      </c>
      <c r="G28" s="229" t="str">
        <f>+$G$27</f>
        <v/>
      </c>
      <c r="H28" s="159" t="str">
        <f>+$H$26</f>
        <v/>
      </c>
      <c r="I28" s="158" t="s">
        <v>120</v>
      </c>
      <c r="J28" s="161"/>
      <c r="K28" s="162"/>
      <c r="L28" s="163" t="s">
        <v>121</v>
      </c>
      <c r="M28" s="239" t="str">
        <f t="shared" si="6"/>
        <v/>
      </c>
      <c r="N28" s="165" t="str">
        <f>IFERROR(IF(ISERR(SEARCH("2d",#REF!)),IF(ISERR(SEARCH("1d",#REF!)),0,1),2)*($G28)*$H28/10^3+IF(ISERR(SEARCH("2n",#REF!)),IF(ISERR(SEARCH("1n",#REF!)),0,1),2)*($F28)*$H28/10^3,"")</f>
        <v/>
      </c>
      <c r="O28" s="165" t="str">
        <f>IFERROR(IF(ISERR(SEARCH("2m",#REF!)),IF(ISERR(SEARCH("1m",#REF!)),0,1),2)*$G28*$F28*$H28/10^6+IF(ISERR(SEARCH("2d",#REF!)),IF(ISERR(SEARCH("1d",#REF!)),0,1),2)*$G28*$E28*$H28/10^6+IF(ISERR(SEARCH("2n",#REF!)),IF(ISERR(SEARCH("1n",#REF!)),0,1),2)*$F28*$E28*$H28/10^6,"")</f>
        <v/>
      </c>
      <c r="P28" s="166" t="str">
        <f>IFERROR(IF(ISERR(SEARCH("2m",#REF!)),IF(ISERR(SEARCH("1m",#REF!)),0,1),2)*$G28*$F28*$H28/10^6+IF(ISERR(SEARCH("2d",#REF!)),IF(ISERR(SEARCH("1d",#REF!)),0,1),2)*$G28*$E28*$H28/10^6+IF(ISERR(SEARCH("2n",#REF!)),IF(ISERR(SEARCH("1n",#REF!)),0,1),2)*$F28*$E28*$H28/10^6,"")</f>
        <v/>
      </c>
      <c r="Q28" s="153">
        <f t="shared" si="3"/>
        <v>6</v>
      </c>
      <c r="R28" s="153" t="str">
        <f t="shared" si="2"/>
        <v>IN</v>
      </c>
      <c r="S28" s="154" t="str">
        <f t="shared" si="4"/>
        <v>1000</v>
      </c>
      <c r="T28" s="153" t="str">
        <f>IFERROR(MATCH(#REF!,#REF!,0)&amp;",","")</f>
        <v/>
      </c>
      <c r="U28" s="154"/>
      <c r="Y28" s="155">
        <f t="shared" si="5"/>
        <v>1</v>
      </c>
      <c r="AI28" s="155">
        <v>4</v>
      </c>
      <c r="AK28" s="155" t="e">
        <f t="shared" si="7"/>
        <v>#VALUE!</v>
      </c>
    </row>
    <row r="29" spans="1:37" s="155" customFormat="1" ht="30" customHeight="1">
      <c r="A29" s="141" t="str">
        <f t="shared" si="0"/>
        <v>DC113B(EI60)</v>
      </c>
      <c r="B29" s="141" t="str">
        <f t="shared" si="1"/>
        <v>Muc 9.1</v>
      </c>
      <c r="C29" s="157">
        <f>IF(D29="","",IFERROR((IF(LEFT(MID(D29,SEARCH("_",D29)+1,2),1)="0",(MID(D29,SEARCH("_",D29)+2,1)),MID(D29,SEARCH("_",D29)+1,2)))&amp;"."&amp;IF(LEFT(RIGHT(D29,2),1)="0",RIGHT(D29,1),RIGHT(D29,2)),MAX($C$12:$C28)+1))</f>
        <v>16</v>
      </c>
      <c r="D29" s="158" t="s">
        <v>135</v>
      </c>
      <c r="E29" s="159">
        <v>20</v>
      </c>
      <c r="F29" s="159">
        <v>20</v>
      </c>
      <c r="G29" s="229" t="str">
        <f>IFERROR(IF($L$6+20&lt;0,0,$L$6+20),"")</f>
        <v/>
      </c>
      <c r="H29" s="159" t="str">
        <f>+IFERROR(1*K7,"")</f>
        <v/>
      </c>
      <c r="I29" s="158" t="s">
        <v>115</v>
      </c>
      <c r="J29" s="161"/>
      <c r="K29" s="162"/>
      <c r="L29" s="163" t="s">
        <v>116</v>
      </c>
      <c r="M29" s="239" t="str">
        <f t="shared" si="6"/>
        <v/>
      </c>
      <c r="N29" s="165" t="str">
        <f>IFERROR(IF(ISERR(SEARCH("2d",#REF!)),IF(ISERR(SEARCH("1d",#REF!)),0,1),2)*($G29)*$H29/10^3+IF(ISERR(SEARCH("2n",#REF!)),IF(ISERR(SEARCH("1n",#REF!)),0,1),2)*($F29)*$H29/10^3,"")</f>
        <v/>
      </c>
      <c r="O29" s="165" t="str">
        <f>IFERROR(IF(ISERR(SEARCH("2m",#REF!)),IF(ISERR(SEARCH("1m",#REF!)),0,1),2)*$G29*$F29*$H29/10^6+IF(ISERR(SEARCH("2d",#REF!)),IF(ISERR(SEARCH("1d",#REF!)),0,1),2)*$G29*$E29*$H29/10^6+IF(ISERR(SEARCH("2n",#REF!)),IF(ISERR(SEARCH("1n",#REF!)),0,1),2)*$F29*$E29*$H29/10^6,"")</f>
        <v/>
      </c>
      <c r="P29" s="166" t="str">
        <f>IFERROR(IF(ISERR(SEARCH("2m",#REF!)),IF(ISERR(SEARCH("1m",#REF!)),0,1),2)*$G29*$F29*$H29/10^6+IF(ISERR(SEARCH("2d",#REF!)),IF(ISERR(SEARCH("1d",#REF!)),0,1),2)*$G29*$E29*$H29/10^6+IF(ISERR(SEARCH("2n",#REF!)),IF(ISERR(SEARCH("1n",#REF!)),0,1),2)*$F29*$E29*$H29/10^6,"")</f>
        <v/>
      </c>
      <c r="Q29" s="153">
        <f t="shared" si="3"/>
        <v>6</v>
      </c>
      <c r="R29" s="153" t="str">
        <f t="shared" si="2"/>
        <v>IN</v>
      </c>
      <c r="S29" s="154" t="str">
        <f t="shared" si="4"/>
        <v>1000</v>
      </c>
      <c r="T29" s="153" t="str">
        <f>IFERROR(MATCH(#REF!,#REF!,0)&amp;",","")</f>
        <v/>
      </c>
      <c r="U29" s="154"/>
      <c r="Y29" s="155">
        <f t="shared" si="5"/>
        <v>1</v>
      </c>
      <c r="AI29" s="155">
        <v>1</v>
      </c>
      <c r="AK29" s="155" t="e">
        <f t="shared" si="7"/>
        <v>#VALUE!</v>
      </c>
    </row>
    <row r="30" spans="1:37" s="155" customFormat="1" ht="30" customHeight="1">
      <c r="A30" s="141" t="str">
        <f t="shared" si="0"/>
        <v>DC113B(EI60)</v>
      </c>
      <c r="B30" s="141" t="str">
        <f t="shared" si="1"/>
        <v>Muc 9.1</v>
      </c>
      <c r="C30" s="157">
        <f>IF(D30="","",IFERROR((IF(LEFT(MID(D30,SEARCH("_",D30)+1,2),1)="0",(MID(D30,SEARCH("_",D30)+2,1)),MID(D30,SEARCH("_",D30)+1,2)))&amp;"."&amp;IF(LEFT(RIGHT(D30,2),1)="0",RIGHT(D30,1),RIGHT(D30,2)),MAX($C$12:$C29)+1))</f>
        <v>17</v>
      </c>
      <c r="D30" s="158" t="s">
        <v>136</v>
      </c>
      <c r="E30" s="229">
        <v>9</v>
      </c>
      <c r="F30" s="229" t="str">
        <f>+$L$6</f>
        <v/>
      </c>
      <c r="G30" s="229" t="str">
        <f>+$K$6</f>
        <v/>
      </c>
      <c r="H30" s="159" t="str">
        <f>+IFERROR(2*K7,"")</f>
        <v/>
      </c>
      <c r="I30" s="158" t="s">
        <v>137</v>
      </c>
      <c r="J30" s="238" t="s">
        <v>138</v>
      </c>
      <c r="K30" s="162"/>
      <c r="L30" s="163" t="s">
        <v>139</v>
      </c>
      <c r="M30" s="239" t="str">
        <f t="shared" si="6"/>
        <v/>
      </c>
      <c r="N30" s="165" t="str">
        <f>IFERROR(IF(ISERR(SEARCH("2d",#REF!)),IF(ISERR(SEARCH("1d",#REF!)),0,1),2)*($G30)*$H30/10^3+IF(ISERR(SEARCH("2n",#REF!)),IF(ISERR(SEARCH("1n",#REF!)),0,1),2)*($F30)*$H30/10^3,"")</f>
        <v/>
      </c>
      <c r="O30" s="165" t="str">
        <f>IFERROR(IF(ISERR(SEARCH("2m",#REF!)),IF(ISERR(SEARCH("1m",#REF!)),0,1),2)*$G30*$F30*$H30/10^6+IF(ISERR(SEARCH("2d",#REF!)),IF(ISERR(SEARCH("1d",#REF!)),0,1),2)*$G30*$E30*$H30/10^6+IF(ISERR(SEARCH("2n",#REF!)),IF(ISERR(SEARCH("1n",#REF!)),0,1),2)*$F30*$E30*$H30/10^6,"")</f>
        <v/>
      </c>
      <c r="P30" s="166" t="str">
        <f>IFERROR(IF(ISERR(SEARCH("2m",#REF!)),IF(ISERR(SEARCH("1m",#REF!)),0,1),2)*$G30*$F30*$H30/10^6+IF(ISERR(SEARCH("2d",#REF!)),IF(ISERR(SEARCH("1d",#REF!)),0,1),2)*$G30*$E30*$H30/10^6+IF(ISERR(SEARCH("2n",#REF!)),IF(ISERR(SEARCH("1n",#REF!)),0,1),2)*$F30*$E30*$H30/10^6,"")</f>
        <v/>
      </c>
      <c r="Q30" s="153">
        <f t="shared" si="3"/>
        <v>6</v>
      </c>
      <c r="R30" s="153" t="str">
        <f t="shared" si="2"/>
        <v>IN</v>
      </c>
      <c r="S30" s="154" t="str">
        <f t="shared" si="4"/>
        <v>1000</v>
      </c>
      <c r="T30" s="153" t="str">
        <f>IFERROR(MATCH(#REF!,#REF!,0)&amp;",","")</f>
        <v/>
      </c>
      <c r="U30" s="154"/>
      <c r="Y30" s="155">
        <f t="shared" si="5"/>
        <v>1</v>
      </c>
      <c r="AI30" s="155">
        <v>2</v>
      </c>
      <c r="AK30" s="155" t="e">
        <f t="shared" si="7"/>
        <v>#VALUE!</v>
      </c>
    </row>
    <row r="31" spans="1:37" s="155" customFormat="1" ht="30" customHeight="1">
      <c r="A31" s="141" t="str">
        <f t="shared" si="0"/>
        <v>DC113B(EI60)</v>
      </c>
      <c r="B31" s="141" t="str">
        <f t="shared" si="1"/>
        <v>Muc 9.1</v>
      </c>
      <c r="C31" s="157">
        <f>IF(D31="","",IFERROR((IF(LEFT(MID(D31,SEARCH("_",D31)+1,2),1)="0",(MID(D31,SEARCH("_",D31)+2,1)),MID(D31,SEARCH("_",D31)+1,2)))&amp;"."&amp;IF(LEFT(RIGHT(D31,2),1)="0",RIGHT(D31,1),RIGHT(D31,2)),MAX($C$12:$C30)+1))</f>
        <v>18</v>
      </c>
      <c r="D31" s="158" t="s">
        <v>107</v>
      </c>
      <c r="E31" s="229"/>
      <c r="F31" s="229"/>
      <c r="G31" s="229"/>
      <c r="H31" s="159"/>
      <c r="I31" s="158" t="s">
        <v>108</v>
      </c>
      <c r="J31" s="161"/>
      <c r="K31" s="162"/>
      <c r="L31" s="163" t="s">
        <v>109</v>
      </c>
      <c r="M31" s="239" t="str">
        <f>IFERROR(($K$6*$L$6*4+$L$6*$M$6*2)*10^-6*1.3/0.5*$K$7,"")</f>
        <v/>
      </c>
      <c r="N31" s="165">
        <f>IFERROR(IF(ISERR(SEARCH("2d",#REF!)),IF(ISERR(SEARCH("1d",#REF!)),0,1),2)*($G31)*$H31/10^3+IF(ISERR(SEARCH("2n",#REF!)),IF(ISERR(SEARCH("1n",#REF!)),0,1),2)*($F31)*$H31/10^3,"")</f>
        <v>0</v>
      </c>
      <c r="O31" s="165">
        <f>IFERROR(IF(ISERR(SEARCH("2m",#REF!)),IF(ISERR(SEARCH("1m",#REF!)),0,1),2)*$G31*$F31*$H31/10^6+IF(ISERR(SEARCH("2d",#REF!)),IF(ISERR(SEARCH("1d",#REF!)),0,1),2)*$G31*$E31*$H31/10^6+IF(ISERR(SEARCH("2n",#REF!)),IF(ISERR(SEARCH("1n",#REF!)),0,1),2)*$F31*$E31*$H31/10^6,"")</f>
        <v>0</v>
      </c>
      <c r="P31" s="166">
        <f>IFERROR(IF(ISERR(SEARCH("2m",#REF!)),IF(ISERR(SEARCH("1m",#REF!)),0,1),2)*$G31*$F31*$H31/10^6+IF(ISERR(SEARCH("2d",#REF!)),IF(ISERR(SEARCH("1d",#REF!)),0,1),2)*$G31*$E31*$H31/10^6+IF(ISERR(SEARCH("2n",#REF!)),IF(ISERR(SEARCH("1n",#REF!)),0,1),2)*$F31*$E31*$H31/10^6,"")</f>
        <v>0</v>
      </c>
      <c r="Q31" s="153">
        <f t="shared" si="3"/>
        <v>6</v>
      </c>
      <c r="R31" s="153" t="str">
        <f t="shared" si="2"/>
        <v>IN</v>
      </c>
      <c r="S31" s="154" t="str">
        <f t="shared" si="4"/>
        <v>1000</v>
      </c>
      <c r="T31" s="153" t="str">
        <f>IFERROR(MATCH(#REF!,#REF!,0)&amp;",","")</f>
        <v/>
      </c>
      <c r="U31" s="154"/>
      <c r="Y31" s="155">
        <f t="shared" si="5"/>
        <v>1</v>
      </c>
      <c r="AK31" s="155">
        <f t="shared" si="7"/>
        <v>0</v>
      </c>
    </row>
    <row r="32" spans="1:37" s="155" customFormat="1" ht="30" customHeight="1">
      <c r="A32" s="141" t="str">
        <f t="shared" si="0"/>
        <v>DC113B(EI60)</v>
      </c>
      <c r="B32" s="141" t="str">
        <f t="shared" si="1"/>
        <v>Muc 9.1</v>
      </c>
      <c r="C32" s="157">
        <f>IF(D32="","",IFERROR((IF(LEFT(MID(D32,SEARCH("_",D32)+1,2),1)="0",(MID(D32,SEARCH("_",D32)+2,1)),MID(D32,SEARCH("_",D32)+1,2)))&amp;"."&amp;IF(LEFT(RIGHT(D32,2),1)="0",RIGHT(D32,1),RIGHT(D32,2)),MAX($C$12:$C31)+1))</f>
        <v>19</v>
      </c>
      <c r="D32" s="158" t="s">
        <v>110</v>
      </c>
      <c r="E32" s="229"/>
      <c r="F32" s="229"/>
      <c r="G32" s="229"/>
      <c r="H32" s="159"/>
      <c r="I32" s="158" t="s">
        <v>111</v>
      </c>
      <c r="J32" s="161"/>
      <c r="K32" s="162"/>
      <c r="L32" s="163" t="s">
        <v>109</v>
      </c>
      <c r="M32" s="239" t="str">
        <f>IFERROR(($K$6*$L$6*4+$L$6*$M$6*2)*10^-6*1.3/1.2*$K$7,"")</f>
        <v/>
      </c>
      <c r="N32" s="165">
        <f>IFERROR(IF(ISERR(SEARCH("2d",#REF!)),IF(ISERR(SEARCH("1d",#REF!)),0,1),2)*($G32)*$H32/10^3+IF(ISERR(SEARCH("2n",#REF!)),IF(ISERR(SEARCH("1n",#REF!)),0,1),2)*($F32)*$H32/10^3,"")</f>
        <v>0</v>
      </c>
      <c r="O32" s="165">
        <f>IFERROR(IF(ISERR(SEARCH("2m",#REF!)),IF(ISERR(SEARCH("1m",#REF!)),0,1),2)*$G32*$F32*$H32/10^6+IF(ISERR(SEARCH("2d",#REF!)),IF(ISERR(SEARCH("1d",#REF!)),0,1),2)*$G32*$E32*$H32/10^6+IF(ISERR(SEARCH("2n",#REF!)),IF(ISERR(SEARCH("1n",#REF!)),0,1),2)*$F32*$E32*$H32/10^6,"")</f>
        <v>0</v>
      </c>
      <c r="P32" s="166">
        <f>IFERROR(IF(ISERR(SEARCH("2m",#REF!)),IF(ISERR(SEARCH("1m",#REF!)),0,1),2)*$G32*$F32*$H32/10^6+IF(ISERR(SEARCH("2d",#REF!)),IF(ISERR(SEARCH("1d",#REF!)),0,1),2)*$G32*$E32*$H32/10^6+IF(ISERR(SEARCH("2n",#REF!)),IF(ISERR(SEARCH("1n",#REF!)),0,1),2)*$F32*$E32*$H32/10^6,"")</f>
        <v>0</v>
      </c>
      <c r="Q32" s="153">
        <f t="shared" si="3"/>
        <v>6</v>
      </c>
      <c r="R32" s="153" t="str">
        <f t="shared" si="2"/>
        <v>IN</v>
      </c>
      <c r="S32" s="154" t="str">
        <f t="shared" si="4"/>
        <v>1000</v>
      </c>
      <c r="T32" s="153" t="str">
        <f>IFERROR(MATCH(#REF!,#REF!,0)&amp;",","")</f>
        <v/>
      </c>
      <c r="U32" s="154"/>
      <c r="Y32" s="155">
        <f t="shared" si="5"/>
        <v>1</v>
      </c>
      <c r="AK32" s="155">
        <f t="shared" si="7"/>
        <v>0</v>
      </c>
    </row>
    <row r="33" spans="1:37" s="155" customFormat="1" ht="30" customHeight="1">
      <c r="A33" s="141" t="str">
        <f t="shared" si="0"/>
        <v>DC113B(EI60)</v>
      </c>
      <c r="B33" s="141" t="str">
        <f t="shared" si="1"/>
        <v>Muc 9.1</v>
      </c>
      <c r="C33" s="157">
        <f>IF(D33="","",IFERROR((IF(LEFT(MID(D33,SEARCH("_",D33)+1,2),1)="0",(MID(D33,SEARCH("_",D33)+2,1)),MID(D33,SEARCH("_",D33)+1,2)))&amp;"."&amp;IF(LEFT(RIGHT(D33,2),1)="0",RIGHT(D33,1),RIGHT(D33,2)),MAX($C$12:$C32)+1))</f>
        <v>20</v>
      </c>
      <c r="D33" s="158" t="s">
        <v>140</v>
      </c>
      <c r="E33" s="229" t="str">
        <f>IFERROR($M$6+50,"")</f>
        <v/>
      </c>
      <c r="F33" s="229" t="str">
        <f>IFERROR($L$6+50,"")</f>
        <v/>
      </c>
      <c r="G33" s="229" t="str">
        <f>IFERROR($K$6+50,"")</f>
        <v/>
      </c>
      <c r="H33" s="159" t="str">
        <f>+IFERROR(1*K7,"")</f>
        <v/>
      </c>
      <c r="I33" s="158" t="s">
        <v>120</v>
      </c>
      <c r="J33" s="238" t="s">
        <v>141</v>
      </c>
      <c r="K33" s="162"/>
      <c r="L33" s="163" t="s">
        <v>142</v>
      </c>
      <c r="M33" s="239" t="str">
        <f>IFERROR((G33+F33)*2*E33*10^-6/(1800*3100*10^-6),"")</f>
        <v/>
      </c>
      <c r="N33" s="165" t="str">
        <f>IFERROR(IF(ISERR(SEARCH("2d",#REF!)),IF(ISERR(SEARCH("1d",#REF!)),0,1),2)*($G33)*$H33/10^3+IF(ISERR(SEARCH("2n",#REF!)),IF(ISERR(SEARCH("1n",#REF!)),0,1),2)*($F33)*$H33/10^3,"")</f>
        <v/>
      </c>
      <c r="O33" s="165" t="str">
        <f>IFERROR(IF(ISERR(SEARCH("2m",#REF!)),IF(ISERR(SEARCH("1m",#REF!)),0,1),2)*$G33*$F33*$H33/10^6+IF(ISERR(SEARCH("2d",#REF!)),IF(ISERR(SEARCH("1d",#REF!)),0,1),2)*$G33*$E33*$H33/10^6+IF(ISERR(SEARCH("2n",#REF!)),IF(ISERR(SEARCH("1n",#REF!)),0,1),2)*$F33*$E33*$H33/10^6,"")</f>
        <v/>
      </c>
      <c r="P33" s="166" t="str">
        <f>IFERROR(IF(ISERR(SEARCH("2m",#REF!)),IF(ISERR(SEARCH("1m",#REF!)),0,1),2)*$G33*$F33*$H33/10^6+IF(ISERR(SEARCH("2d",#REF!)),IF(ISERR(SEARCH("1d",#REF!)),0,1),2)*$G33*$E33*$H33/10^6+IF(ISERR(SEARCH("2n",#REF!)),IF(ISERR(SEARCH("1n",#REF!)),0,1),2)*$F33*$E33*$H33/10^6,"")</f>
        <v/>
      </c>
      <c r="Q33" s="153">
        <f t="shared" si="3"/>
        <v>6</v>
      </c>
      <c r="R33" s="153" t="str">
        <f t="shared" si="2"/>
        <v>IN</v>
      </c>
      <c r="S33" s="154" t="str">
        <f t="shared" si="4"/>
        <v>1000</v>
      </c>
      <c r="T33" s="153" t="str">
        <f>IFERROR(MATCH(#REF!,#REF!,0)&amp;",","")</f>
        <v/>
      </c>
      <c r="U33" s="154"/>
      <c r="Y33" s="155">
        <f t="shared" si="5"/>
        <v>1</v>
      </c>
      <c r="AI33" s="155">
        <v>1</v>
      </c>
      <c r="AK33" s="155" t="e">
        <f t="shared" si="7"/>
        <v>#VALUE!</v>
      </c>
    </row>
    <row r="34" spans="1:37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/>
      <c r="M34" s="164"/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37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ref="L35:L76" si="8">IF(I35="","",IF(LEFT(I35,2)="gỗ","m3","Tấm"))</f>
        <v/>
      </c>
      <c r="M35" s="164">
        <f t="shared" ref="M35:M76" si="9">IF(OR(L35="Con",L35="Cụm",L35="Hệ",L35="Thanh"),H35,IF(L35="Tấm",(F35*G35*H35)/(1220*2440),IF(L35="Md",G35*H35/1000,IF(L35="M2",F35*G35*H35/10^6,IF(L35="M3",E35*F35*G35*H35/10^9,0)))))</f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37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8"/>
        <v/>
      </c>
      <c r="M36" s="164">
        <f t="shared" si="9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37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8"/>
        <v/>
      </c>
      <c r="M37" s="164">
        <f t="shared" si="9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37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8"/>
        <v/>
      </c>
      <c r="M38" s="164">
        <f t="shared" si="9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37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8"/>
        <v/>
      </c>
      <c r="M39" s="164">
        <f t="shared" si="9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37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8"/>
        <v/>
      </c>
      <c r="M40" s="164">
        <f t="shared" si="9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37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8"/>
        <v/>
      </c>
      <c r="M41" s="164">
        <f t="shared" si="9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37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8"/>
        <v/>
      </c>
      <c r="M42" s="164">
        <f t="shared" si="9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37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8"/>
        <v/>
      </c>
      <c r="M43" s="164">
        <f t="shared" si="9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37" s="155" customFormat="1" ht="30" hidden="1" customHeight="1">
      <c r="A44" s="141" t="str">
        <f t="shared" ref="A44:A75" si="10">IF(R44="IN",$E$6,"")</f>
        <v/>
      </c>
      <c r="B44" s="141" t="str">
        <f t="shared" ref="B44:B77" si="11">IF(R44="IN","Muc "&amp;$E$7,"")</f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8"/>
        <v/>
      </c>
      <c r="M44" s="164">
        <f t="shared" si="9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ref="R44:R77" si="12">IF(OR(C44&lt;&gt;"",D44&lt;&gt;""),"IN","")</f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37" s="155" customFormat="1" ht="30" hidden="1" customHeight="1">
      <c r="A45" s="141" t="str">
        <f t="shared" si="10"/>
        <v/>
      </c>
      <c r="B45" s="141" t="str">
        <f t="shared" si="1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8"/>
        <v/>
      </c>
      <c r="M45" s="164">
        <f t="shared" si="9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1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ref="Y45:Y76" si="13">IF(C45&lt;&gt;"",1,"")</f>
        <v/>
      </c>
    </row>
    <row r="46" spans="1:37" s="155" customFormat="1" ht="30" hidden="1" customHeight="1">
      <c r="A46" s="141" t="str">
        <f t="shared" si="10"/>
        <v/>
      </c>
      <c r="B46" s="141" t="str">
        <f t="shared" si="1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8"/>
        <v/>
      </c>
      <c r="M46" s="164">
        <f t="shared" si="9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1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13"/>
        <v/>
      </c>
    </row>
    <row r="47" spans="1:37" s="155" customFormat="1" ht="30" hidden="1" customHeight="1">
      <c r="A47" s="141" t="str">
        <f t="shared" si="10"/>
        <v/>
      </c>
      <c r="B47" s="141" t="str">
        <f t="shared" si="1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8"/>
        <v/>
      </c>
      <c r="M47" s="164">
        <f t="shared" si="9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1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13"/>
        <v/>
      </c>
    </row>
    <row r="48" spans="1:37" s="155" customFormat="1" ht="30" hidden="1" customHeight="1">
      <c r="A48" s="141" t="str">
        <f t="shared" si="10"/>
        <v/>
      </c>
      <c r="B48" s="141" t="str">
        <f t="shared" si="1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8"/>
        <v/>
      </c>
      <c r="M48" s="164">
        <f t="shared" si="9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1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13"/>
        <v/>
      </c>
    </row>
    <row r="49" spans="1:25" s="155" customFormat="1" ht="30" hidden="1" customHeight="1">
      <c r="A49" s="141" t="str">
        <f t="shared" si="10"/>
        <v/>
      </c>
      <c r="B49" s="141" t="str">
        <f t="shared" si="1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8"/>
        <v/>
      </c>
      <c r="M49" s="164">
        <f t="shared" si="9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1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13"/>
        <v/>
      </c>
    </row>
    <row r="50" spans="1:25" s="155" customFormat="1" ht="30" hidden="1" customHeight="1">
      <c r="A50" s="141" t="str">
        <f t="shared" si="10"/>
        <v/>
      </c>
      <c r="B50" s="141" t="str">
        <f t="shared" si="1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8"/>
        <v/>
      </c>
      <c r="M50" s="164">
        <f t="shared" si="9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1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13"/>
        <v/>
      </c>
    </row>
    <row r="51" spans="1:25" s="155" customFormat="1" ht="30" hidden="1" customHeight="1">
      <c r="A51" s="141" t="str">
        <f t="shared" si="10"/>
        <v/>
      </c>
      <c r="B51" s="141" t="str">
        <f t="shared" si="1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8"/>
        <v/>
      </c>
      <c r="M51" s="164">
        <f t="shared" si="9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1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13"/>
        <v/>
      </c>
    </row>
    <row r="52" spans="1:25" s="155" customFormat="1" ht="30" hidden="1" customHeight="1">
      <c r="A52" s="141" t="str">
        <f t="shared" si="10"/>
        <v/>
      </c>
      <c r="B52" s="141" t="str">
        <f t="shared" si="1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8"/>
        <v/>
      </c>
      <c r="M52" s="164">
        <f t="shared" si="9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1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13"/>
        <v/>
      </c>
    </row>
    <row r="53" spans="1:25" s="155" customFormat="1" ht="30" hidden="1" customHeight="1">
      <c r="A53" s="141" t="str">
        <f t="shared" si="10"/>
        <v/>
      </c>
      <c r="B53" s="141" t="str">
        <f t="shared" si="1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8"/>
        <v/>
      </c>
      <c r="M53" s="164">
        <f t="shared" si="9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1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13"/>
        <v/>
      </c>
    </row>
    <row r="54" spans="1:25" s="155" customFormat="1" ht="30" hidden="1" customHeight="1">
      <c r="A54" s="141" t="str">
        <f t="shared" si="10"/>
        <v/>
      </c>
      <c r="B54" s="141" t="str">
        <f t="shared" si="1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8"/>
        <v/>
      </c>
      <c r="M54" s="164">
        <f t="shared" si="9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1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13"/>
        <v/>
      </c>
    </row>
    <row r="55" spans="1:25" s="155" customFormat="1" ht="30" hidden="1" customHeight="1">
      <c r="A55" s="141" t="str">
        <f t="shared" si="10"/>
        <v/>
      </c>
      <c r="B55" s="141" t="str">
        <f t="shared" si="1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8"/>
        <v/>
      </c>
      <c r="M55" s="164">
        <f t="shared" si="9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1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13"/>
        <v/>
      </c>
    </row>
    <row r="56" spans="1:25" s="155" customFormat="1" ht="30" hidden="1" customHeight="1">
      <c r="A56" s="141" t="str">
        <f t="shared" si="10"/>
        <v/>
      </c>
      <c r="B56" s="141" t="str">
        <f t="shared" si="1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8"/>
        <v/>
      </c>
      <c r="M56" s="164">
        <f t="shared" si="9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1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13"/>
        <v/>
      </c>
    </row>
    <row r="57" spans="1:25" s="155" customFormat="1" ht="30" hidden="1" customHeight="1">
      <c r="A57" s="141" t="str">
        <f t="shared" si="10"/>
        <v/>
      </c>
      <c r="B57" s="141" t="str">
        <f t="shared" si="1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8"/>
        <v/>
      </c>
      <c r="M57" s="164">
        <f t="shared" si="9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1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13"/>
        <v/>
      </c>
    </row>
    <row r="58" spans="1:25" s="155" customFormat="1" ht="30" hidden="1" customHeight="1">
      <c r="A58" s="141" t="str">
        <f t="shared" si="10"/>
        <v/>
      </c>
      <c r="B58" s="141" t="str">
        <f t="shared" si="1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8"/>
        <v/>
      </c>
      <c r="M58" s="164">
        <f t="shared" si="9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1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13"/>
        <v/>
      </c>
    </row>
    <row r="59" spans="1:25" s="155" customFormat="1" ht="30" hidden="1" customHeight="1">
      <c r="A59" s="141" t="str">
        <f t="shared" si="10"/>
        <v/>
      </c>
      <c r="B59" s="141" t="str">
        <f t="shared" si="1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8"/>
        <v/>
      </c>
      <c r="M59" s="164">
        <f t="shared" si="9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1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13"/>
        <v/>
      </c>
    </row>
    <row r="60" spans="1:25" s="155" customFormat="1" ht="30" hidden="1" customHeight="1">
      <c r="A60" s="141" t="str">
        <f t="shared" si="10"/>
        <v/>
      </c>
      <c r="B60" s="141" t="str">
        <f t="shared" si="1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8"/>
        <v/>
      </c>
      <c r="M60" s="164">
        <f t="shared" si="9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1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13"/>
        <v/>
      </c>
    </row>
    <row r="61" spans="1:25" s="155" customFormat="1" ht="30" hidden="1" customHeight="1">
      <c r="A61" s="141" t="str">
        <f t="shared" si="10"/>
        <v/>
      </c>
      <c r="B61" s="141" t="str">
        <f t="shared" si="1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8"/>
        <v/>
      </c>
      <c r="M61" s="164">
        <f t="shared" si="9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1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13"/>
        <v/>
      </c>
    </row>
    <row r="62" spans="1:25" s="155" customFormat="1" ht="30" hidden="1" customHeight="1">
      <c r="A62" s="141" t="str">
        <f t="shared" si="10"/>
        <v/>
      </c>
      <c r="B62" s="141" t="str">
        <f t="shared" si="1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8"/>
        <v/>
      </c>
      <c r="M62" s="164">
        <f t="shared" si="9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1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13"/>
        <v/>
      </c>
    </row>
    <row r="63" spans="1:25" s="155" customFormat="1" ht="30" hidden="1" customHeight="1">
      <c r="A63" s="141" t="str">
        <f t="shared" si="10"/>
        <v/>
      </c>
      <c r="B63" s="141" t="str">
        <f t="shared" si="1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8"/>
        <v/>
      </c>
      <c r="M63" s="164">
        <f t="shared" si="9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1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13"/>
        <v/>
      </c>
    </row>
    <row r="64" spans="1:25" s="155" customFormat="1" ht="30" hidden="1" customHeight="1">
      <c r="A64" s="141" t="str">
        <f t="shared" si="10"/>
        <v/>
      </c>
      <c r="B64" s="141" t="str">
        <f t="shared" si="1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8"/>
        <v/>
      </c>
      <c r="M64" s="164">
        <f t="shared" si="9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1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13"/>
        <v/>
      </c>
    </row>
    <row r="65" spans="1:25" s="155" customFormat="1" ht="30" hidden="1" customHeight="1">
      <c r="A65" s="141" t="str">
        <f t="shared" si="10"/>
        <v/>
      </c>
      <c r="B65" s="141" t="str">
        <f t="shared" si="1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8"/>
        <v/>
      </c>
      <c r="M65" s="164">
        <f t="shared" si="9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1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13"/>
        <v/>
      </c>
    </row>
    <row r="66" spans="1:25" s="155" customFormat="1" ht="30" hidden="1" customHeight="1">
      <c r="A66" s="141" t="str">
        <f t="shared" si="10"/>
        <v/>
      </c>
      <c r="B66" s="141" t="str">
        <f t="shared" si="1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8"/>
        <v/>
      </c>
      <c r="M66" s="164">
        <f t="shared" si="9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1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13"/>
        <v/>
      </c>
    </row>
    <row r="67" spans="1:25" s="155" customFormat="1" ht="30" hidden="1" customHeight="1">
      <c r="A67" s="141" t="str">
        <f t="shared" si="10"/>
        <v/>
      </c>
      <c r="B67" s="141" t="str">
        <f t="shared" si="1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8"/>
        <v/>
      </c>
      <c r="M67" s="164">
        <f t="shared" si="9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1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13"/>
        <v/>
      </c>
    </row>
    <row r="68" spans="1:25" s="155" customFormat="1" ht="30" hidden="1" customHeight="1">
      <c r="A68" s="141" t="str">
        <f t="shared" si="10"/>
        <v/>
      </c>
      <c r="B68" s="141" t="str">
        <f t="shared" si="1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8"/>
        <v/>
      </c>
      <c r="M68" s="164">
        <f t="shared" si="9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1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13"/>
        <v/>
      </c>
    </row>
    <row r="69" spans="1:25" s="155" customFormat="1" ht="30" hidden="1" customHeight="1">
      <c r="A69" s="141" t="str">
        <f t="shared" si="10"/>
        <v/>
      </c>
      <c r="B69" s="141" t="str">
        <f t="shared" si="1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8"/>
        <v/>
      </c>
      <c r="M69" s="164">
        <f t="shared" si="9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1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13"/>
        <v/>
      </c>
    </row>
    <row r="70" spans="1:25" s="155" customFormat="1" ht="30" hidden="1" customHeight="1">
      <c r="A70" s="141" t="str">
        <f t="shared" si="10"/>
        <v/>
      </c>
      <c r="B70" s="141" t="str">
        <f t="shared" si="1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8"/>
        <v/>
      </c>
      <c r="M70" s="164">
        <f t="shared" si="9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1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13"/>
        <v/>
      </c>
    </row>
    <row r="71" spans="1:25" s="155" customFormat="1" ht="30" hidden="1" customHeight="1">
      <c r="A71" s="141" t="str">
        <f t="shared" si="10"/>
        <v/>
      </c>
      <c r="B71" s="141" t="str">
        <f t="shared" si="1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8"/>
        <v/>
      </c>
      <c r="M71" s="164">
        <f t="shared" si="9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1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13"/>
        <v/>
      </c>
    </row>
    <row r="72" spans="1:25" s="155" customFormat="1" ht="30" hidden="1" customHeight="1">
      <c r="A72" s="141" t="str">
        <f t="shared" si="10"/>
        <v/>
      </c>
      <c r="B72" s="141" t="str">
        <f t="shared" si="1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8"/>
        <v/>
      </c>
      <c r="M72" s="164">
        <f t="shared" si="9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1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13"/>
        <v/>
      </c>
    </row>
    <row r="73" spans="1:25" s="155" customFormat="1" ht="30" hidden="1" customHeight="1">
      <c r="A73" s="141" t="str">
        <f t="shared" si="10"/>
        <v/>
      </c>
      <c r="B73" s="141" t="str">
        <f t="shared" si="1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8"/>
        <v/>
      </c>
      <c r="M73" s="164">
        <f t="shared" si="9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1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13"/>
        <v/>
      </c>
    </row>
    <row r="74" spans="1:25" s="155" customFormat="1" ht="30" hidden="1" customHeight="1">
      <c r="A74" s="141" t="str">
        <f t="shared" si="10"/>
        <v/>
      </c>
      <c r="B74" s="141" t="str">
        <f t="shared" si="1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8"/>
        <v/>
      </c>
      <c r="M74" s="164">
        <f t="shared" si="9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1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13"/>
        <v/>
      </c>
    </row>
    <row r="75" spans="1:25" s="155" customFormat="1" ht="30" hidden="1" customHeight="1">
      <c r="A75" s="141" t="str">
        <f t="shared" si="10"/>
        <v/>
      </c>
      <c r="B75" s="141" t="str">
        <f t="shared" si="1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8"/>
        <v/>
      </c>
      <c r="M75" s="164">
        <f t="shared" si="9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1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13"/>
        <v/>
      </c>
    </row>
    <row r="76" spans="1:25" s="155" customFormat="1" ht="30" hidden="1" customHeight="1">
      <c r="A76" s="141" t="str">
        <f t="shared" ref="A76:A77" si="14">IF(R76="IN",$E$6,"")</f>
        <v/>
      </c>
      <c r="B76" s="141" t="str">
        <f t="shared" si="11"/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8"/>
        <v/>
      </c>
      <c r="M76" s="164">
        <f t="shared" si="9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si="12"/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13"/>
        <v/>
      </c>
    </row>
    <row r="77" spans="1:25" s="155" customFormat="1" ht="30" customHeight="1" thickBot="1">
      <c r="A77" s="141" t="str">
        <f t="shared" si="14"/>
        <v>DC113B(EI60)</v>
      </c>
      <c r="B77" s="141" t="str">
        <f t="shared" si="11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2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  <mergeCell ref="C1:E3"/>
    <mergeCell ref="F1:J3"/>
    <mergeCell ref="L1:P1"/>
    <mergeCell ref="L2:P2"/>
    <mergeCell ref="L3:P3"/>
    <mergeCell ref="A10:A11"/>
    <mergeCell ref="B10:B11"/>
    <mergeCell ref="C10:C11"/>
    <mergeCell ref="D10:D11"/>
    <mergeCell ref="E10:G10"/>
  </mergeCells>
  <conditionalFormatting sqref="C13:P76">
    <cfRule type="expression" dxfId="34" priority="19">
      <formula>$S12&gt;999</formula>
    </cfRule>
  </conditionalFormatting>
  <conditionalFormatting sqref="K13:L13 K37:L76">
    <cfRule type="expression" dxfId="33" priority="23">
      <formula>K13="LỖI DỮ LIỆU"</formula>
    </cfRule>
  </conditionalFormatting>
  <conditionalFormatting sqref="K13:P76">
    <cfRule type="cellIs" dxfId="32" priority="21" operator="equal">
      <formula>0</formula>
    </cfRule>
  </conditionalFormatting>
  <conditionalFormatting sqref="M13:M76">
    <cfRule type="cellIs" dxfId="31" priority="20" operator="equal">
      <formula>0</formula>
    </cfRule>
    <cfRule type="cellIs" dxfId="30" priority="22" operator="equal">
      <formula>0</formula>
    </cfRule>
  </conditionalFormatting>
  <conditionalFormatting sqref="K14:L18">
    <cfRule type="expression" dxfId="29" priority="2">
      <formula>K14="LỖI DỮ LIỆU"</formula>
    </cfRule>
  </conditionalFormatting>
  <conditionalFormatting sqref="K19:L36">
    <cfRule type="expression" dxfId="28" priority="1">
      <formula>K19="LỖI DỮ LIỆU"</formula>
    </cfRule>
  </conditionalFormatting>
  <dataValidations disablePrompts="1" count="3">
    <dataValidation type="list" allowBlank="1" showInputMessage="1" showErrorMessage="1" sqref="K84" xr:uid="{7434E292-9A18-4E67-A288-4FB2EA614B0F}">
      <formula1>$AA$2:$AA$7</formula1>
    </dataValidation>
    <dataValidation type="list" allowBlank="1" showInputMessage="1" showErrorMessage="1" sqref="L77" xr:uid="{0EB3FFC4-4F1C-4416-93FF-B31B863913F8}">
      <formula1>$Z$2:$Z$9</formula1>
    </dataValidation>
    <dataValidation type="list" allowBlank="1" showInputMessage="1" showErrorMessage="1" sqref="G84" xr:uid="{BA552E3C-8B82-4D04-84B4-4F81074BEFE4}">
      <formula1>$AB$2:$AB$3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8B610-6FA8-4470-B1E7-6ABF836BC7DD}">
  <sheetPr codeName="Sheet8" filterMode="1">
    <tabColor rgb="FFFFFF00"/>
  </sheetPr>
  <dimension ref="A1:AH88"/>
  <sheetViews>
    <sheetView view="pageBreakPreview" zoomScale="70" zoomScaleNormal="70" zoomScaleSheetLayoutView="70" workbookViewId="0">
      <pane ySplit="11" topLeftCell="A15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33" width="4.85546875" style="3"/>
    <col min="34" max="34" width="8" style="3" customWidth="1"/>
    <col min="35" max="35" width="7.7109375" style="3" customWidth="1"/>
    <col min="36" max="16384" width="4.85546875" style="3"/>
  </cols>
  <sheetData>
    <row r="1" spans="1:34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4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4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4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4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4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IV'!T13=4,AVERAGE('BOM_Phan IV'!M13:M835),""),"")</f>
        <v/>
      </c>
      <c r="L6" s="228" t="str">
        <f>IFERROR(IF('BOM_Phan IV'!T13=4,AVERAGE('BOM_Phan IV'!L13:L835),""),"")</f>
        <v/>
      </c>
      <c r="M6" s="228" t="str">
        <f>IFERROR(IF('BOM_Phan IV'!T13=4,AVERAGE('BOM_Phan IV'!K13:K835),""),"")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4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IV'!N13:N835),"")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4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4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4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4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4" s="155" customFormat="1" ht="30" customHeight="1">
      <c r="A12" s="141" t="str">
        <f t="shared" ref="A12:A75" si="0">IF(R12="IN",$E$6,"")</f>
        <v>DC113B(EI60)</v>
      </c>
      <c r="B12" s="141" t="str">
        <f t="shared" ref="B12:B75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75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4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76" si="5">IF(C13&lt;&gt;"",1,"")</f>
        <v/>
      </c>
    </row>
    <row r="14" spans="1:34" s="155" customFormat="1" ht="30" customHeight="1">
      <c r="A14" s="141" t="str">
        <f t="shared" ref="A14:A33" si="6">IF(R14="IN",$E$6,"")</f>
        <v>DC113B(EI60)</v>
      </c>
      <c r="B14" s="141" t="str">
        <f t="shared" ref="B14:B33" si="7">IF(R14="IN","Muc "&amp;$E$7,"")</f>
        <v>Muc 9.1</v>
      </c>
      <c r="C14" s="157">
        <f>IF(D14="","",IFERROR((IF(LEFT(MID(D14,SEARCH("_",D14)+1,2),1)="0",(MID(D14,SEARCH("_",D14)+2,1)),MID(D14,SEARCH("_",D14)+1,2)))&amp;"."&amp;IF(LEFT(RIGHT(D14,2),1)="0",RIGHT(D14,1),RIGHT(D14,2)),MAX($C$12:$C13)+1))</f>
        <v>1</v>
      </c>
      <c r="D14" s="158" t="s">
        <v>103</v>
      </c>
      <c r="E14" s="159">
        <v>25</v>
      </c>
      <c r="F14" s="159">
        <v>35</v>
      </c>
      <c r="G14" s="159" t="str">
        <f>IFERROR(IF((($K$6*2)+($L$6*2))&lt;0,0,($K$6*2)+($L$6*2)),"")</f>
        <v/>
      </c>
      <c r="H14" s="159" t="str">
        <f>+IFERROR(2*K7,"")</f>
        <v/>
      </c>
      <c r="I14" s="158" t="s">
        <v>104</v>
      </c>
      <c r="J14" s="161"/>
      <c r="K14" s="162"/>
      <c r="L14" s="163" t="s">
        <v>105</v>
      </c>
      <c r="M14" s="164" t="str">
        <f t="shared" ref="M14:M20" si="8">IFERROR(IF(OR(L14="Cái",L14="Cụm",L14="Hệ"),H14,IF(L14="Thanh",(G14*H14/2400),IF(L14="Tấm",(F14*G14*H14)/(1220*2440),IF(L14="M2",F14*G14*H14/10^6,IF(L14="M3",E14*F14*G14*H14/10^9,0))))),"")</f>
        <v/>
      </c>
      <c r="N14" s="165" t="str">
        <f>IFERROR(IF(ISERR(SEARCH("2d",#REF!)),IF(ISERR(SEARCH("1d",#REF!)),0,1),2)*($G14)*$H14/10^3+IF(ISERR(SEARCH("2n",#REF!)),IF(ISERR(SEARCH("1n",#REF!)),0,1),2)*($F14)*$H14/10^3,"")</f>
        <v/>
      </c>
      <c r="O14" s="165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166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153">
        <f t="shared" ref="Q14:Q33" si="9">IF(R14="IN",$T$3,"")</f>
        <v>6</v>
      </c>
      <c r="R14" s="153" t="str">
        <f t="shared" ref="R14:R33" si="10">IF(OR(C14&lt;&gt;"",D14&lt;&gt;""),"IN","")</f>
        <v>IN</v>
      </c>
      <c r="S14" s="154" t="str">
        <f t="shared" si="4"/>
        <v>1000</v>
      </c>
      <c r="T14" s="153" t="str">
        <f>IFERROR(MATCH(#REF!,#REF!,0)&amp;",","")</f>
        <v/>
      </c>
      <c r="U14" s="154"/>
      <c r="Y14" s="155">
        <f t="shared" ref="Y14:Y33" si="11">IF(C14&lt;&gt;"",1,"")</f>
        <v>1</v>
      </c>
      <c r="AH14" s="155">
        <v>2</v>
      </c>
    </row>
    <row r="15" spans="1:34" s="155" customFormat="1" ht="30" customHeight="1">
      <c r="A15" s="141" t="str">
        <f t="shared" si="6"/>
        <v>DC113B(EI60)</v>
      </c>
      <c r="B15" s="141" t="str">
        <f t="shared" si="7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2</v>
      </c>
      <c r="D15" s="158" t="s">
        <v>106</v>
      </c>
      <c r="E15" s="159">
        <v>25</v>
      </c>
      <c r="F15" s="159">
        <v>35</v>
      </c>
      <c r="G15" s="159" t="str">
        <f>IFERROR(IF($M$6-$F$14-$F$14&lt;0,0,$M$6-$F$14-$F$14),"")</f>
        <v/>
      </c>
      <c r="H15" s="159" t="str">
        <f>+IFERROR(4*K7,"")</f>
        <v/>
      </c>
      <c r="I15" s="158" t="s">
        <v>104</v>
      </c>
      <c r="J15" s="161"/>
      <c r="K15" s="162"/>
      <c r="L15" s="163" t="s">
        <v>105</v>
      </c>
      <c r="M15" s="164" t="str">
        <f t="shared" si="8"/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9"/>
        <v>6</v>
      </c>
      <c r="R15" s="153" t="str">
        <f t="shared" si="10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11"/>
        <v>1</v>
      </c>
      <c r="AH15" s="155">
        <v>4</v>
      </c>
    </row>
    <row r="16" spans="1:34" s="155" customFormat="1" ht="30" customHeight="1">
      <c r="A16" s="141" t="str">
        <f t="shared" si="6"/>
        <v>DC113B(EI60)</v>
      </c>
      <c r="B16" s="141" t="str">
        <f t="shared" si="7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3</v>
      </c>
      <c r="D16" s="158" t="s">
        <v>143</v>
      </c>
      <c r="E16" s="159">
        <v>18</v>
      </c>
      <c r="F16" s="159">
        <v>100</v>
      </c>
      <c r="G16" s="159" t="str">
        <f>IFERROR(IF(M6+E17+E18+E19+60&lt;0,0,M6+E17+E18+E19+60),"")</f>
        <v/>
      </c>
      <c r="H16" s="159" t="str">
        <f>+IFERROR(8*K7,"")</f>
        <v/>
      </c>
      <c r="I16" s="158" t="s">
        <v>144</v>
      </c>
      <c r="J16" s="161"/>
      <c r="K16" s="162"/>
      <c r="L16" s="163" t="s">
        <v>139</v>
      </c>
      <c r="M16" s="164" t="str">
        <f t="shared" si="8"/>
        <v/>
      </c>
      <c r="N16" s="165" t="str">
        <f>IFERROR(IF(ISERR(SEARCH("2d",#REF!)),IF(ISERR(SEARCH("1d",#REF!)),0,1),2)*($G16)*$H16/10^3+IF(ISERR(SEARCH("2n",#REF!)),IF(ISERR(SEARCH("1n",#REF!)),0,1),2)*($F16)*$H16/10^3,"")</f>
        <v/>
      </c>
      <c r="O16" s="165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166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153">
        <f t="shared" si="9"/>
        <v>6</v>
      </c>
      <c r="R16" s="153" t="str">
        <f t="shared" si="10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11"/>
        <v>1</v>
      </c>
      <c r="AH16" s="155">
        <v>8</v>
      </c>
    </row>
    <row r="17" spans="1:34" s="155" customFormat="1" ht="30" customHeight="1">
      <c r="A17" s="141" t="str">
        <f t="shared" si="6"/>
        <v>DC113B(EI60)</v>
      </c>
      <c r="B17" s="141" t="str">
        <f t="shared" si="7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4</v>
      </c>
      <c r="D17" s="158" t="s">
        <v>145</v>
      </c>
      <c r="E17" s="159">
        <v>18</v>
      </c>
      <c r="F17" s="159">
        <v>100</v>
      </c>
      <c r="G17" s="159" t="str">
        <f>$K$6</f>
        <v/>
      </c>
      <c r="H17" s="159" t="str">
        <f>+IFERROR(4*K7,"")</f>
        <v/>
      </c>
      <c r="I17" s="158" t="s">
        <v>144</v>
      </c>
      <c r="J17" s="161"/>
      <c r="K17" s="162"/>
      <c r="L17" s="163" t="s">
        <v>139</v>
      </c>
      <c r="M17" s="164" t="str">
        <f t="shared" si="8"/>
        <v/>
      </c>
      <c r="N17" s="165" t="str">
        <f>IFERROR(IF(ISERR(SEARCH("2d",#REF!)),IF(ISERR(SEARCH("1d",#REF!)),0,1),2)*($G17)*$H17/10^3+IF(ISERR(SEARCH("2n",#REF!)),IF(ISERR(SEARCH("1n",#REF!)),0,1),2)*($F17)*$H17/10^3,"")</f>
        <v/>
      </c>
      <c r="O17" s="165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166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153">
        <f t="shared" si="9"/>
        <v>6</v>
      </c>
      <c r="R17" s="153" t="str">
        <f t="shared" si="10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11"/>
        <v>1</v>
      </c>
      <c r="AH17" s="155">
        <v>4</v>
      </c>
    </row>
    <row r="18" spans="1:34" s="155" customFormat="1" ht="30" customHeight="1">
      <c r="A18" s="141" t="str">
        <f t="shared" si="6"/>
        <v>DC113B(EI60)</v>
      </c>
      <c r="B18" s="141" t="str">
        <f t="shared" si="7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5</v>
      </c>
      <c r="D18" s="158" t="s">
        <v>146</v>
      </c>
      <c r="E18" s="159">
        <v>18</v>
      </c>
      <c r="F18" s="159">
        <v>100</v>
      </c>
      <c r="G18" s="159" t="str">
        <f>$K$6</f>
        <v/>
      </c>
      <c r="H18" s="159" t="str">
        <f>+IFERROR(2*K7,"")</f>
        <v/>
      </c>
      <c r="I18" s="158" t="s">
        <v>144</v>
      </c>
      <c r="J18" s="161"/>
      <c r="K18" s="162"/>
      <c r="L18" s="163" t="s">
        <v>139</v>
      </c>
      <c r="M18" s="164" t="str">
        <f t="shared" si="8"/>
        <v/>
      </c>
      <c r="N18" s="165" t="str">
        <f>IFERROR(IF(ISERR(SEARCH("2d",#REF!)),IF(ISERR(SEARCH("1d",#REF!)),0,1),2)*($G18)*$H18/10^3+IF(ISERR(SEARCH("2n",#REF!)),IF(ISERR(SEARCH("1n",#REF!)),0,1),2)*($F18)*$H18/10^3,"")</f>
        <v/>
      </c>
      <c r="O18" s="165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166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153">
        <f t="shared" si="9"/>
        <v>6</v>
      </c>
      <c r="R18" s="153" t="str">
        <f t="shared" si="10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11"/>
        <v>1</v>
      </c>
      <c r="AH18" s="155">
        <v>2</v>
      </c>
    </row>
    <row r="19" spans="1:34" s="155" customFormat="1" ht="30" customHeight="1">
      <c r="A19" s="141" t="str">
        <f t="shared" si="6"/>
        <v>DC113B(EI60)</v>
      </c>
      <c r="B19" s="141" t="str">
        <f t="shared" si="7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6</v>
      </c>
      <c r="D19" s="158" t="s">
        <v>146</v>
      </c>
      <c r="E19" s="159">
        <v>18</v>
      </c>
      <c r="F19" s="159">
        <v>100</v>
      </c>
      <c r="G19" s="159" t="str">
        <f>IFERROR(IF($L$6-$F$18-$F$18&lt;0,0,$L$6-$F$18-$F$18),"")</f>
        <v/>
      </c>
      <c r="H19" s="159" t="str">
        <f>+IFERROR(2*K7,"")</f>
        <v/>
      </c>
      <c r="I19" s="158" t="s">
        <v>144</v>
      </c>
      <c r="J19" s="161"/>
      <c r="K19" s="162"/>
      <c r="L19" s="163" t="s">
        <v>139</v>
      </c>
      <c r="M19" s="164" t="str">
        <f t="shared" si="8"/>
        <v/>
      </c>
      <c r="N19" s="165" t="str">
        <f>IFERROR(IF(ISERR(SEARCH("2d",#REF!)),IF(ISERR(SEARCH("1d",#REF!)),0,1),2)*($G19)*$H19/10^3+IF(ISERR(SEARCH("2n",#REF!)),IF(ISERR(SEARCH("1n",#REF!)),0,1),2)*($F19)*$H19/10^3,"")</f>
        <v/>
      </c>
      <c r="O19" s="165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166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153">
        <f t="shared" si="9"/>
        <v>6</v>
      </c>
      <c r="R19" s="153" t="str">
        <f t="shared" si="10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11"/>
        <v>1</v>
      </c>
      <c r="AH19" s="155">
        <v>2</v>
      </c>
    </row>
    <row r="20" spans="1:34" s="155" customFormat="1" ht="30" customHeight="1">
      <c r="A20" s="141" t="str">
        <f t="shared" si="6"/>
        <v>DC113B(EI60)</v>
      </c>
      <c r="B20" s="141" t="str">
        <f t="shared" si="7"/>
        <v>Muc 9.1</v>
      </c>
      <c r="C20" s="157">
        <f>IF(D20="","",IFERROR((IF(LEFT(MID(D20,SEARCH("_",D20)+1,2),1)="0",(MID(D20,SEARCH("_",D20)+2,1)),MID(D20,SEARCH("_",D20)+1,2)))&amp;"."&amp;IF(LEFT(RIGHT(D20,2),1)="0",RIGHT(D20,1),RIGHT(D20,2)),MAX($C$12:$C19)+1))</f>
        <v>7</v>
      </c>
      <c r="D20" s="158" t="s">
        <v>146</v>
      </c>
      <c r="E20" s="159">
        <v>18</v>
      </c>
      <c r="F20" s="159">
        <v>100</v>
      </c>
      <c r="G20" s="159">
        <v>100</v>
      </c>
      <c r="H20" s="159" t="str">
        <f>+IFERROR(40*K7,"")</f>
        <v/>
      </c>
      <c r="I20" s="158" t="s">
        <v>144</v>
      </c>
      <c r="J20" s="161" t="s">
        <v>147</v>
      </c>
      <c r="K20" s="162"/>
      <c r="L20" s="163" t="s">
        <v>139</v>
      </c>
      <c r="M20" s="164" t="str">
        <f t="shared" si="8"/>
        <v/>
      </c>
      <c r="N20" s="165" t="str">
        <f>IFERROR(IF(ISERR(SEARCH("2d",#REF!)),IF(ISERR(SEARCH("1d",#REF!)),0,1),2)*($G20)*$H20/10^3+IF(ISERR(SEARCH("2n",#REF!)),IF(ISERR(SEARCH("1n",#REF!)),0,1),2)*($F20)*$H20/10^3,"")</f>
        <v/>
      </c>
      <c r="O20" s="165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166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153">
        <f t="shared" si="9"/>
        <v>6</v>
      </c>
      <c r="R20" s="153" t="str">
        <f t="shared" si="10"/>
        <v>IN</v>
      </c>
      <c r="S20" s="154" t="str">
        <f t="shared" si="4"/>
        <v>1000</v>
      </c>
      <c r="T20" s="153" t="str">
        <f>IFERROR(MATCH(#REF!,#REF!,0)&amp;",","")</f>
        <v/>
      </c>
      <c r="U20" s="154"/>
      <c r="Y20" s="155">
        <f t="shared" si="11"/>
        <v>1</v>
      </c>
      <c r="AH20" s="155">
        <v>40</v>
      </c>
    </row>
    <row r="21" spans="1:34" s="155" customFormat="1" ht="30" customHeight="1">
      <c r="A21" s="141" t="str">
        <f t="shared" si="6"/>
        <v>DC113B(EI60)</v>
      </c>
      <c r="B21" s="141" t="str">
        <f t="shared" si="7"/>
        <v>Muc 9.1</v>
      </c>
      <c r="C21" s="157">
        <f>IF(D21="","",IFERROR((IF(LEFT(MID(D21,SEARCH("_",D21)+1,2),1)="0",(MID(D21,SEARCH("_",D21)+2,1)),MID(D21,SEARCH("_",D21)+1,2)))&amp;"."&amp;IF(LEFT(RIGHT(D21,2),1)="0",RIGHT(D21,1),RIGHT(D21,2)),MAX($C$12:$C20)+1))</f>
        <v>8</v>
      </c>
      <c r="D21" s="158" t="s">
        <v>107</v>
      </c>
      <c r="E21" s="159"/>
      <c r="F21" s="159"/>
      <c r="G21" s="159"/>
      <c r="H21" s="159"/>
      <c r="I21" s="158" t="s">
        <v>108</v>
      </c>
      <c r="J21" s="161"/>
      <c r="K21" s="162"/>
      <c r="L21" s="163" t="s">
        <v>109</v>
      </c>
      <c r="M21" s="164" t="str">
        <f>IFERROR(($K$6*$L$6*4+$L$6*$M$6*2)*10^-6*1.3/0.5*$K$7,"")</f>
        <v/>
      </c>
      <c r="N21" s="165">
        <f>IFERROR(IF(ISERR(SEARCH("2d",#REF!)),IF(ISERR(SEARCH("1d",#REF!)),0,1),2)*($G21)*$H21/10^3+IF(ISERR(SEARCH("2n",#REF!)),IF(ISERR(SEARCH("1n",#REF!)),0,1),2)*($F21)*$H21/10^3,"")</f>
        <v>0</v>
      </c>
      <c r="O21" s="165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>0</v>
      </c>
      <c r="P21" s="166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>0</v>
      </c>
      <c r="Q21" s="153">
        <f t="shared" si="9"/>
        <v>6</v>
      </c>
      <c r="R21" s="153" t="str">
        <f t="shared" si="10"/>
        <v>IN</v>
      </c>
      <c r="S21" s="154" t="str">
        <f t="shared" si="4"/>
        <v>1000</v>
      </c>
      <c r="T21" s="153" t="str">
        <f>IFERROR(MATCH(#REF!,#REF!,0)&amp;",","")</f>
        <v/>
      </c>
      <c r="U21" s="154"/>
      <c r="Y21" s="155">
        <f t="shared" si="11"/>
        <v>1</v>
      </c>
    </row>
    <row r="22" spans="1:34" s="155" customFormat="1" ht="30" customHeight="1">
      <c r="A22" s="141" t="str">
        <f t="shared" si="6"/>
        <v>DC113B(EI60)</v>
      </c>
      <c r="B22" s="141" t="str">
        <f t="shared" si="7"/>
        <v>Muc 9.1</v>
      </c>
      <c r="C22" s="157">
        <f>IF(D22="","",IFERROR((IF(LEFT(MID(D22,SEARCH("_",D22)+1,2),1)="0",(MID(D22,SEARCH("_",D22)+2,1)),MID(D22,SEARCH("_",D22)+1,2)))&amp;"."&amp;IF(LEFT(RIGHT(D22,2),1)="0",RIGHT(D22,1),RIGHT(D22,2)),MAX($C$12:$C21)+1))</f>
        <v>9</v>
      </c>
      <c r="D22" s="158" t="s">
        <v>110</v>
      </c>
      <c r="E22" s="159"/>
      <c r="F22" s="159"/>
      <c r="G22" s="159"/>
      <c r="H22" s="159"/>
      <c r="I22" s="158" t="s">
        <v>111</v>
      </c>
      <c r="J22" s="161"/>
      <c r="K22" s="162"/>
      <c r="L22" s="163" t="s">
        <v>109</v>
      </c>
      <c r="M22" s="164" t="str">
        <f>IFERROR(($K$6*$L$6*4+$L$6*$M$6*2)*10^-6*1.3/1.2*$K$7,"")</f>
        <v/>
      </c>
      <c r="N22" s="165">
        <f>IFERROR(IF(ISERR(SEARCH("2d",#REF!)),IF(ISERR(SEARCH("1d",#REF!)),0,1),2)*($G22)*$H22/10^3+IF(ISERR(SEARCH("2n",#REF!)),IF(ISERR(SEARCH("1n",#REF!)),0,1),2)*($F22)*$H22/10^3,"")</f>
        <v>0</v>
      </c>
      <c r="O22" s="165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>0</v>
      </c>
      <c r="P22" s="166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>0</v>
      </c>
      <c r="Q22" s="153">
        <f t="shared" si="9"/>
        <v>6</v>
      </c>
      <c r="R22" s="153" t="str">
        <f t="shared" si="10"/>
        <v>IN</v>
      </c>
      <c r="S22" s="154" t="str">
        <f t="shared" si="4"/>
        <v>1000</v>
      </c>
      <c r="T22" s="153" t="str">
        <f>IFERROR(MATCH(#REF!,#REF!,0)&amp;",","")</f>
        <v/>
      </c>
      <c r="U22" s="154"/>
      <c r="Y22" s="155">
        <f t="shared" si="11"/>
        <v>1</v>
      </c>
    </row>
    <row r="23" spans="1:34" s="155" customFormat="1" ht="30" customHeight="1">
      <c r="A23" s="141" t="str">
        <f t="shared" si="6"/>
        <v>DC113B(EI60)</v>
      </c>
      <c r="B23" s="141" t="str">
        <f t="shared" si="7"/>
        <v>Muc 9.1</v>
      </c>
      <c r="C23" s="157">
        <f>IF(D23="","",IFERROR((IF(LEFT(MID(D23,SEARCH("_",D23)+1,2),1)="0",(MID(D23,SEARCH("_",D23)+2,1)),MID(D23,SEARCH("_",D23)+1,2)))&amp;"."&amp;IF(LEFT(RIGHT(D23,2),1)="0",RIGHT(D23,1),RIGHT(D23,2)),MAX($C$12:$C22)+1))</f>
        <v>10</v>
      </c>
      <c r="D23" s="158" t="s">
        <v>148</v>
      </c>
      <c r="E23" s="159"/>
      <c r="F23" s="159"/>
      <c r="G23" s="159"/>
      <c r="H23" s="159"/>
      <c r="I23" s="158" t="s">
        <v>149</v>
      </c>
      <c r="J23" s="161"/>
      <c r="K23" s="162"/>
      <c r="L23" s="163" t="s">
        <v>109</v>
      </c>
      <c r="M23" s="164" t="str">
        <f>IFERROR(($K$6*8+$L$6*8+$M$6*80)*10^-3*$K$7,"")</f>
        <v/>
      </c>
      <c r="N23" s="165">
        <f>IFERROR(IF(ISERR(SEARCH("2d",#REF!)),IF(ISERR(SEARCH("1d",#REF!)),0,1),2)*($G23)*$H23/10^3+IF(ISERR(SEARCH("2n",#REF!)),IF(ISERR(SEARCH("1n",#REF!)),0,1),2)*($F23)*$H23/10^3,"")</f>
        <v>0</v>
      </c>
      <c r="O23" s="165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>0</v>
      </c>
      <c r="P23" s="166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>0</v>
      </c>
      <c r="Q23" s="153">
        <f t="shared" si="9"/>
        <v>6</v>
      </c>
      <c r="R23" s="153" t="str">
        <f t="shared" si="10"/>
        <v>IN</v>
      </c>
      <c r="S23" s="154" t="str">
        <f t="shared" si="4"/>
        <v>1000</v>
      </c>
      <c r="T23" s="153" t="str">
        <f>IFERROR(MATCH(#REF!,#REF!,0)&amp;",","")</f>
        <v/>
      </c>
      <c r="U23" s="154"/>
      <c r="Y23" s="155">
        <f t="shared" si="11"/>
        <v>1</v>
      </c>
    </row>
    <row r="24" spans="1:34" s="155" customFormat="1" ht="30" hidden="1" customHeight="1">
      <c r="A24" s="141" t="str">
        <f t="shared" si="6"/>
        <v/>
      </c>
      <c r="B24" s="141" t="str">
        <f t="shared" si="7"/>
        <v/>
      </c>
      <c r="C24" s="157" t="str">
        <f>IF(D24="","",IFERROR((IF(LEFT(MID(D24,SEARCH("_",D24)+1,2),1)="0",(MID(D24,SEARCH("_",D24)+2,1)),MID(D24,SEARCH("_",D24)+1,2)))&amp;"."&amp;IF(LEFT(RIGHT(D24,2),1)="0",RIGHT(D24,1),RIGHT(D24,2)),MAX($C$12:$C23)+1))</f>
        <v/>
      </c>
      <c r="D24" s="158"/>
      <c r="E24" s="159"/>
      <c r="F24" s="159"/>
      <c r="G24" s="159"/>
      <c r="H24" s="159"/>
      <c r="I24" s="158"/>
      <c r="J24" s="161"/>
      <c r="K24" s="162"/>
      <c r="L24" s="163" t="str">
        <f t="shared" ref="L24:L33" si="12">IF(I24="","",IF(LEFT(I24,2)="gỗ","m3","Tấm"))</f>
        <v/>
      </c>
      <c r="M24" s="164">
        <f t="shared" ref="M24:M33" si="13">IF(OR(L24="Con",L24="Cụm",L24="Hệ",L24="Thanh"),H24,IF(L24="Tấm",(F24*G24*H24)/(1220*2440),IF(L24="Md",G24*H24/1000,IF(L24="M2",F24*G24*H24/10^6,IF(L24="M3",E24*F24*G24*H24/10^9,0)))))</f>
        <v>0</v>
      </c>
      <c r="N24" s="165">
        <f>IF(ISERR(SEARCH("2d",#REF!)),IF(ISERR(SEARCH("1d",#REF!)),0,1),2)*($G24)*$H24/10^3+IF(ISERR(SEARCH("2n",#REF!)),IF(ISERR(SEARCH("1n",#REF!)),0,1),2)*($F24)*$H24/10^3</f>
        <v>0</v>
      </c>
      <c r="O24" s="165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166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153" t="str">
        <f t="shared" si="9"/>
        <v/>
      </c>
      <c r="R24" s="153" t="str">
        <f t="shared" si="10"/>
        <v/>
      </c>
      <c r="S24" s="154" t="str">
        <f t="shared" si="4"/>
        <v>1000</v>
      </c>
      <c r="T24" s="153" t="str">
        <f>IFERROR(MATCH(#REF!,#REF!,0)&amp;",","")</f>
        <v/>
      </c>
      <c r="U24" s="154"/>
      <c r="Y24" s="155" t="str">
        <f t="shared" si="11"/>
        <v/>
      </c>
    </row>
    <row r="25" spans="1:34" s="155" customFormat="1" ht="30" hidden="1" customHeight="1">
      <c r="A25" s="141" t="str">
        <f t="shared" si="6"/>
        <v/>
      </c>
      <c r="B25" s="141" t="str">
        <f t="shared" si="7"/>
        <v/>
      </c>
      <c r="C25" s="157" t="str">
        <f>IF(D25="","",IFERROR((IF(LEFT(MID(D25,SEARCH("_",D25)+1,2),1)="0",(MID(D25,SEARCH("_",D25)+2,1)),MID(D25,SEARCH("_",D25)+1,2)))&amp;"."&amp;IF(LEFT(RIGHT(D25,2),1)="0",RIGHT(D25,1),RIGHT(D25,2)),MAX($C$12:$C24)+1))</f>
        <v/>
      </c>
      <c r="D25" s="158"/>
      <c r="E25" s="159"/>
      <c r="F25" s="159"/>
      <c r="G25" s="159"/>
      <c r="H25" s="159"/>
      <c r="I25" s="158"/>
      <c r="J25" s="161"/>
      <c r="K25" s="162"/>
      <c r="L25" s="163" t="str">
        <f t="shared" si="12"/>
        <v/>
      </c>
      <c r="M25" s="164">
        <f t="shared" si="13"/>
        <v>0</v>
      </c>
      <c r="N25" s="165">
        <f>IF(ISERR(SEARCH("2d",#REF!)),IF(ISERR(SEARCH("1d",#REF!)),0,1),2)*($G25)*$H25/10^3+IF(ISERR(SEARCH("2n",#REF!)),IF(ISERR(SEARCH("1n",#REF!)),0,1),2)*($F25)*$H25/10^3</f>
        <v>0</v>
      </c>
      <c r="O25" s="165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166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153" t="str">
        <f t="shared" si="9"/>
        <v/>
      </c>
      <c r="R25" s="153" t="str">
        <f t="shared" si="10"/>
        <v/>
      </c>
      <c r="S25" s="154" t="str">
        <f t="shared" si="4"/>
        <v>1000</v>
      </c>
      <c r="T25" s="153" t="str">
        <f>IFERROR(MATCH(#REF!,#REF!,0)&amp;",","")</f>
        <v/>
      </c>
      <c r="U25" s="154"/>
      <c r="Y25" s="155" t="str">
        <f t="shared" si="11"/>
        <v/>
      </c>
    </row>
    <row r="26" spans="1:34" s="155" customFormat="1" ht="30" hidden="1" customHeight="1">
      <c r="A26" s="141" t="str">
        <f t="shared" si="6"/>
        <v/>
      </c>
      <c r="B26" s="141" t="str">
        <f t="shared" si="7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si="12"/>
        <v/>
      </c>
      <c r="M26" s="164">
        <f t="shared" si="13"/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9"/>
        <v/>
      </c>
      <c r="R26" s="153" t="str">
        <f t="shared" si="10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11"/>
        <v/>
      </c>
    </row>
    <row r="27" spans="1:34" s="155" customFormat="1" ht="30" hidden="1" customHeight="1">
      <c r="A27" s="141" t="str">
        <f t="shared" si="6"/>
        <v/>
      </c>
      <c r="B27" s="141" t="str">
        <f t="shared" si="7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12"/>
        <v/>
      </c>
      <c r="M27" s="164">
        <f t="shared" si="13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9"/>
        <v/>
      </c>
      <c r="R27" s="153" t="str">
        <f t="shared" si="10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11"/>
        <v/>
      </c>
    </row>
    <row r="28" spans="1:34" s="155" customFormat="1" ht="30" hidden="1" customHeight="1">
      <c r="A28" s="141" t="str">
        <f t="shared" si="6"/>
        <v/>
      </c>
      <c r="B28" s="141" t="str">
        <f t="shared" si="7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12"/>
        <v/>
      </c>
      <c r="M28" s="164">
        <f t="shared" si="13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9"/>
        <v/>
      </c>
      <c r="R28" s="153" t="str">
        <f t="shared" si="10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11"/>
        <v/>
      </c>
    </row>
    <row r="29" spans="1:34" s="155" customFormat="1" ht="30" hidden="1" customHeight="1">
      <c r="A29" s="141" t="str">
        <f t="shared" si="6"/>
        <v/>
      </c>
      <c r="B29" s="141" t="str">
        <f t="shared" si="7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12"/>
        <v/>
      </c>
      <c r="M29" s="164">
        <f t="shared" si="13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9"/>
        <v/>
      </c>
      <c r="R29" s="153" t="str">
        <f t="shared" si="10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11"/>
        <v/>
      </c>
    </row>
    <row r="30" spans="1:34" s="155" customFormat="1" ht="30" hidden="1" customHeight="1">
      <c r="A30" s="141" t="str">
        <f t="shared" si="6"/>
        <v/>
      </c>
      <c r="B30" s="141" t="str">
        <f t="shared" si="7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12"/>
        <v/>
      </c>
      <c r="M30" s="164">
        <f t="shared" si="13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9"/>
        <v/>
      </c>
      <c r="R30" s="153" t="str">
        <f t="shared" si="10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11"/>
        <v/>
      </c>
    </row>
    <row r="31" spans="1:34" s="155" customFormat="1" ht="30" hidden="1" customHeight="1">
      <c r="A31" s="141" t="str">
        <f t="shared" si="6"/>
        <v/>
      </c>
      <c r="B31" s="141" t="str">
        <f t="shared" si="7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12"/>
        <v/>
      </c>
      <c r="M31" s="164">
        <f t="shared" si="13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9"/>
        <v/>
      </c>
      <c r="R31" s="153" t="str">
        <f t="shared" si="10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11"/>
        <v/>
      </c>
    </row>
    <row r="32" spans="1:34" s="155" customFormat="1" ht="30" hidden="1" customHeight="1">
      <c r="A32" s="141" t="str">
        <f t="shared" si="6"/>
        <v/>
      </c>
      <c r="B32" s="141" t="str">
        <f t="shared" si="7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12"/>
        <v/>
      </c>
      <c r="M32" s="164">
        <f t="shared" si="13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9"/>
        <v/>
      </c>
      <c r="R32" s="153" t="str">
        <f t="shared" si="10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11"/>
        <v/>
      </c>
    </row>
    <row r="33" spans="1:25" s="155" customFormat="1" ht="30" hidden="1" customHeight="1">
      <c r="A33" s="141" t="str">
        <f t="shared" si="6"/>
        <v/>
      </c>
      <c r="B33" s="141" t="str">
        <f t="shared" si="7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12"/>
        <v/>
      </c>
      <c r="M33" s="164">
        <f t="shared" si="13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9"/>
        <v/>
      </c>
      <c r="R33" s="153" t="str">
        <f t="shared" si="10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11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/>
      <c r="M34" s="164"/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ref="L35:L76" si="14">IF(I35="","",IF(LEFT(I35,2)="gỗ","m3","Tấm"))</f>
        <v/>
      </c>
      <c r="M35" s="164">
        <f t="shared" ref="M35:M76" si="15">IF(OR(L35="Con",L35="Cụm",L35="Hệ",L35="Thanh"),H35,IF(L35="Tấm",(F35*G35*H35)/(1220*2440),IF(L35="Md",G35*H35/1000,IF(L35="M2",F35*G35*H35/10^6,IF(L35="M3",E35*F35*G35*H35/10^9,0)))))</f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14"/>
        <v/>
      </c>
      <c r="M36" s="164">
        <f t="shared" si="15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14"/>
        <v/>
      </c>
      <c r="M37" s="164">
        <f t="shared" si="15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14"/>
        <v/>
      </c>
      <c r="M38" s="164">
        <f t="shared" si="15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14"/>
        <v/>
      </c>
      <c r="M39" s="164">
        <f t="shared" si="15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14"/>
        <v/>
      </c>
      <c r="M40" s="164">
        <f t="shared" si="15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14"/>
        <v/>
      </c>
      <c r="M41" s="164">
        <f t="shared" si="15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14"/>
        <v/>
      </c>
      <c r="M42" s="164">
        <f t="shared" si="15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14"/>
        <v/>
      </c>
      <c r="M43" s="164">
        <f t="shared" si="15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si="0"/>
        <v/>
      </c>
      <c r="B44" s="141" t="str">
        <f t="shared" si="1"/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14"/>
        <v/>
      </c>
      <c r="M44" s="164">
        <f t="shared" si="15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si="2"/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0"/>
        <v/>
      </c>
      <c r="B45" s="141" t="str">
        <f t="shared" si="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14"/>
        <v/>
      </c>
      <c r="M45" s="164">
        <f t="shared" si="15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si="5"/>
        <v/>
      </c>
    </row>
    <row r="46" spans="1:25" s="155" customFormat="1" ht="30" hidden="1" customHeight="1">
      <c r="A46" s="141" t="str">
        <f t="shared" si="0"/>
        <v/>
      </c>
      <c r="B46" s="141" t="str">
        <f t="shared" si="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14"/>
        <v/>
      </c>
      <c r="M46" s="164">
        <f t="shared" si="15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5"/>
        <v/>
      </c>
    </row>
    <row r="47" spans="1:25" s="155" customFormat="1" ht="30" hidden="1" customHeight="1">
      <c r="A47" s="141" t="str">
        <f t="shared" si="0"/>
        <v/>
      </c>
      <c r="B47" s="141" t="str">
        <f t="shared" si="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14"/>
        <v/>
      </c>
      <c r="M47" s="164">
        <f t="shared" si="15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5"/>
        <v/>
      </c>
    </row>
    <row r="48" spans="1:25" s="155" customFormat="1" ht="30" hidden="1" customHeight="1">
      <c r="A48" s="141" t="str">
        <f t="shared" si="0"/>
        <v/>
      </c>
      <c r="B48" s="141" t="str">
        <f t="shared" si="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14"/>
        <v/>
      </c>
      <c r="M48" s="164">
        <f t="shared" si="15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5"/>
        <v/>
      </c>
    </row>
    <row r="49" spans="1:25" s="155" customFormat="1" ht="30" hidden="1" customHeight="1">
      <c r="A49" s="141" t="str">
        <f t="shared" si="0"/>
        <v/>
      </c>
      <c r="B49" s="141" t="str">
        <f t="shared" si="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14"/>
        <v/>
      </c>
      <c r="M49" s="164">
        <f t="shared" si="15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5"/>
        <v/>
      </c>
    </row>
    <row r="50" spans="1:25" s="155" customFormat="1" ht="30" hidden="1" customHeight="1">
      <c r="A50" s="141" t="str">
        <f t="shared" si="0"/>
        <v/>
      </c>
      <c r="B50" s="141" t="str">
        <f t="shared" si="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14"/>
        <v/>
      </c>
      <c r="M50" s="164">
        <f t="shared" si="15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5"/>
        <v/>
      </c>
    </row>
    <row r="51" spans="1:25" s="155" customFormat="1" ht="30" hidden="1" customHeight="1">
      <c r="A51" s="141" t="str">
        <f t="shared" si="0"/>
        <v/>
      </c>
      <c r="B51" s="141" t="str">
        <f t="shared" si="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14"/>
        <v/>
      </c>
      <c r="M51" s="164">
        <f t="shared" si="15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5"/>
        <v/>
      </c>
    </row>
    <row r="52" spans="1:25" s="155" customFormat="1" ht="30" hidden="1" customHeight="1">
      <c r="A52" s="141" t="str">
        <f t="shared" si="0"/>
        <v/>
      </c>
      <c r="B52" s="141" t="str">
        <f t="shared" si="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14"/>
        <v/>
      </c>
      <c r="M52" s="164">
        <f t="shared" si="15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5"/>
        <v/>
      </c>
    </row>
    <row r="53" spans="1:25" s="155" customFormat="1" ht="30" hidden="1" customHeight="1">
      <c r="A53" s="141" t="str">
        <f t="shared" si="0"/>
        <v/>
      </c>
      <c r="B53" s="141" t="str">
        <f t="shared" si="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14"/>
        <v/>
      </c>
      <c r="M53" s="164">
        <f t="shared" si="15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5"/>
        <v/>
      </c>
    </row>
    <row r="54" spans="1:25" s="155" customFormat="1" ht="30" hidden="1" customHeight="1">
      <c r="A54" s="141" t="str">
        <f t="shared" si="0"/>
        <v/>
      </c>
      <c r="B54" s="141" t="str">
        <f t="shared" si="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14"/>
        <v/>
      </c>
      <c r="M54" s="164">
        <f t="shared" si="15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5"/>
        <v/>
      </c>
    </row>
    <row r="55" spans="1:25" s="155" customFormat="1" ht="30" hidden="1" customHeight="1">
      <c r="A55" s="141" t="str">
        <f t="shared" si="0"/>
        <v/>
      </c>
      <c r="B55" s="141" t="str">
        <f t="shared" si="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14"/>
        <v/>
      </c>
      <c r="M55" s="164">
        <f t="shared" si="15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5"/>
        <v/>
      </c>
    </row>
    <row r="56" spans="1:25" s="155" customFormat="1" ht="30" hidden="1" customHeight="1">
      <c r="A56" s="141" t="str">
        <f t="shared" si="0"/>
        <v/>
      </c>
      <c r="B56" s="141" t="str">
        <f t="shared" si="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14"/>
        <v/>
      </c>
      <c r="M56" s="164">
        <f t="shared" si="15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5"/>
        <v/>
      </c>
    </row>
    <row r="57" spans="1:25" s="155" customFormat="1" ht="30" hidden="1" customHeight="1">
      <c r="A57" s="141" t="str">
        <f t="shared" si="0"/>
        <v/>
      </c>
      <c r="B57" s="141" t="str">
        <f t="shared" si="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14"/>
        <v/>
      </c>
      <c r="M57" s="164">
        <f t="shared" si="15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5"/>
        <v/>
      </c>
    </row>
    <row r="58" spans="1:25" s="155" customFormat="1" ht="30" hidden="1" customHeight="1">
      <c r="A58" s="141" t="str">
        <f t="shared" si="0"/>
        <v/>
      </c>
      <c r="B58" s="141" t="str">
        <f t="shared" si="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14"/>
        <v/>
      </c>
      <c r="M58" s="164">
        <f t="shared" si="15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5"/>
        <v/>
      </c>
    </row>
    <row r="59" spans="1:25" s="155" customFormat="1" ht="30" hidden="1" customHeight="1">
      <c r="A59" s="141" t="str">
        <f t="shared" si="0"/>
        <v/>
      </c>
      <c r="B59" s="141" t="str">
        <f t="shared" si="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14"/>
        <v/>
      </c>
      <c r="M59" s="164">
        <f t="shared" si="15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5"/>
        <v/>
      </c>
    </row>
    <row r="60" spans="1:25" s="155" customFormat="1" ht="30" hidden="1" customHeight="1">
      <c r="A60" s="141" t="str">
        <f t="shared" si="0"/>
        <v/>
      </c>
      <c r="B60" s="141" t="str">
        <f t="shared" si="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14"/>
        <v/>
      </c>
      <c r="M60" s="164">
        <f t="shared" si="15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5"/>
        <v/>
      </c>
    </row>
    <row r="61" spans="1:25" s="155" customFormat="1" ht="30" hidden="1" customHeight="1">
      <c r="A61" s="141" t="str">
        <f t="shared" si="0"/>
        <v/>
      </c>
      <c r="B61" s="141" t="str">
        <f t="shared" si="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14"/>
        <v/>
      </c>
      <c r="M61" s="164">
        <f t="shared" si="15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5"/>
        <v/>
      </c>
    </row>
    <row r="62" spans="1:25" s="155" customFormat="1" ht="30" hidden="1" customHeight="1">
      <c r="A62" s="141" t="str">
        <f t="shared" si="0"/>
        <v/>
      </c>
      <c r="B62" s="141" t="str">
        <f t="shared" si="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14"/>
        <v/>
      </c>
      <c r="M62" s="164">
        <f t="shared" si="15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5"/>
        <v/>
      </c>
    </row>
    <row r="63" spans="1:25" s="155" customFormat="1" ht="30" hidden="1" customHeight="1">
      <c r="A63" s="141" t="str">
        <f t="shared" si="0"/>
        <v/>
      </c>
      <c r="B63" s="141" t="str">
        <f t="shared" si="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14"/>
        <v/>
      </c>
      <c r="M63" s="164">
        <f t="shared" si="15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5"/>
        <v/>
      </c>
    </row>
    <row r="64" spans="1:25" s="155" customFormat="1" ht="30" hidden="1" customHeight="1">
      <c r="A64" s="141" t="str">
        <f t="shared" si="0"/>
        <v/>
      </c>
      <c r="B64" s="141" t="str">
        <f t="shared" si="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14"/>
        <v/>
      </c>
      <c r="M64" s="164">
        <f t="shared" si="15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5"/>
        <v/>
      </c>
    </row>
    <row r="65" spans="1:25" s="155" customFormat="1" ht="30" hidden="1" customHeight="1">
      <c r="A65" s="141" t="str">
        <f t="shared" si="0"/>
        <v/>
      </c>
      <c r="B65" s="141" t="str">
        <f t="shared" si="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14"/>
        <v/>
      </c>
      <c r="M65" s="164">
        <f t="shared" si="15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5"/>
        <v/>
      </c>
    </row>
    <row r="66" spans="1:25" s="155" customFormat="1" ht="30" hidden="1" customHeight="1">
      <c r="A66" s="141" t="str">
        <f t="shared" si="0"/>
        <v/>
      </c>
      <c r="B66" s="141" t="str">
        <f t="shared" si="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14"/>
        <v/>
      </c>
      <c r="M66" s="164">
        <f t="shared" si="15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5"/>
        <v/>
      </c>
    </row>
    <row r="67" spans="1:25" s="155" customFormat="1" ht="30" hidden="1" customHeight="1">
      <c r="A67" s="141" t="str">
        <f t="shared" si="0"/>
        <v/>
      </c>
      <c r="B67" s="141" t="str">
        <f t="shared" si="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14"/>
        <v/>
      </c>
      <c r="M67" s="164">
        <f t="shared" si="15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5"/>
        <v/>
      </c>
    </row>
    <row r="68" spans="1:25" s="155" customFormat="1" ht="30" hidden="1" customHeight="1">
      <c r="A68" s="141" t="str">
        <f t="shared" si="0"/>
        <v/>
      </c>
      <c r="B68" s="141" t="str">
        <f t="shared" si="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14"/>
        <v/>
      </c>
      <c r="M68" s="164">
        <f t="shared" si="15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5"/>
        <v/>
      </c>
    </row>
    <row r="69" spans="1:25" s="155" customFormat="1" ht="30" hidden="1" customHeight="1">
      <c r="A69" s="141" t="str">
        <f t="shared" si="0"/>
        <v/>
      </c>
      <c r="B69" s="141" t="str">
        <f t="shared" si="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14"/>
        <v/>
      </c>
      <c r="M69" s="164">
        <f t="shared" si="15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5"/>
        <v/>
      </c>
    </row>
    <row r="70" spans="1:25" s="155" customFormat="1" ht="30" hidden="1" customHeight="1">
      <c r="A70" s="141" t="str">
        <f t="shared" si="0"/>
        <v/>
      </c>
      <c r="B70" s="141" t="str">
        <f t="shared" si="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14"/>
        <v/>
      </c>
      <c r="M70" s="164">
        <f t="shared" si="15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5"/>
        <v/>
      </c>
    </row>
    <row r="71" spans="1:25" s="155" customFormat="1" ht="30" hidden="1" customHeight="1">
      <c r="A71" s="141" t="str">
        <f t="shared" si="0"/>
        <v/>
      </c>
      <c r="B71" s="141" t="str">
        <f t="shared" si="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14"/>
        <v/>
      </c>
      <c r="M71" s="164">
        <f t="shared" si="15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5"/>
        <v/>
      </c>
    </row>
    <row r="72" spans="1:25" s="155" customFormat="1" ht="30" hidden="1" customHeight="1">
      <c r="A72" s="141" t="str">
        <f t="shared" si="0"/>
        <v/>
      </c>
      <c r="B72" s="141" t="str">
        <f t="shared" si="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14"/>
        <v/>
      </c>
      <c r="M72" s="164">
        <f t="shared" si="15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5"/>
        <v/>
      </c>
    </row>
    <row r="73" spans="1:25" s="155" customFormat="1" ht="30" hidden="1" customHeight="1">
      <c r="A73" s="141" t="str">
        <f t="shared" si="0"/>
        <v/>
      </c>
      <c r="B73" s="141" t="str">
        <f t="shared" si="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14"/>
        <v/>
      </c>
      <c r="M73" s="164">
        <f t="shared" si="15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5"/>
        <v/>
      </c>
    </row>
    <row r="74" spans="1:25" s="155" customFormat="1" ht="30" hidden="1" customHeight="1">
      <c r="A74" s="141" t="str">
        <f t="shared" si="0"/>
        <v/>
      </c>
      <c r="B74" s="141" t="str">
        <f t="shared" si="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14"/>
        <v/>
      </c>
      <c r="M74" s="164">
        <f t="shared" si="15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5"/>
        <v/>
      </c>
    </row>
    <row r="75" spans="1:25" s="155" customFormat="1" ht="30" hidden="1" customHeight="1">
      <c r="A75" s="141" t="str">
        <f t="shared" si="0"/>
        <v/>
      </c>
      <c r="B75" s="141" t="str">
        <f t="shared" si="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14"/>
        <v/>
      </c>
      <c r="M75" s="164">
        <f t="shared" si="15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5"/>
        <v/>
      </c>
    </row>
    <row r="76" spans="1:25" s="155" customFormat="1" ht="30" hidden="1" customHeight="1">
      <c r="A76" s="141" t="str">
        <f t="shared" ref="A76:A77" si="16">IF(R76="IN",$E$6,"")</f>
        <v/>
      </c>
      <c r="B76" s="141" t="str">
        <f t="shared" ref="B76:B77" si="17">IF(R76="IN","Muc "&amp;$E$7,"")</f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14"/>
        <v/>
      </c>
      <c r="M76" s="164">
        <f t="shared" si="15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ref="R76:R77" si="18">IF(OR(C76&lt;&gt;"",D76&lt;&gt;""),"IN","")</f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5"/>
        <v/>
      </c>
    </row>
    <row r="77" spans="1:25" s="155" customFormat="1" ht="30" customHeight="1" thickBot="1">
      <c r="A77" s="141" t="str">
        <f t="shared" si="16"/>
        <v>DC113B(EI60)</v>
      </c>
      <c r="B77" s="141" t="str">
        <f t="shared" si="17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8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A10:A11"/>
    <mergeCell ref="B10:B11"/>
    <mergeCell ref="C10:C11"/>
    <mergeCell ref="D10:D11"/>
    <mergeCell ref="E10:G10"/>
    <mergeCell ref="C1:E3"/>
    <mergeCell ref="F1:J3"/>
    <mergeCell ref="L1:P1"/>
    <mergeCell ref="L2:P2"/>
    <mergeCell ref="L3:P3"/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</mergeCells>
  <conditionalFormatting sqref="C13:P76">
    <cfRule type="expression" dxfId="27" priority="14">
      <formula>$S12&gt;999</formula>
    </cfRule>
  </conditionalFormatting>
  <conditionalFormatting sqref="K35:L76 K13:L13 K24:L33">
    <cfRule type="expression" dxfId="26" priority="18">
      <formula>K13="LỖI DỮ LIỆU"</formula>
    </cfRule>
  </conditionalFormatting>
  <conditionalFormatting sqref="K13:P76">
    <cfRule type="cellIs" dxfId="25" priority="16" operator="equal">
      <formula>0</formula>
    </cfRule>
  </conditionalFormatting>
  <conditionalFormatting sqref="M13:M76">
    <cfRule type="cellIs" dxfId="24" priority="15" operator="equal">
      <formula>0</formula>
    </cfRule>
    <cfRule type="cellIs" dxfId="23" priority="17" operator="equal">
      <formula>0</formula>
    </cfRule>
  </conditionalFormatting>
  <conditionalFormatting sqref="K34:L34">
    <cfRule type="expression" dxfId="22" priority="13">
      <formula>K34="LỖI DỮ LIỆU"</formula>
    </cfRule>
  </conditionalFormatting>
  <conditionalFormatting sqref="K14:L23">
    <cfRule type="expression" dxfId="21" priority="1">
      <formula>K14="LỖI DỮ LIỆU"</formula>
    </cfRule>
  </conditionalFormatting>
  <dataValidations disablePrompts="1" count="3">
    <dataValidation type="list" allowBlank="1" showInputMessage="1" showErrorMessage="1" sqref="G84" xr:uid="{C02BB596-32F1-4CEF-882A-A4DE568917A7}">
      <formula1>$AB$2:$AB$3</formula1>
    </dataValidation>
    <dataValidation type="list" allowBlank="1" showInputMessage="1" showErrorMessage="1" sqref="L77" xr:uid="{7ED358FB-B420-461F-815F-618279857C22}">
      <formula1>$Z$2:$Z$9</formula1>
    </dataValidation>
    <dataValidation type="list" allowBlank="1" showInputMessage="1" showErrorMessage="1" sqref="K84" xr:uid="{D4C20CA9-CA6D-45B6-82D1-42140F7D425F}">
      <formula1>$AA$2:$AA$7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5172F-C90C-41F2-983C-EE801161ED98}">
  <sheetPr codeName="Sheet9" filterMode="1">
    <tabColor rgb="FFFFFF00"/>
  </sheetPr>
  <dimension ref="A1:AH88"/>
  <sheetViews>
    <sheetView view="pageBreakPreview" zoomScale="70" zoomScaleNormal="70" zoomScaleSheetLayoutView="70" workbookViewId="0">
      <pane ySplit="11" topLeftCell="A12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33" width="4.85546875" style="3"/>
    <col min="34" max="34" width="8" style="3" customWidth="1"/>
    <col min="35" max="35" width="7.7109375" style="3" customWidth="1"/>
    <col min="36" max="16384" width="4.85546875" style="3"/>
  </cols>
  <sheetData>
    <row r="1" spans="1:34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4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4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4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4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4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IV'!T13=5,AVERAGE('BOM_Phan IV'!M13:M835),""),"")</f>
        <v/>
      </c>
      <c r="L6" s="228" t="str">
        <f>IFERROR(IF('BOM_Phan IV'!T13=5,AVERAGE('BOM_Phan IV'!L13:L835),""),"")</f>
        <v/>
      </c>
      <c r="M6" s="228" t="str">
        <f>IFERROR(IF('BOM_Phan IV'!T13=5,AVERAGE('BOM_Phan IV'!K13:K835),""),"")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4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IV'!N13:N835),"")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4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4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4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4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4" s="155" customFormat="1" ht="30" customHeight="1">
      <c r="A12" s="141" t="str">
        <f t="shared" ref="A12:A75" si="0">IF(R12="IN",$E$6,"")</f>
        <v>DC113B(EI60)</v>
      </c>
      <c r="B12" s="141" t="str">
        <f t="shared" ref="B12:B75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75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4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76" si="5">IF(C13&lt;&gt;"",1,"")</f>
        <v/>
      </c>
    </row>
    <row r="14" spans="1:34" s="155" customFormat="1" ht="30" customHeight="1">
      <c r="A14" s="141" t="str">
        <f t="shared" si="0"/>
        <v>DC113B(EI60)</v>
      </c>
      <c r="B14" s="141" t="str">
        <f t="shared" si="1"/>
        <v>Muc 9.1</v>
      </c>
      <c r="C14" s="157">
        <f>IF(D14="","",IFERROR((IF(LEFT(MID(D14,SEARCH("_",D14)+1,2),1)="0",(MID(D14,SEARCH("_",D14)+2,1)),MID(D14,SEARCH("_",D14)+1,2)))&amp;"."&amp;IF(LEFT(RIGHT(D14,2),1)="0",RIGHT(D14,1),RIGHT(D14,2)),MAX($C$12:$C13)+1))</f>
        <v>1</v>
      </c>
      <c r="D14" s="158" t="s">
        <v>103</v>
      </c>
      <c r="E14" s="159">
        <v>25</v>
      </c>
      <c r="F14" s="159">
        <v>35</v>
      </c>
      <c r="G14" s="159" t="str">
        <f>IFERROR(IF((($K$6*2)+($L$6*2))&lt;0,0,($K$6*2)+($L$6*2)),"")</f>
        <v/>
      </c>
      <c r="H14" s="159" t="str">
        <f>+IFERROR(2*K7,"")</f>
        <v/>
      </c>
      <c r="I14" s="158" t="s">
        <v>104</v>
      </c>
      <c r="J14" s="161"/>
      <c r="K14" s="162"/>
      <c r="L14" s="163" t="s">
        <v>105</v>
      </c>
      <c r="M14" s="164" t="str">
        <f t="shared" ref="M14:M22" si="6">IFERROR(IF(OR(L14="Con",L14="Cụm",L14="Hệ"),H14,IF(L14="Thanh",(G14*H14/2400),IF(L14="Tấm",(F14*G14*H14)/(1220*2440),IF(L14="M2",F14*G14*H14/10^6,IF(L14="M3",E14*F14*G14*H14/10^9,0))))),"")</f>
        <v/>
      </c>
      <c r="N14" s="165" t="str">
        <f>IFERROR(IF(ISERR(SEARCH("2d",#REF!)),IF(ISERR(SEARCH("1d",#REF!)),0,1),2)*($G14)*$H14/10^3+IF(ISERR(SEARCH("2n",#REF!)),IF(ISERR(SEARCH("1n",#REF!)),0,1),2)*($F14)*$H14/10^3,"")</f>
        <v/>
      </c>
      <c r="O14" s="165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166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153">
        <f t="shared" si="3"/>
        <v>6</v>
      </c>
      <c r="R14" s="153" t="str">
        <f t="shared" si="2"/>
        <v>IN</v>
      </c>
      <c r="S14" s="154" t="str">
        <f t="shared" si="4"/>
        <v>1000</v>
      </c>
      <c r="T14" s="153" t="str">
        <f>IFERROR(MATCH(#REF!,#REF!,0)&amp;",","")</f>
        <v/>
      </c>
      <c r="U14" s="154"/>
      <c r="Y14" s="155">
        <f t="shared" si="5"/>
        <v>1</v>
      </c>
      <c r="AH14" s="155">
        <v>2</v>
      </c>
    </row>
    <row r="15" spans="1:34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2</v>
      </c>
      <c r="D15" s="158" t="s">
        <v>106</v>
      </c>
      <c r="E15" s="159">
        <v>25</v>
      </c>
      <c r="F15" s="159">
        <v>35</v>
      </c>
      <c r="G15" s="159" t="str">
        <f>IFERROR(IF($M$6-$F$14-$F$14&lt;0,0,$M$6-$F$14-$F$14),"")</f>
        <v/>
      </c>
      <c r="H15" s="159" t="str">
        <f>+IFERROR(4*K7,"")</f>
        <v/>
      </c>
      <c r="I15" s="158" t="s">
        <v>104</v>
      </c>
      <c r="J15" s="161"/>
      <c r="K15" s="162"/>
      <c r="L15" s="163" t="s">
        <v>105</v>
      </c>
      <c r="M15" s="164" t="str">
        <f t="shared" si="6"/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  <c r="AH15" s="155">
        <v>4</v>
      </c>
    </row>
    <row r="16" spans="1:34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3</v>
      </c>
      <c r="D16" s="158" t="s">
        <v>143</v>
      </c>
      <c r="E16" s="159">
        <v>18</v>
      </c>
      <c r="F16" s="159">
        <v>100</v>
      </c>
      <c r="G16" s="159" t="str">
        <f>IFERROR(IF($M$6+$E$17+$E$20+$E$21+60&lt;0,0,$M$6+$E$17+$E$20+$E$21+60),"")</f>
        <v/>
      </c>
      <c r="H16" s="159" t="str">
        <f>+IFERROR(8*K7,"")</f>
        <v/>
      </c>
      <c r="I16" s="158" t="s">
        <v>144</v>
      </c>
      <c r="J16" s="161"/>
      <c r="K16" s="162"/>
      <c r="L16" s="163" t="s">
        <v>139</v>
      </c>
      <c r="M16" s="164" t="str">
        <f t="shared" si="6"/>
        <v/>
      </c>
      <c r="N16" s="165" t="str">
        <f>IFERROR(IF(ISERR(SEARCH("2d",#REF!)),IF(ISERR(SEARCH("1d",#REF!)),0,1),2)*($G16)*$H16/10^3+IF(ISERR(SEARCH("2n",#REF!)),IF(ISERR(SEARCH("1n",#REF!)),0,1),2)*($F16)*$H16/10^3,"")</f>
        <v/>
      </c>
      <c r="O16" s="165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166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  <c r="AH16" s="155">
        <v>8</v>
      </c>
    </row>
    <row r="17" spans="1:34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4</v>
      </c>
      <c r="D17" s="158" t="s">
        <v>150</v>
      </c>
      <c r="E17" s="159">
        <v>18</v>
      </c>
      <c r="F17" s="159">
        <v>100</v>
      </c>
      <c r="G17" s="159" t="str">
        <f>+$K$6</f>
        <v/>
      </c>
      <c r="H17" s="159" t="str">
        <f>+IFERROR(4*K7,"")</f>
        <v/>
      </c>
      <c r="I17" s="158" t="s">
        <v>144</v>
      </c>
      <c r="J17" s="161"/>
      <c r="K17" s="162"/>
      <c r="L17" s="163" t="s">
        <v>139</v>
      </c>
      <c r="M17" s="164" t="str">
        <f t="shared" si="6"/>
        <v/>
      </c>
      <c r="N17" s="165" t="str">
        <f>IFERROR(IF(ISERR(SEARCH("2d",#REF!)),IF(ISERR(SEARCH("1d",#REF!)),0,1),2)*($G17)*$H17/10^3+IF(ISERR(SEARCH("2n",#REF!)),IF(ISERR(SEARCH("1n",#REF!)),0,1),2)*($F17)*$H17/10^3,"")</f>
        <v/>
      </c>
      <c r="O17" s="165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166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  <c r="AH17" s="155">
        <v>4</v>
      </c>
    </row>
    <row r="18" spans="1:34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5</v>
      </c>
      <c r="D18" s="158" t="s">
        <v>151</v>
      </c>
      <c r="E18" s="159">
        <v>18</v>
      </c>
      <c r="F18" s="159">
        <v>100</v>
      </c>
      <c r="G18" s="159" t="str">
        <f>IFERROR(IF($L$6-$F$17-$F$17&lt;0,0,$L$6-$F$17-$F$17),"")</f>
        <v/>
      </c>
      <c r="H18" s="159" t="str">
        <f>+IFERROR(8*K7,"")</f>
        <v/>
      </c>
      <c r="I18" s="158" t="s">
        <v>144</v>
      </c>
      <c r="J18" s="161"/>
      <c r="K18" s="162"/>
      <c r="L18" s="163" t="s">
        <v>139</v>
      </c>
      <c r="M18" s="164" t="str">
        <f t="shared" si="6"/>
        <v/>
      </c>
      <c r="N18" s="165" t="str">
        <f>IFERROR(IF(ISERR(SEARCH("2d",#REF!)),IF(ISERR(SEARCH("1d",#REF!)),0,1),2)*($G18)*$H18/10^3+IF(ISERR(SEARCH("2n",#REF!)),IF(ISERR(SEARCH("1n",#REF!)),0,1),2)*($F18)*$H18/10^3,"")</f>
        <v/>
      </c>
      <c r="O18" s="165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166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  <c r="AH18" s="155">
        <v>8</v>
      </c>
    </row>
    <row r="19" spans="1:34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6</v>
      </c>
      <c r="D19" s="158" t="s">
        <v>152</v>
      </c>
      <c r="E19" s="159">
        <v>18</v>
      </c>
      <c r="F19" s="159">
        <v>100</v>
      </c>
      <c r="G19" s="159" t="str">
        <f>IFERROR(IF($K$6-$F$16-$F$16&lt;0,0,$K$6-$F$16-$F$16),"")</f>
        <v/>
      </c>
      <c r="H19" s="159" t="str">
        <f>+IFERROR(4*K7,"")</f>
        <v/>
      </c>
      <c r="I19" s="158" t="s">
        <v>144</v>
      </c>
      <c r="J19" s="161"/>
      <c r="K19" s="162"/>
      <c r="L19" s="163" t="s">
        <v>139</v>
      </c>
      <c r="M19" s="164" t="str">
        <f t="shared" si="6"/>
        <v/>
      </c>
      <c r="N19" s="165" t="str">
        <f>IFERROR(IF(ISERR(SEARCH("2d",#REF!)),IF(ISERR(SEARCH("1d",#REF!)),0,1),2)*($G19)*$H19/10^3+IF(ISERR(SEARCH("2n",#REF!)),IF(ISERR(SEARCH("1n",#REF!)),0,1),2)*($F19)*$H19/10^3,"")</f>
        <v/>
      </c>
      <c r="O19" s="165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166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  <c r="AH19" s="155">
        <v>4</v>
      </c>
    </row>
    <row r="20" spans="1:34" s="155" customFormat="1" ht="30" customHeight="1">
      <c r="A20" s="141" t="str">
        <f t="shared" si="0"/>
        <v>DC113B(EI60)</v>
      </c>
      <c r="B20" s="141" t="str">
        <f t="shared" si="1"/>
        <v>Muc 9.1</v>
      </c>
      <c r="C20" s="157">
        <f>IF(D20="","",IFERROR((IF(LEFT(MID(D20,SEARCH("_",D20)+1,2),1)="0",(MID(D20,SEARCH("_",D20)+2,1)),MID(D20,SEARCH("_",D20)+1,2)))&amp;"."&amp;IF(LEFT(RIGHT(D20,2),1)="0",RIGHT(D20,1),RIGHT(D20,2)),MAX($C$12:$C19)+1))</f>
        <v>7</v>
      </c>
      <c r="D20" s="158" t="s">
        <v>146</v>
      </c>
      <c r="E20" s="159">
        <v>18</v>
      </c>
      <c r="F20" s="159">
        <v>100</v>
      </c>
      <c r="G20" s="159" t="str">
        <f>$K$6</f>
        <v/>
      </c>
      <c r="H20" s="159" t="str">
        <f>+IFERROR(2*K7,"")</f>
        <v/>
      </c>
      <c r="I20" s="158" t="s">
        <v>144</v>
      </c>
      <c r="J20" s="161"/>
      <c r="K20" s="162"/>
      <c r="L20" s="163" t="s">
        <v>139</v>
      </c>
      <c r="M20" s="164" t="str">
        <f t="shared" si="6"/>
        <v/>
      </c>
      <c r="N20" s="165" t="str">
        <f>IFERROR(IF(ISERR(SEARCH("2d",#REF!)),IF(ISERR(SEARCH("1d",#REF!)),0,1),2)*($G20)*$H20/10^3+IF(ISERR(SEARCH("2n",#REF!)),IF(ISERR(SEARCH("1n",#REF!)),0,1),2)*($F20)*$H20/10^3,"")</f>
        <v/>
      </c>
      <c r="O20" s="165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166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153">
        <f t="shared" si="3"/>
        <v>6</v>
      </c>
      <c r="R20" s="153" t="str">
        <f t="shared" si="2"/>
        <v>IN</v>
      </c>
      <c r="S20" s="154" t="str">
        <f t="shared" si="4"/>
        <v>1000</v>
      </c>
      <c r="T20" s="153" t="str">
        <f>IFERROR(MATCH(#REF!,#REF!,0)&amp;",","")</f>
        <v/>
      </c>
      <c r="U20" s="154"/>
      <c r="Y20" s="155">
        <f t="shared" si="5"/>
        <v>1</v>
      </c>
      <c r="AH20" s="155">
        <v>2</v>
      </c>
    </row>
    <row r="21" spans="1:34" s="155" customFormat="1" ht="30" customHeight="1">
      <c r="A21" s="141" t="str">
        <f t="shared" si="0"/>
        <v>DC113B(EI60)</v>
      </c>
      <c r="B21" s="141" t="str">
        <f t="shared" si="1"/>
        <v>Muc 9.1</v>
      </c>
      <c r="C21" s="157">
        <f>IF(D21="","",IFERROR((IF(LEFT(MID(D21,SEARCH("_",D21)+1,2),1)="0",(MID(D21,SEARCH("_",D21)+2,1)),MID(D21,SEARCH("_",D21)+1,2)))&amp;"."&amp;IF(LEFT(RIGHT(D21,2),1)="0",RIGHT(D21,1),RIGHT(D21,2)),MAX($C$12:$C20)+1))</f>
        <v>8</v>
      </c>
      <c r="D21" s="158" t="s">
        <v>146</v>
      </c>
      <c r="E21" s="159">
        <v>18</v>
      </c>
      <c r="F21" s="159">
        <v>100</v>
      </c>
      <c r="G21" s="159" t="str">
        <f>IFERROR(IF($L$6-$F$20-$F$20&lt;0,0,$L$6-$F$20-$F$20),"")</f>
        <v/>
      </c>
      <c r="H21" s="159" t="str">
        <f>+IFERROR(2*K7,"")</f>
        <v/>
      </c>
      <c r="I21" s="158" t="s">
        <v>144</v>
      </c>
      <c r="J21" s="161"/>
      <c r="K21" s="162"/>
      <c r="L21" s="163" t="s">
        <v>139</v>
      </c>
      <c r="M21" s="164" t="str">
        <f t="shared" si="6"/>
        <v/>
      </c>
      <c r="N21" s="165" t="str">
        <f>IFERROR(IF(ISERR(SEARCH("2d",#REF!)),IF(ISERR(SEARCH("1d",#REF!)),0,1),2)*($G21)*$H21/10^3+IF(ISERR(SEARCH("2n",#REF!)),IF(ISERR(SEARCH("1n",#REF!)),0,1),2)*($F21)*$H21/10^3,"")</f>
        <v/>
      </c>
      <c r="O21" s="165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P21" s="166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Q21" s="153">
        <f t="shared" si="3"/>
        <v>6</v>
      </c>
      <c r="R21" s="153" t="str">
        <f t="shared" si="2"/>
        <v>IN</v>
      </c>
      <c r="S21" s="154" t="str">
        <f t="shared" si="4"/>
        <v>1000</v>
      </c>
      <c r="T21" s="153" t="str">
        <f>IFERROR(MATCH(#REF!,#REF!,0)&amp;",","")</f>
        <v/>
      </c>
      <c r="U21" s="154"/>
      <c r="Y21" s="155">
        <f t="shared" si="5"/>
        <v>1</v>
      </c>
      <c r="AH21" s="155">
        <v>2</v>
      </c>
    </row>
    <row r="22" spans="1:34" s="155" customFormat="1" ht="30" customHeight="1">
      <c r="A22" s="141" t="str">
        <f t="shared" si="0"/>
        <v>DC113B(EI60)</v>
      </c>
      <c r="B22" s="141" t="str">
        <f t="shared" si="1"/>
        <v>Muc 9.1</v>
      </c>
      <c r="C22" s="157">
        <f>IF(D22="","",IFERROR((IF(LEFT(MID(D22,SEARCH("_",D22)+1,2),1)="0",(MID(D22,SEARCH("_",D22)+2,1)),MID(D22,SEARCH("_",D22)+1,2)))&amp;"."&amp;IF(LEFT(RIGHT(D22,2),1)="0",RIGHT(D22,1),RIGHT(D22,2)),MAX($C$12:$C21)+1))</f>
        <v>9</v>
      </c>
      <c r="D22" s="158" t="s">
        <v>146</v>
      </c>
      <c r="E22" s="159">
        <v>18</v>
      </c>
      <c r="F22" s="159">
        <v>100</v>
      </c>
      <c r="G22" s="159">
        <v>100</v>
      </c>
      <c r="H22" s="159" t="str">
        <f>+IFERROR(40*K7,"")</f>
        <v/>
      </c>
      <c r="I22" s="158" t="s">
        <v>144</v>
      </c>
      <c r="J22" s="161" t="s">
        <v>147</v>
      </c>
      <c r="K22" s="162"/>
      <c r="L22" s="163" t="s">
        <v>139</v>
      </c>
      <c r="M22" s="164" t="str">
        <f t="shared" si="6"/>
        <v/>
      </c>
      <c r="N22" s="165" t="str">
        <f>IFERROR(IF(ISERR(SEARCH("2d",#REF!)),IF(ISERR(SEARCH("1d",#REF!)),0,1),2)*($G22)*$H22/10^3+IF(ISERR(SEARCH("2n",#REF!)),IF(ISERR(SEARCH("1n",#REF!)),0,1),2)*($F22)*$H22/10^3,"")</f>
        <v/>
      </c>
      <c r="O22" s="165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P22" s="166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Q22" s="153">
        <f t="shared" si="3"/>
        <v>6</v>
      </c>
      <c r="R22" s="153" t="str">
        <f t="shared" si="2"/>
        <v>IN</v>
      </c>
      <c r="S22" s="154" t="str">
        <f t="shared" si="4"/>
        <v>1000</v>
      </c>
      <c r="T22" s="153" t="str">
        <f>IFERROR(MATCH(#REF!,#REF!,0)&amp;",","")</f>
        <v/>
      </c>
      <c r="U22" s="154"/>
      <c r="Y22" s="155">
        <f t="shared" si="5"/>
        <v>1</v>
      </c>
      <c r="AH22" s="155">
        <v>40</v>
      </c>
    </row>
    <row r="23" spans="1:34" s="155" customFormat="1" ht="30" customHeight="1">
      <c r="A23" s="141" t="str">
        <f t="shared" si="0"/>
        <v>DC113B(EI60)</v>
      </c>
      <c r="B23" s="141" t="str">
        <f t="shared" si="1"/>
        <v>Muc 9.1</v>
      </c>
      <c r="C23" s="157">
        <f>IF(D23="","",IFERROR((IF(LEFT(MID(D23,SEARCH("_",D23)+1,2),1)="0",(MID(D23,SEARCH("_",D23)+2,1)),MID(D23,SEARCH("_",D23)+1,2)))&amp;"."&amp;IF(LEFT(RIGHT(D23,2),1)="0",RIGHT(D23,1),RIGHT(D23,2)),MAX($C$12:$C22)+1))</f>
        <v>10</v>
      </c>
      <c r="D23" s="158" t="s">
        <v>107</v>
      </c>
      <c r="E23" s="159"/>
      <c r="F23" s="159"/>
      <c r="G23" s="159"/>
      <c r="H23" s="159"/>
      <c r="I23" s="158" t="s">
        <v>108</v>
      </c>
      <c r="J23" s="161"/>
      <c r="K23" s="162"/>
      <c r="L23" s="163" t="s">
        <v>109</v>
      </c>
      <c r="M23" s="164" t="str">
        <f>IFERROR(($K$6*$L$6*4+$L$6*$M$6*2)*10^-6*1.3/0.5*$K$7,"")</f>
        <v/>
      </c>
      <c r="N23" s="165">
        <f>IFERROR(IF(ISERR(SEARCH("2d",#REF!)),IF(ISERR(SEARCH("1d",#REF!)),0,1),2)*($G23)*$H23/10^3+IF(ISERR(SEARCH("2n",#REF!)),IF(ISERR(SEARCH("1n",#REF!)),0,1),2)*($F23)*$H23/10^3,"")</f>
        <v>0</v>
      </c>
      <c r="O23" s="165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>0</v>
      </c>
      <c r="P23" s="166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>0</v>
      </c>
      <c r="Q23" s="153">
        <f t="shared" si="3"/>
        <v>6</v>
      </c>
      <c r="R23" s="153" t="str">
        <f t="shared" si="2"/>
        <v>IN</v>
      </c>
      <c r="S23" s="154" t="str">
        <f t="shared" si="4"/>
        <v>1000</v>
      </c>
      <c r="T23" s="153" t="str">
        <f>IFERROR(MATCH(#REF!,#REF!,0)&amp;",","")</f>
        <v/>
      </c>
      <c r="U23" s="154"/>
      <c r="Y23" s="155">
        <f t="shared" si="5"/>
        <v>1</v>
      </c>
    </row>
    <row r="24" spans="1:34" s="155" customFormat="1" ht="30" customHeight="1">
      <c r="A24" s="141" t="str">
        <f t="shared" si="0"/>
        <v>DC113B(EI60)</v>
      </c>
      <c r="B24" s="141" t="str">
        <f t="shared" si="1"/>
        <v>Muc 9.1</v>
      </c>
      <c r="C24" s="157">
        <f>IF(D24="","",IFERROR((IF(LEFT(MID(D24,SEARCH("_",D24)+1,2),1)="0",(MID(D24,SEARCH("_",D24)+2,1)),MID(D24,SEARCH("_",D24)+1,2)))&amp;"."&amp;IF(LEFT(RIGHT(D24,2),1)="0",RIGHT(D24,1),RIGHT(D24,2)),MAX($C$12:$C23)+1))</f>
        <v>11</v>
      </c>
      <c r="D24" s="158" t="s">
        <v>110</v>
      </c>
      <c r="E24" s="159"/>
      <c r="F24" s="159"/>
      <c r="G24" s="159"/>
      <c r="H24" s="159"/>
      <c r="I24" s="158" t="s">
        <v>111</v>
      </c>
      <c r="J24" s="161"/>
      <c r="K24" s="162"/>
      <c r="L24" s="163" t="s">
        <v>109</v>
      </c>
      <c r="M24" s="164" t="str">
        <f>IFERROR(($K$6*$L$6*4+$L$6*$M$6*2)*10^-6*1.3/1.2*$K$7,"")</f>
        <v/>
      </c>
      <c r="N24" s="165">
        <f>IFERROR(IF(ISERR(SEARCH("2d",#REF!)),IF(ISERR(SEARCH("1d",#REF!)),0,1),2)*($G24)*$H24/10^3+IF(ISERR(SEARCH("2n",#REF!)),IF(ISERR(SEARCH("1n",#REF!)),0,1),2)*($F24)*$H24/10^3,"")</f>
        <v>0</v>
      </c>
      <c r="O24" s="165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>0</v>
      </c>
      <c r="P24" s="166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>0</v>
      </c>
      <c r="Q24" s="153">
        <f t="shared" si="3"/>
        <v>6</v>
      </c>
      <c r="R24" s="153" t="str">
        <f t="shared" si="2"/>
        <v>IN</v>
      </c>
      <c r="S24" s="154" t="str">
        <f t="shared" si="4"/>
        <v>1000</v>
      </c>
      <c r="T24" s="153" t="str">
        <f>IFERROR(MATCH(#REF!,#REF!,0)&amp;",","")</f>
        <v/>
      </c>
      <c r="U24" s="154"/>
      <c r="Y24" s="155">
        <f t="shared" si="5"/>
        <v>1</v>
      </c>
    </row>
    <row r="25" spans="1:34" s="155" customFormat="1" ht="30" customHeight="1">
      <c r="A25" s="141" t="str">
        <f t="shared" si="0"/>
        <v>DC113B(EI60)</v>
      </c>
      <c r="B25" s="141" t="str">
        <f t="shared" si="1"/>
        <v>Muc 9.1</v>
      </c>
      <c r="C25" s="157">
        <f>IF(D25="","",IFERROR((IF(LEFT(MID(D25,SEARCH("_",D25)+1,2),1)="0",(MID(D25,SEARCH("_",D25)+2,1)),MID(D25,SEARCH("_",D25)+1,2)))&amp;"."&amp;IF(LEFT(RIGHT(D25,2),1)="0",RIGHT(D25,1),RIGHT(D25,2)),MAX($C$12:$C24)+1))</f>
        <v>12</v>
      </c>
      <c r="D25" s="158" t="s">
        <v>148</v>
      </c>
      <c r="E25" s="159"/>
      <c r="F25" s="159"/>
      <c r="G25" s="159"/>
      <c r="H25" s="159"/>
      <c r="I25" s="158" t="s">
        <v>149</v>
      </c>
      <c r="J25" s="161"/>
      <c r="K25" s="162"/>
      <c r="L25" s="163" t="s">
        <v>109</v>
      </c>
      <c r="M25" s="164" t="str">
        <f>IFERROR(($K$6*8+$L$6*8+$M$6*80)*10^-3*$K$7,"")</f>
        <v/>
      </c>
      <c r="N25" s="165">
        <f>IFERROR(IF(ISERR(SEARCH("2d",#REF!)),IF(ISERR(SEARCH("1d",#REF!)),0,1),2)*($G25)*$H25/10^3+IF(ISERR(SEARCH("2n",#REF!)),IF(ISERR(SEARCH("1n",#REF!)),0,1),2)*($F25)*$H25/10^3,"")</f>
        <v>0</v>
      </c>
      <c r="O25" s="165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>0</v>
      </c>
      <c r="P25" s="166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>0</v>
      </c>
      <c r="Q25" s="153">
        <f t="shared" si="3"/>
        <v>6</v>
      </c>
      <c r="R25" s="153" t="str">
        <f t="shared" si="2"/>
        <v>IN</v>
      </c>
      <c r="S25" s="154" t="str">
        <f t="shared" si="4"/>
        <v>1000</v>
      </c>
      <c r="T25" s="153" t="str">
        <f>IFERROR(MATCH(#REF!,#REF!,0)&amp;",","")</f>
        <v/>
      </c>
      <c r="U25" s="154"/>
      <c r="Y25" s="155">
        <f t="shared" si="5"/>
        <v>1</v>
      </c>
    </row>
    <row r="26" spans="1:34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ref="L26:L33" si="7">IF(I26="","",IF(LEFT(I26,2)="gỗ","m3","Tấm"))</f>
        <v/>
      </c>
      <c r="M26" s="164">
        <f t="shared" ref="M26:M33" si="8">IF(OR(L26="Con",L26="Cụm",L26="Hệ",L26="Thanh"),H26,IF(L26="Tấm",(F26*G26*H26)/(1220*2440),IF(L26="Md",G26*H26/1000,IF(L26="M2",F26*G26*H26/10^6,IF(L26="M3",E26*F26*G26*H26/10^9,0)))))</f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34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7"/>
        <v/>
      </c>
      <c r="M27" s="164">
        <f t="shared" si="8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34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7"/>
        <v/>
      </c>
      <c r="M28" s="164">
        <f t="shared" si="8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34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7"/>
        <v/>
      </c>
      <c r="M29" s="164">
        <f t="shared" si="8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34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7"/>
        <v/>
      </c>
      <c r="M30" s="164">
        <f t="shared" si="8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34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7"/>
        <v/>
      </c>
      <c r="M31" s="164">
        <f t="shared" si="8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34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7"/>
        <v/>
      </c>
      <c r="M32" s="164">
        <f t="shared" si="8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7"/>
        <v/>
      </c>
      <c r="M33" s="164">
        <f t="shared" si="8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/>
      <c r="M34" s="164"/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ref="L35:L76" si="9">IF(I35="","",IF(LEFT(I35,2)="gỗ","m3","Tấm"))</f>
        <v/>
      </c>
      <c r="M35" s="164">
        <f t="shared" ref="M35:M76" si="10">IF(OR(L35="Con",L35="Cụm",L35="Hệ",L35="Thanh"),H35,IF(L35="Tấm",(F35*G35*H35)/(1220*2440),IF(L35="Md",G35*H35/1000,IF(L35="M2",F35*G35*H35/10^6,IF(L35="M3",E35*F35*G35*H35/10^9,0)))))</f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9"/>
        <v/>
      </c>
      <c r="M36" s="164">
        <f t="shared" si="10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9"/>
        <v/>
      </c>
      <c r="M37" s="164">
        <f t="shared" si="10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9"/>
        <v/>
      </c>
      <c r="M38" s="164">
        <f t="shared" si="10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9"/>
        <v/>
      </c>
      <c r="M39" s="164">
        <f t="shared" si="10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9"/>
        <v/>
      </c>
      <c r="M40" s="164">
        <f t="shared" si="10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9"/>
        <v/>
      </c>
      <c r="M41" s="164">
        <f t="shared" si="10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9"/>
        <v/>
      </c>
      <c r="M42" s="164">
        <f t="shared" si="10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9"/>
        <v/>
      </c>
      <c r="M43" s="164">
        <f t="shared" si="10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si="0"/>
        <v/>
      </c>
      <c r="B44" s="141" t="str">
        <f t="shared" si="1"/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9"/>
        <v/>
      </c>
      <c r="M44" s="164">
        <f t="shared" si="10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si="2"/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0"/>
        <v/>
      </c>
      <c r="B45" s="141" t="str">
        <f t="shared" si="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9"/>
        <v/>
      </c>
      <c r="M45" s="164">
        <f t="shared" si="10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si="5"/>
        <v/>
      </c>
    </row>
    <row r="46" spans="1:25" s="155" customFormat="1" ht="30" hidden="1" customHeight="1">
      <c r="A46" s="141" t="str">
        <f t="shared" si="0"/>
        <v/>
      </c>
      <c r="B46" s="141" t="str">
        <f t="shared" si="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9"/>
        <v/>
      </c>
      <c r="M46" s="164">
        <f t="shared" si="10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5"/>
        <v/>
      </c>
    </row>
    <row r="47" spans="1:25" s="155" customFormat="1" ht="30" hidden="1" customHeight="1">
      <c r="A47" s="141" t="str">
        <f t="shared" si="0"/>
        <v/>
      </c>
      <c r="B47" s="141" t="str">
        <f t="shared" si="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9"/>
        <v/>
      </c>
      <c r="M47" s="164">
        <f t="shared" si="10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5"/>
        <v/>
      </c>
    </row>
    <row r="48" spans="1:25" s="155" customFormat="1" ht="30" hidden="1" customHeight="1">
      <c r="A48" s="141" t="str">
        <f t="shared" si="0"/>
        <v/>
      </c>
      <c r="B48" s="141" t="str">
        <f t="shared" si="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9"/>
        <v/>
      </c>
      <c r="M48" s="164">
        <f t="shared" si="10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5"/>
        <v/>
      </c>
    </row>
    <row r="49" spans="1:25" s="155" customFormat="1" ht="30" hidden="1" customHeight="1">
      <c r="A49" s="141" t="str">
        <f t="shared" si="0"/>
        <v/>
      </c>
      <c r="B49" s="141" t="str">
        <f t="shared" si="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9"/>
        <v/>
      </c>
      <c r="M49" s="164">
        <f t="shared" si="10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5"/>
        <v/>
      </c>
    </row>
    <row r="50" spans="1:25" s="155" customFormat="1" ht="30" hidden="1" customHeight="1">
      <c r="A50" s="141" t="str">
        <f t="shared" si="0"/>
        <v/>
      </c>
      <c r="B50" s="141" t="str">
        <f t="shared" si="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9"/>
        <v/>
      </c>
      <c r="M50" s="164">
        <f t="shared" si="10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5"/>
        <v/>
      </c>
    </row>
    <row r="51" spans="1:25" s="155" customFormat="1" ht="30" hidden="1" customHeight="1">
      <c r="A51" s="141" t="str">
        <f t="shared" si="0"/>
        <v/>
      </c>
      <c r="B51" s="141" t="str">
        <f t="shared" si="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9"/>
        <v/>
      </c>
      <c r="M51" s="164">
        <f t="shared" si="10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5"/>
        <v/>
      </c>
    </row>
    <row r="52" spans="1:25" s="155" customFormat="1" ht="30" hidden="1" customHeight="1">
      <c r="A52" s="141" t="str">
        <f t="shared" si="0"/>
        <v/>
      </c>
      <c r="B52" s="141" t="str">
        <f t="shared" si="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9"/>
        <v/>
      </c>
      <c r="M52" s="164">
        <f t="shared" si="10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5"/>
        <v/>
      </c>
    </row>
    <row r="53" spans="1:25" s="155" customFormat="1" ht="30" hidden="1" customHeight="1">
      <c r="A53" s="141" t="str">
        <f t="shared" si="0"/>
        <v/>
      </c>
      <c r="B53" s="141" t="str">
        <f t="shared" si="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9"/>
        <v/>
      </c>
      <c r="M53" s="164">
        <f t="shared" si="10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5"/>
        <v/>
      </c>
    </row>
    <row r="54" spans="1:25" s="155" customFormat="1" ht="30" hidden="1" customHeight="1">
      <c r="A54" s="141" t="str">
        <f t="shared" si="0"/>
        <v/>
      </c>
      <c r="B54" s="141" t="str">
        <f t="shared" si="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9"/>
        <v/>
      </c>
      <c r="M54" s="164">
        <f t="shared" si="10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5"/>
        <v/>
      </c>
    </row>
    <row r="55" spans="1:25" s="155" customFormat="1" ht="30" hidden="1" customHeight="1">
      <c r="A55" s="141" t="str">
        <f t="shared" si="0"/>
        <v/>
      </c>
      <c r="B55" s="141" t="str">
        <f t="shared" si="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9"/>
        <v/>
      </c>
      <c r="M55" s="164">
        <f t="shared" si="10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5"/>
        <v/>
      </c>
    </row>
    <row r="56" spans="1:25" s="155" customFormat="1" ht="30" hidden="1" customHeight="1">
      <c r="A56" s="141" t="str">
        <f t="shared" si="0"/>
        <v/>
      </c>
      <c r="B56" s="141" t="str">
        <f t="shared" si="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9"/>
        <v/>
      </c>
      <c r="M56" s="164">
        <f t="shared" si="10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5"/>
        <v/>
      </c>
    </row>
    <row r="57" spans="1:25" s="155" customFormat="1" ht="30" hidden="1" customHeight="1">
      <c r="A57" s="141" t="str">
        <f t="shared" si="0"/>
        <v/>
      </c>
      <c r="B57" s="141" t="str">
        <f t="shared" si="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9"/>
        <v/>
      </c>
      <c r="M57" s="164">
        <f t="shared" si="10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5"/>
        <v/>
      </c>
    </row>
    <row r="58" spans="1:25" s="155" customFormat="1" ht="30" hidden="1" customHeight="1">
      <c r="A58" s="141" t="str">
        <f t="shared" si="0"/>
        <v/>
      </c>
      <c r="B58" s="141" t="str">
        <f t="shared" si="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9"/>
        <v/>
      </c>
      <c r="M58" s="164">
        <f t="shared" si="10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5"/>
        <v/>
      </c>
    </row>
    <row r="59" spans="1:25" s="155" customFormat="1" ht="30" hidden="1" customHeight="1">
      <c r="A59" s="141" t="str">
        <f t="shared" si="0"/>
        <v/>
      </c>
      <c r="B59" s="141" t="str">
        <f t="shared" si="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9"/>
        <v/>
      </c>
      <c r="M59" s="164">
        <f t="shared" si="10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5"/>
        <v/>
      </c>
    </row>
    <row r="60" spans="1:25" s="155" customFormat="1" ht="30" hidden="1" customHeight="1">
      <c r="A60" s="141" t="str">
        <f t="shared" si="0"/>
        <v/>
      </c>
      <c r="B60" s="141" t="str">
        <f t="shared" si="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9"/>
        <v/>
      </c>
      <c r="M60" s="164">
        <f t="shared" si="10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5"/>
        <v/>
      </c>
    </row>
    <row r="61" spans="1:25" s="155" customFormat="1" ht="30" hidden="1" customHeight="1">
      <c r="A61" s="141" t="str">
        <f t="shared" si="0"/>
        <v/>
      </c>
      <c r="B61" s="141" t="str">
        <f t="shared" si="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9"/>
        <v/>
      </c>
      <c r="M61" s="164">
        <f t="shared" si="10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5"/>
        <v/>
      </c>
    </row>
    <row r="62" spans="1:25" s="155" customFormat="1" ht="30" hidden="1" customHeight="1">
      <c r="A62" s="141" t="str">
        <f t="shared" si="0"/>
        <v/>
      </c>
      <c r="B62" s="141" t="str">
        <f t="shared" si="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9"/>
        <v/>
      </c>
      <c r="M62" s="164">
        <f t="shared" si="10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5"/>
        <v/>
      </c>
    </row>
    <row r="63" spans="1:25" s="155" customFormat="1" ht="30" hidden="1" customHeight="1">
      <c r="A63" s="141" t="str">
        <f t="shared" si="0"/>
        <v/>
      </c>
      <c r="B63" s="141" t="str">
        <f t="shared" si="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9"/>
        <v/>
      </c>
      <c r="M63" s="164">
        <f t="shared" si="10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5"/>
        <v/>
      </c>
    </row>
    <row r="64" spans="1:25" s="155" customFormat="1" ht="30" hidden="1" customHeight="1">
      <c r="A64" s="141" t="str">
        <f t="shared" si="0"/>
        <v/>
      </c>
      <c r="B64" s="141" t="str">
        <f t="shared" si="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9"/>
        <v/>
      </c>
      <c r="M64" s="164">
        <f t="shared" si="10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5"/>
        <v/>
      </c>
    </row>
    <row r="65" spans="1:25" s="155" customFormat="1" ht="30" hidden="1" customHeight="1">
      <c r="A65" s="141" t="str">
        <f t="shared" si="0"/>
        <v/>
      </c>
      <c r="B65" s="141" t="str">
        <f t="shared" si="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9"/>
        <v/>
      </c>
      <c r="M65" s="164">
        <f t="shared" si="10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5"/>
        <v/>
      </c>
    </row>
    <row r="66" spans="1:25" s="155" customFormat="1" ht="30" hidden="1" customHeight="1">
      <c r="A66" s="141" t="str">
        <f t="shared" si="0"/>
        <v/>
      </c>
      <c r="B66" s="141" t="str">
        <f t="shared" si="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9"/>
        <v/>
      </c>
      <c r="M66" s="164">
        <f t="shared" si="10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5"/>
        <v/>
      </c>
    </row>
    <row r="67" spans="1:25" s="155" customFormat="1" ht="30" hidden="1" customHeight="1">
      <c r="A67" s="141" t="str">
        <f t="shared" si="0"/>
        <v/>
      </c>
      <c r="B67" s="141" t="str">
        <f t="shared" si="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9"/>
        <v/>
      </c>
      <c r="M67" s="164">
        <f t="shared" si="10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5"/>
        <v/>
      </c>
    </row>
    <row r="68" spans="1:25" s="155" customFormat="1" ht="30" hidden="1" customHeight="1">
      <c r="A68" s="141" t="str">
        <f t="shared" si="0"/>
        <v/>
      </c>
      <c r="B68" s="141" t="str">
        <f t="shared" si="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9"/>
        <v/>
      </c>
      <c r="M68" s="164">
        <f t="shared" si="10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5"/>
        <v/>
      </c>
    </row>
    <row r="69" spans="1:25" s="155" customFormat="1" ht="30" hidden="1" customHeight="1">
      <c r="A69" s="141" t="str">
        <f t="shared" si="0"/>
        <v/>
      </c>
      <c r="B69" s="141" t="str">
        <f t="shared" si="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9"/>
        <v/>
      </c>
      <c r="M69" s="164">
        <f t="shared" si="10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5"/>
        <v/>
      </c>
    </row>
    <row r="70" spans="1:25" s="155" customFormat="1" ht="30" hidden="1" customHeight="1">
      <c r="A70" s="141" t="str">
        <f t="shared" si="0"/>
        <v/>
      </c>
      <c r="B70" s="141" t="str">
        <f t="shared" si="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9"/>
        <v/>
      </c>
      <c r="M70" s="164">
        <f t="shared" si="10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5"/>
        <v/>
      </c>
    </row>
    <row r="71" spans="1:25" s="155" customFormat="1" ht="30" hidden="1" customHeight="1">
      <c r="A71" s="141" t="str">
        <f t="shared" si="0"/>
        <v/>
      </c>
      <c r="B71" s="141" t="str">
        <f t="shared" si="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9"/>
        <v/>
      </c>
      <c r="M71" s="164">
        <f t="shared" si="10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5"/>
        <v/>
      </c>
    </row>
    <row r="72" spans="1:25" s="155" customFormat="1" ht="30" hidden="1" customHeight="1">
      <c r="A72" s="141" t="str">
        <f t="shared" si="0"/>
        <v/>
      </c>
      <c r="B72" s="141" t="str">
        <f t="shared" si="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9"/>
        <v/>
      </c>
      <c r="M72" s="164">
        <f t="shared" si="10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5"/>
        <v/>
      </c>
    </row>
    <row r="73" spans="1:25" s="155" customFormat="1" ht="30" hidden="1" customHeight="1">
      <c r="A73" s="141" t="str">
        <f t="shared" si="0"/>
        <v/>
      </c>
      <c r="B73" s="141" t="str">
        <f t="shared" si="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9"/>
        <v/>
      </c>
      <c r="M73" s="164">
        <f t="shared" si="10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5"/>
        <v/>
      </c>
    </row>
    <row r="74" spans="1:25" s="155" customFormat="1" ht="30" hidden="1" customHeight="1">
      <c r="A74" s="141" t="str">
        <f t="shared" si="0"/>
        <v/>
      </c>
      <c r="B74" s="141" t="str">
        <f t="shared" si="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9"/>
        <v/>
      </c>
      <c r="M74" s="164">
        <f t="shared" si="10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5"/>
        <v/>
      </c>
    </row>
    <row r="75" spans="1:25" s="155" customFormat="1" ht="30" hidden="1" customHeight="1">
      <c r="A75" s="141" t="str">
        <f t="shared" si="0"/>
        <v/>
      </c>
      <c r="B75" s="141" t="str">
        <f t="shared" si="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9"/>
        <v/>
      </c>
      <c r="M75" s="164">
        <f t="shared" si="10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5"/>
        <v/>
      </c>
    </row>
    <row r="76" spans="1:25" s="155" customFormat="1" ht="30" hidden="1" customHeight="1">
      <c r="A76" s="141" t="str">
        <f t="shared" ref="A76:A77" si="11">IF(R76="IN",$E$6,"")</f>
        <v/>
      </c>
      <c r="B76" s="141" t="str">
        <f t="shared" ref="B76:B77" si="12">IF(R76="IN","Muc "&amp;$E$7,"")</f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9"/>
        <v/>
      </c>
      <c r="M76" s="164">
        <f t="shared" si="10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ref="R76:R77" si="13">IF(OR(C76&lt;&gt;"",D76&lt;&gt;""),"IN","")</f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5"/>
        <v/>
      </c>
    </row>
    <row r="77" spans="1:25" s="155" customFormat="1" ht="30" customHeight="1" thickBot="1">
      <c r="A77" s="141" t="str">
        <f t="shared" si="11"/>
        <v>DC113B(EI60)</v>
      </c>
      <c r="B77" s="141" t="str">
        <f t="shared" si="12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3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A10:A11"/>
    <mergeCell ref="B10:B11"/>
    <mergeCell ref="C10:C11"/>
    <mergeCell ref="D10:D11"/>
    <mergeCell ref="E10:G10"/>
    <mergeCell ref="C1:E3"/>
    <mergeCell ref="F1:J3"/>
    <mergeCell ref="L1:P1"/>
    <mergeCell ref="L2:P2"/>
    <mergeCell ref="L3:P3"/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</mergeCells>
  <conditionalFormatting sqref="C13:P76">
    <cfRule type="expression" dxfId="20" priority="14">
      <formula>$S12&gt;999</formula>
    </cfRule>
  </conditionalFormatting>
  <conditionalFormatting sqref="K35:L76 K13:L13 K26:L33">
    <cfRule type="expression" dxfId="19" priority="18">
      <formula>K13="LỖI DỮ LIỆU"</formula>
    </cfRule>
  </conditionalFormatting>
  <conditionalFormatting sqref="K13:P76">
    <cfRule type="cellIs" dxfId="18" priority="16" operator="equal">
      <formula>0</formula>
    </cfRule>
  </conditionalFormatting>
  <conditionalFormatting sqref="M13:M76">
    <cfRule type="cellIs" dxfId="17" priority="15" operator="equal">
      <formula>0</formula>
    </cfRule>
    <cfRule type="cellIs" dxfId="16" priority="17" operator="equal">
      <formula>0</formula>
    </cfRule>
  </conditionalFormatting>
  <conditionalFormatting sqref="K34:L34">
    <cfRule type="expression" dxfId="15" priority="13">
      <formula>K34="LỖI DỮ LIỆU"</formula>
    </cfRule>
  </conditionalFormatting>
  <conditionalFormatting sqref="K14:L25">
    <cfRule type="expression" dxfId="14" priority="1">
      <formula>K14="LỖI DỮ LIỆU"</formula>
    </cfRule>
  </conditionalFormatting>
  <dataValidations disablePrompts="1" count="3">
    <dataValidation type="list" allowBlank="1" showInputMessage="1" showErrorMessage="1" sqref="K84" xr:uid="{CB712D55-A9F5-4B7D-8A0B-CC30EE61A252}">
      <formula1>$AA$2:$AA$7</formula1>
    </dataValidation>
    <dataValidation type="list" allowBlank="1" showInputMessage="1" showErrorMessage="1" sqref="L77" xr:uid="{6C289DEA-0BC5-4C8F-BF10-CC0480508F5F}">
      <formula1>$Z$2:$Z$9</formula1>
    </dataValidation>
    <dataValidation type="list" allowBlank="1" showInputMessage="1" showErrorMessage="1" sqref="G84" xr:uid="{971A61C9-A257-403A-999C-0CBED344DC57}">
      <formula1>$AB$2:$AB$3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2ECC1-6511-49C5-A462-BBF8810FB114}">
  <sheetPr codeName="Sheet10" filterMode="1">
    <tabColor rgb="FFFFFF00"/>
  </sheetPr>
  <dimension ref="A1:AH88"/>
  <sheetViews>
    <sheetView view="pageBreakPreview" zoomScale="55" zoomScaleNormal="70" zoomScaleSheetLayoutView="55" workbookViewId="0">
      <pane ySplit="11" topLeftCell="A12" activePane="bottomLeft" state="frozen"/>
      <selection activeCell="J16" sqref="J16"/>
      <selection pane="bottomLeft" activeCell="J16" sqref="J1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33" width="4.85546875" style="3"/>
    <col min="34" max="34" width="8" style="3" customWidth="1"/>
    <col min="35" max="35" width="7.7109375" style="3" customWidth="1"/>
    <col min="36" max="16384" width="4.85546875" style="3"/>
  </cols>
  <sheetData>
    <row r="1" spans="1:34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4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4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4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4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4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 t="str">
        <f>IFERROR(IF('BOM_Phan IV'!T13=51,AVERAGE('BOM_Phan IV'!M13:M835),""),"")</f>
        <v/>
      </c>
      <c r="L6" s="228" t="str">
        <f>IFERROR(IF('BOM_Phan IV'!T13=51,AVERAGE('BOM_Phan IV'!L13:L835),""),"")</f>
        <v/>
      </c>
      <c r="M6" s="228" t="str">
        <f>IFERROR(IF('BOM_Phan IV'!T13=51,AVERAGE('BOM_Phan IV'!K13:K835),""),"")</f>
        <v/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4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 t="str">
        <f>IF(K6&lt;&gt;"",SUM('BOM_Phan IV'!N13:N835),"")</f>
        <v/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4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4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4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4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4" s="155" customFormat="1" ht="30" customHeight="1">
      <c r="A12" s="141" t="str">
        <f t="shared" ref="A12:A75" si="0">IF(R12="IN",$E$6,"")</f>
        <v>DC113B(EI60)</v>
      </c>
      <c r="B12" s="141" t="str">
        <f t="shared" ref="B12:B75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75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4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76" si="5">IF(C13&lt;&gt;"",1,"")</f>
        <v/>
      </c>
    </row>
    <row r="14" spans="1:34" s="155" customFormat="1" ht="30" customHeight="1">
      <c r="A14" s="141" t="str">
        <f t="shared" si="0"/>
        <v>DC113B(EI60)</v>
      </c>
      <c r="B14" s="141" t="str">
        <f t="shared" si="1"/>
        <v>Muc 9.1</v>
      </c>
      <c r="C14" s="157">
        <f>IF(D14="","",IFERROR((IF(LEFT(MID(D14,SEARCH("_",D14)+1,2),1)="0",(MID(D14,SEARCH("_",D14)+2,1)),MID(D14,SEARCH("_",D14)+1,2)))&amp;"."&amp;IF(LEFT(RIGHT(D14,2),1)="0",RIGHT(D14,1),RIGHT(D14,2)),MAX($C$12:$C13)+1))</f>
        <v>1</v>
      </c>
      <c r="D14" s="158" t="s">
        <v>103</v>
      </c>
      <c r="E14" s="159">
        <v>25</v>
      </c>
      <c r="F14" s="159">
        <v>35</v>
      </c>
      <c r="G14" s="159" t="str">
        <f>IFERROR(IF((($K$6*2)+($L$6*2))&lt;0,0,($K$6*2)+($L$6*2)),"")</f>
        <v/>
      </c>
      <c r="H14" s="159" t="str">
        <f>+IFERROR(2*K7,"")</f>
        <v/>
      </c>
      <c r="I14" s="158" t="s">
        <v>104</v>
      </c>
      <c r="J14" s="161"/>
      <c r="K14" s="162"/>
      <c r="L14" s="163" t="s">
        <v>105</v>
      </c>
      <c r="M14" s="164" t="str">
        <f t="shared" ref="M14:M22" si="6">IFERROR(IF(OR(L14="Con",L14="Cụm",L14="Hệ"),H14,IF(L14="Thanh",(G14*H14/2400),IF(L14="Tấm",(F14*G14*H14)/(1220*2440),IF(L14="M2",F14*G14*H14/10^6,IF(L14="M3",E14*F14*G14*H14/10^9,0))))),"")</f>
        <v/>
      </c>
      <c r="N14" s="165" t="str">
        <f>IFERROR(IF(ISERR(SEARCH("2d",#REF!)),IF(ISERR(SEARCH("1d",#REF!)),0,1),2)*($G14)*$H14/10^3+IF(ISERR(SEARCH("2n",#REF!)),IF(ISERR(SEARCH("1n",#REF!)),0,1),2)*($F14)*$H14/10^3,"")</f>
        <v/>
      </c>
      <c r="O14" s="165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P14" s="166" t="str">
        <f>IFERROR(IF(ISERR(SEARCH("2m",#REF!)),IF(ISERR(SEARCH("1m",#REF!)),0,1),2)*$G14*$F14*$H14/10^6+IF(ISERR(SEARCH("2d",#REF!)),IF(ISERR(SEARCH("1d",#REF!)),0,1),2)*$G14*$E14*$H14/10^6+IF(ISERR(SEARCH("2n",#REF!)),IF(ISERR(SEARCH("1n",#REF!)),0,1),2)*$F14*$E14*$H14/10^6,"")</f>
        <v/>
      </c>
      <c r="Q14" s="153">
        <f t="shared" si="3"/>
        <v>6</v>
      </c>
      <c r="R14" s="153" t="str">
        <f t="shared" si="2"/>
        <v>IN</v>
      </c>
      <c r="S14" s="154" t="str">
        <f t="shared" si="4"/>
        <v>1000</v>
      </c>
      <c r="T14" s="153" t="str">
        <f>IFERROR(MATCH(#REF!,#REF!,0)&amp;",","")</f>
        <v/>
      </c>
      <c r="U14" s="154"/>
      <c r="Y14" s="155">
        <f t="shared" si="5"/>
        <v>1</v>
      </c>
      <c r="AH14" s="155">
        <v>2</v>
      </c>
    </row>
    <row r="15" spans="1:34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2</v>
      </c>
      <c r="D15" s="158" t="s">
        <v>106</v>
      </c>
      <c r="E15" s="159">
        <v>25</v>
      </c>
      <c r="F15" s="159">
        <v>35</v>
      </c>
      <c r="G15" s="159" t="str">
        <f>IFERROR(IF($M$6-$F$14-$F$14&lt;0,0,$M$6-$F$14-$F$14),"")</f>
        <v/>
      </c>
      <c r="H15" s="159" t="str">
        <f>+IFERROR(4*K7,"")</f>
        <v/>
      </c>
      <c r="I15" s="158" t="s">
        <v>104</v>
      </c>
      <c r="J15" s="161"/>
      <c r="K15" s="162"/>
      <c r="L15" s="163" t="s">
        <v>105</v>
      </c>
      <c r="M15" s="164" t="str">
        <f t="shared" si="6"/>
        <v/>
      </c>
      <c r="N15" s="165" t="str">
        <f>IFERROR(IF(ISERR(SEARCH("2d",#REF!)),IF(ISERR(SEARCH("1d",#REF!)),0,1),2)*($G15)*$H15/10^3+IF(ISERR(SEARCH("2n",#REF!)),IF(ISERR(SEARCH("1n",#REF!)),0,1),2)*($F15)*$H15/10^3,"")</f>
        <v/>
      </c>
      <c r="O15" s="165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P15" s="166" t="str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/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  <c r="AH15" s="155">
        <v>4</v>
      </c>
    </row>
    <row r="16" spans="1:34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3</v>
      </c>
      <c r="D16" s="158" t="s">
        <v>143</v>
      </c>
      <c r="E16" s="159">
        <v>18</v>
      </c>
      <c r="F16" s="159">
        <v>100</v>
      </c>
      <c r="G16" s="159" t="str">
        <f>IFERROR(IF($M$6+$E$17+$E$20+$E$21+60&lt;0,0,$M$6+$E$17+$E$20+$E$21+60),"")</f>
        <v/>
      </c>
      <c r="H16" s="159" t="str">
        <f>+IFERROR(8*K7,"")</f>
        <v/>
      </c>
      <c r="I16" s="158" t="s">
        <v>144</v>
      </c>
      <c r="J16" s="161"/>
      <c r="K16" s="162"/>
      <c r="L16" s="163" t="s">
        <v>139</v>
      </c>
      <c r="M16" s="164" t="str">
        <f t="shared" si="6"/>
        <v/>
      </c>
      <c r="N16" s="165" t="str">
        <f>IFERROR(IF(ISERR(SEARCH("2d",#REF!)),IF(ISERR(SEARCH("1d",#REF!)),0,1),2)*($G16)*$H16/10^3+IF(ISERR(SEARCH("2n",#REF!)),IF(ISERR(SEARCH("1n",#REF!)),0,1),2)*($F16)*$H16/10^3,"")</f>
        <v/>
      </c>
      <c r="O16" s="165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P16" s="166" t="str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/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  <c r="AH16" s="155">
        <v>8</v>
      </c>
    </row>
    <row r="17" spans="1:34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4</v>
      </c>
      <c r="D17" s="158" t="s">
        <v>150</v>
      </c>
      <c r="E17" s="159">
        <v>18</v>
      </c>
      <c r="F17" s="159">
        <v>100</v>
      </c>
      <c r="G17" s="159" t="str">
        <f>+$K$6</f>
        <v/>
      </c>
      <c r="H17" s="159" t="str">
        <f>+IFERROR(4*K7,"")</f>
        <v/>
      </c>
      <c r="I17" s="158" t="s">
        <v>144</v>
      </c>
      <c r="J17" s="161"/>
      <c r="K17" s="162"/>
      <c r="L17" s="163" t="s">
        <v>139</v>
      </c>
      <c r="M17" s="164" t="str">
        <f t="shared" si="6"/>
        <v/>
      </c>
      <c r="N17" s="165" t="str">
        <f>IFERROR(IF(ISERR(SEARCH("2d",#REF!)),IF(ISERR(SEARCH("1d",#REF!)),0,1),2)*($G17)*$H17/10^3+IF(ISERR(SEARCH("2n",#REF!)),IF(ISERR(SEARCH("1n",#REF!)),0,1),2)*($F17)*$H17/10^3,"")</f>
        <v/>
      </c>
      <c r="O17" s="165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P17" s="166" t="str">
        <f>IFERROR(IF(ISERR(SEARCH("2m",#REF!)),IF(ISERR(SEARCH("1m",#REF!)),0,1),2)*$G17*$F17*$H17/10^6+IF(ISERR(SEARCH("2d",#REF!)),IF(ISERR(SEARCH("1d",#REF!)),0,1),2)*$G17*$E17*$H17/10^6+IF(ISERR(SEARCH("2n",#REF!)),IF(ISERR(SEARCH("1n",#REF!)),0,1),2)*$F17*$E17*$H17/10^6,"")</f>
        <v/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  <c r="AH17" s="155">
        <v>4</v>
      </c>
    </row>
    <row r="18" spans="1:34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5</v>
      </c>
      <c r="D18" s="158" t="s">
        <v>151</v>
      </c>
      <c r="E18" s="159">
        <v>18</v>
      </c>
      <c r="F18" s="159">
        <v>100</v>
      </c>
      <c r="G18" s="159" t="str">
        <f>IFERROR(IF($L$6-$F$17-$F$17&lt;0,0,$L$6-$F$17-$F$17),"")</f>
        <v/>
      </c>
      <c r="H18" s="159" t="str">
        <f>+IFERROR(8*K7,"")</f>
        <v/>
      </c>
      <c r="I18" s="158" t="s">
        <v>144</v>
      </c>
      <c r="J18" s="161"/>
      <c r="K18" s="162"/>
      <c r="L18" s="163" t="s">
        <v>139</v>
      </c>
      <c r="M18" s="164" t="str">
        <f t="shared" si="6"/>
        <v/>
      </c>
      <c r="N18" s="165" t="str">
        <f>IFERROR(IF(ISERR(SEARCH("2d",#REF!)),IF(ISERR(SEARCH("1d",#REF!)),0,1),2)*($G18)*$H18/10^3+IF(ISERR(SEARCH("2n",#REF!)),IF(ISERR(SEARCH("1n",#REF!)),0,1),2)*($F18)*$H18/10^3,"")</f>
        <v/>
      </c>
      <c r="O18" s="165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P18" s="166" t="str">
        <f>IFERROR(IF(ISERR(SEARCH("2m",#REF!)),IF(ISERR(SEARCH("1m",#REF!)),0,1),2)*$G18*$F18*$H18/10^6+IF(ISERR(SEARCH("2d",#REF!)),IF(ISERR(SEARCH("1d",#REF!)),0,1),2)*$G18*$E18*$H18/10^6+IF(ISERR(SEARCH("2n",#REF!)),IF(ISERR(SEARCH("1n",#REF!)),0,1),2)*$F18*$E18*$H18/10^6,"")</f>
        <v/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  <c r="AH18" s="155">
        <v>8</v>
      </c>
    </row>
    <row r="19" spans="1:34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6</v>
      </c>
      <c r="D19" s="158" t="s">
        <v>152</v>
      </c>
      <c r="E19" s="159">
        <v>18</v>
      </c>
      <c r="F19" s="159">
        <v>100</v>
      </c>
      <c r="G19" s="159" t="str">
        <f>IFERROR(IF($K$6-$F$16-$F$16&lt;0,0,$K$6-$F$16-$F$16),"")</f>
        <v/>
      </c>
      <c r="H19" s="159" t="str">
        <f>+IFERROR(4*K7,"")</f>
        <v/>
      </c>
      <c r="I19" s="158" t="s">
        <v>144</v>
      </c>
      <c r="J19" s="161"/>
      <c r="K19" s="162"/>
      <c r="L19" s="163" t="s">
        <v>139</v>
      </c>
      <c r="M19" s="164" t="str">
        <f t="shared" si="6"/>
        <v/>
      </c>
      <c r="N19" s="165" t="str">
        <f>IFERROR(IF(ISERR(SEARCH("2d",#REF!)),IF(ISERR(SEARCH("1d",#REF!)),0,1),2)*($G19)*$H19/10^3+IF(ISERR(SEARCH("2n",#REF!)),IF(ISERR(SEARCH("1n",#REF!)),0,1),2)*($F19)*$H19/10^3,"")</f>
        <v/>
      </c>
      <c r="O19" s="165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P19" s="166" t="str">
        <f>IFERROR(IF(ISERR(SEARCH("2m",#REF!)),IF(ISERR(SEARCH("1m",#REF!)),0,1),2)*$G19*$F19*$H19/10^6+IF(ISERR(SEARCH("2d",#REF!)),IF(ISERR(SEARCH("1d",#REF!)),0,1),2)*$G19*$E19*$H19/10^6+IF(ISERR(SEARCH("2n",#REF!)),IF(ISERR(SEARCH("1n",#REF!)),0,1),2)*$F19*$E19*$H19/10^6,"")</f>
        <v/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  <c r="AH19" s="155">
        <v>4</v>
      </c>
    </row>
    <row r="20" spans="1:34" s="155" customFormat="1" ht="30" customHeight="1">
      <c r="A20" s="141" t="str">
        <f t="shared" si="0"/>
        <v>DC113B(EI60)</v>
      </c>
      <c r="B20" s="141" t="str">
        <f t="shared" si="1"/>
        <v>Muc 9.1</v>
      </c>
      <c r="C20" s="157">
        <f>IF(D20="","",IFERROR((IF(LEFT(MID(D20,SEARCH("_",D20)+1,2),1)="0",(MID(D20,SEARCH("_",D20)+2,1)),MID(D20,SEARCH("_",D20)+1,2)))&amp;"."&amp;IF(LEFT(RIGHT(D20,2),1)="0",RIGHT(D20,1),RIGHT(D20,2)),MAX($C$12:$C19)+1))</f>
        <v>7</v>
      </c>
      <c r="D20" s="158" t="s">
        <v>146</v>
      </c>
      <c r="E20" s="159">
        <v>18</v>
      </c>
      <c r="F20" s="159">
        <v>100</v>
      </c>
      <c r="G20" s="159" t="str">
        <f>$K$6</f>
        <v/>
      </c>
      <c r="H20" s="159" t="str">
        <f>+IFERROR(2*K7,"")</f>
        <v/>
      </c>
      <c r="I20" s="158" t="s">
        <v>144</v>
      </c>
      <c r="J20" s="161"/>
      <c r="K20" s="162"/>
      <c r="L20" s="163" t="s">
        <v>139</v>
      </c>
      <c r="M20" s="164" t="str">
        <f t="shared" si="6"/>
        <v/>
      </c>
      <c r="N20" s="165" t="str">
        <f>IFERROR(IF(ISERR(SEARCH("2d",#REF!)),IF(ISERR(SEARCH("1d",#REF!)),0,1),2)*($G20)*$H20/10^3+IF(ISERR(SEARCH("2n",#REF!)),IF(ISERR(SEARCH("1n",#REF!)),0,1),2)*($F20)*$H20/10^3,"")</f>
        <v/>
      </c>
      <c r="O20" s="165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P20" s="166" t="str">
        <f>IFERROR(IF(ISERR(SEARCH("2m",#REF!)),IF(ISERR(SEARCH("1m",#REF!)),0,1),2)*$G20*$F20*$H20/10^6+IF(ISERR(SEARCH("2d",#REF!)),IF(ISERR(SEARCH("1d",#REF!)),0,1),2)*$G20*$E20*$H20/10^6+IF(ISERR(SEARCH("2n",#REF!)),IF(ISERR(SEARCH("1n",#REF!)),0,1),2)*$F20*$E20*$H20/10^6,"")</f>
        <v/>
      </c>
      <c r="Q20" s="153">
        <f t="shared" si="3"/>
        <v>6</v>
      </c>
      <c r="R20" s="153" t="str">
        <f t="shared" si="2"/>
        <v>IN</v>
      </c>
      <c r="S20" s="154" t="str">
        <f t="shared" si="4"/>
        <v>1000</v>
      </c>
      <c r="T20" s="153" t="str">
        <f>IFERROR(MATCH(#REF!,#REF!,0)&amp;",","")</f>
        <v/>
      </c>
      <c r="U20" s="154"/>
      <c r="Y20" s="155">
        <f t="shared" si="5"/>
        <v>1</v>
      </c>
      <c r="AH20" s="155">
        <v>2</v>
      </c>
    </row>
    <row r="21" spans="1:34" s="155" customFormat="1" ht="30" customHeight="1">
      <c r="A21" s="141" t="str">
        <f t="shared" si="0"/>
        <v>DC113B(EI60)</v>
      </c>
      <c r="B21" s="141" t="str">
        <f t="shared" si="1"/>
        <v>Muc 9.1</v>
      </c>
      <c r="C21" s="157">
        <f>IF(D21="","",IFERROR((IF(LEFT(MID(D21,SEARCH("_",D21)+1,2),1)="0",(MID(D21,SEARCH("_",D21)+2,1)),MID(D21,SEARCH("_",D21)+1,2)))&amp;"."&amp;IF(LEFT(RIGHT(D21,2),1)="0",RIGHT(D21,1),RIGHT(D21,2)),MAX($C$12:$C20)+1))</f>
        <v>8</v>
      </c>
      <c r="D21" s="158" t="s">
        <v>146</v>
      </c>
      <c r="E21" s="159">
        <v>18</v>
      </c>
      <c r="F21" s="159">
        <v>100</v>
      </c>
      <c r="G21" s="159" t="str">
        <f>IFERROR(IF($L$6-$F$20-$F$20&lt;0,0,$L$6-$F$20-$F$20),"")</f>
        <v/>
      </c>
      <c r="H21" s="159" t="str">
        <f>+IFERROR(2*K7,"")</f>
        <v/>
      </c>
      <c r="I21" s="158" t="s">
        <v>144</v>
      </c>
      <c r="J21" s="161"/>
      <c r="K21" s="162"/>
      <c r="L21" s="163" t="s">
        <v>139</v>
      </c>
      <c r="M21" s="164" t="str">
        <f t="shared" si="6"/>
        <v/>
      </c>
      <c r="N21" s="165" t="str">
        <f>IFERROR(IF(ISERR(SEARCH("2d",#REF!)),IF(ISERR(SEARCH("1d",#REF!)),0,1),2)*($G21)*$H21/10^3+IF(ISERR(SEARCH("2n",#REF!)),IF(ISERR(SEARCH("1n",#REF!)),0,1),2)*($F21)*$H21/10^3,"")</f>
        <v/>
      </c>
      <c r="O21" s="165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P21" s="166" t="str">
        <f>IFERROR(IF(ISERR(SEARCH("2m",#REF!)),IF(ISERR(SEARCH("1m",#REF!)),0,1),2)*$G21*$F21*$H21/10^6+IF(ISERR(SEARCH("2d",#REF!)),IF(ISERR(SEARCH("1d",#REF!)),0,1),2)*$G21*$E21*$H21/10^6+IF(ISERR(SEARCH("2n",#REF!)),IF(ISERR(SEARCH("1n",#REF!)),0,1),2)*$F21*$E21*$H21/10^6,"")</f>
        <v/>
      </c>
      <c r="Q21" s="153">
        <f t="shared" si="3"/>
        <v>6</v>
      </c>
      <c r="R21" s="153" t="str">
        <f t="shared" si="2"/>
        <v>IN</v>
      </c>
      <c r="S21" s="154" t="str">
        <f t="shared" si="4"/>
        <v>1000</v>
      </c>
      <c r="T21" s="153" t="str">
        <f>IFERROR(MATCH(#REF!,#REF!,0)&amp;",","")</f>
        <v/>
      </c>
      <c r="U21" s="154"/>
      <c r="Y21" s="155">
        <f t="shared" si="5"/>
        <v>1</v>
      </c>
      <c r="AH21" s="155">
        <v>2</v>
      </c>
    </row>
    <row r="22" spans="1:34" s="155" customFormat="1" ht="30" customHeight="1">
      <c r="A22" s="141" t="str">
        <f t="shared" si="0"/>
        <v>DC113B(EI60)</v>
      </c>
      <c r="B22" s="141" t="str">
        <f t="shared" si="1"/>
        <v>Muc 9.1</v>
      </c>
      <c r="C22" s="157">
        <f>IF(D22="","",IFERROR((IF(LEFT(MID(D22,SEARCH("_",D22)+1,2),1)="0",(MID(D22,SEARCH("_",D22)+2,1)),MID(D22,SEARCH("_",D22)+1,2)))&amp;"."&amp;IF(LEFT(RIGHT(D22,2),1)="0",RIGHT(D22,1),RIGHT(D22,2)),MAX($C$12:$C21)+1))</f>
        <v>9</v>
      </c>
      <c r="D22" s="158" t="s">
        <v>146</v>
      </c>
      <c r="E22" s="159">
        <v>18</v>
      </c>
      <c r="F22" s="159">
        <v>100</v>
      </c>
      <c r="G22" s="159">
        <v>100</v>
      </c>
      <c r="H22" s="159" t="str">
        <f>+IFERROR(40*K7,"")</f>
        <v/>
      </c>
      <c r="I22" s="158" t="s">
        <v>144</v>
      </c>
      <c r="J22" s="161" t="s">
        <v>147</v>
      </c>
      <c r="K22" s="162"/>
      <c r="L22" s="163" t="s">
        <v>139</v>
      </c>
      <c r="M22" s="164" t="str">
        <f t="shared" si="6"/>
        <v/>
      </c>
      <c r="N22" s="165" t="str">
        <f>IFERROR(IF(ISERR(SEARCH("2d",#REF!)),IF(ISERR(SEARCH("1d",#REF!)),0,1),2)*($G22)*$H22/10^3+IF(ISERR(SEARCH("2n",#REF!)),IF(ISERR(SEARCH("1n",#REF!)),0,1),2)*($F22)*$H22/10^3,"")</f>
        <v/>
      </c>
      <c r="O22" s="165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P22" s="166" t="str">
        <f>IFERROR(IF(ISERR(SEARCH("2m",#REF!)),IF(ISERR(SEARCH("1m",#REF!)),0,1),2)*$G22*$F22*$H22/10^6+IF(ISERR(SEARCH("2d",#REF!)),IF(ISERR(SEARCH("1d",#REF!)),0,1),2)*$G22*$E22*$H22/10^6+IF(ISERR(SEARCH("2n",#REF!)),IF(ISERR(SEARCH("1n",#REF!)),0,1),2)*$F22*$E22*$H22/10^6,"")</f>
        <v/>
      </c>
      <c r="Q22" s="153">
        <f t="shared" si="3"/>
        <v>6</v>
      </c>
      <c r="R22" s="153" t="str">
        <f t="shared" si="2"/>
        <v>IN</v>
      </c>
      <c r="S22" s="154" t="str">
        <f t="shared" si="4"/>
        <v>1000</v>
      </c>
      <c r="T22" s="153" t="str">
        <f>IFERROR(MATCH(#REF!,#REF!,0)&amp;",","")</f>
        <v/>
      </c>
      <c r="U22" s="154"/>
      <c r="Y22" s="155">
        <f t="shared" si="5"/>
        <v>1</v>
      </c>
      <c r="AH22" s="155">
        <v>40</v>
      </c>
    </row>
    <row r="23" spans="1:34" s="155" customFormat="1" ht="30" customHeight="1">
      <c r="A23" s="141" t="str">
        <f t="shared" si="0"/>
        <v>DC113B(EI60)</v>
      </c>
      <c r="B23" s="141" t="str">
        <f t="shared" si="1"/>
        <v>Muc 9.1</v>
      </c>
      <c r="C23" s="157">
        <f>IF(D23="","",IFERROR((IF(LEFT(MID(D23,SEARCH("_",D23)+1,2),1)="0",(MID(D23,SEARCH("_",D23)+2,1)),MID(D23,SEARCH("_",D23)+1,2)))&amp;"."&amp;IF(LEFT(RIGHT(D23,2),1)="0",RIGHT(D23,1),RIGHT(D23,2)),MAX($C$12:$C22)+1))</f>
        <v>10</v>
      </c>
      <c r="D23" s="158" t="s">
        <v>107</v>
      </c>
      <c r="E23" s="159"/>
      <c r="F23" s="159"/>
      <c r="G23" s="159"/>
      <c r="H23" s="159"/>
      <c r="I23" s="158" t="s">
        <v>108</v>
      </c>
      <c r="J23" s="161"/>
      <c r="K23" s="162"/>
      <c r="L23" s="163" t="s">
        <v>109</v>
      </c>
      <c r="M23" s="164" t="str">
        <f>IFERROR(($K$6*$L$6*4+$L$6*$M$6*2)*10^-6*1.3/0.5*$K$7,"")</f>
        <v/>
      </c>
      <c r="N23" s="165">
        <f>IFERROR(IF(ISERR(SEARCH("2d",#REF!)),IF(ISERR(SEARCH("1d",#REF!)),0,1),2)*($G23)*$H23/10^3+IF(ISERR(SEARCH("2n",#REF!)),IF(ISERR(SEARCH("1n",#REF!)),0,1),2)*($F23)*$H23/10^3,"")</f>
        <v>0</v>
      </c>
      <c r="O23" s="165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>0</v>
      </c>
      <c r="P23" s="166">
        <f>IFERROR(IF(ISERR(SEARCH("2m",#REF!)),IF(ISERR(SEARCH("1m",#REF!)),0,1),2)*$G23*$F23*$H23/10^6+IF(ISERR(SEARCH("2d",#REF!)),IF(ISERR(SEARCH("1d",#REF!)),0,1),2)*$G23*$E23*$H23/10^6+IF(ISERR(SEARCH("2n",#REF!)),IF(ISERR(SEARCH("1n",#REF!)),0,1),2)*$F23*$E23*$H23/10^6,"")</f>
        <v>0</v>
      </c>
      <c r="Q23" s="153">
        <f t="shared" si="3"/>
        <v>6</v>
      </c>
      <c r="R23" s="153" t="str">
        <f t="shared" si="2"/>
        <v>IN</v>
      </c>
      <c r="S23" s="154" t="str">
        <f t="shared" si="4"/>
        <v>1000</v>
      </c>
      <c r="T23" s="153" t="str">
        <f>IFERROR(MATCH(#REF!,#REF!,0)&amp;",","")</f>
        <v/>
      </c>
      <c r="U23" s="154"/>
      <c r="Y23" s="155">
        <f t="shared" si="5"/>
        <v>1</v>
      </c>
    </row>
    <row r="24" spans="1:34" s="155" customFormat="1" ht="30" customHeight="1">
      <c r="A24" s="141" t="str">
        <f t="shared" si="0"/>
        <v>DC113B(EI60)</v>
      </c>
      <c r="B24" s="141" t="str">
        <f t="shared" si="1"/>
        <v>Muc 9.1</v>
      </c>
      <c r="C24" s="157">
        <f>IF(D24="","",IFERROR((IF(LEFT(MID(D24,SEARCH("_",D24)+1,2),1)="0",(MID(D24,SEARCH("_",D24)+2,1)),MID(D24,SEARCH("_",D24)+1,2)))&amp;"."&amp;IF(LEFT(RIGHT(D24,2),1)="0",RIGHT(D24,1),RIGHT(D24,2)),MAX($C$12:$C23)+1))</f>
        <v>11</v>
      </c>
      <c r="D24" s="158" t="s">
        <v>110</v>
      </c>
      <c r="E24" s="159"/>
      <c r="F24" s="159"/>
      <c r="G24" s="159"/>
      <c r="H24" s="159"/>
      <c r="I24" s="158" t="s">
        <v>111</v>
      </c>
      <c r="J24" s="161"/>
      <c r="K24" s="162"/>
      <c r="L24" s="163" t="s">
        <v>109</v>
      </c>
      <c r="M24" s="164" t="str">
        <f>IFERROR(($K$6*$L$6*4+$L$6*$M$6*2)*10^-6*1.3/1.2*$K$7,"")</f>
        <v/>
      </c>
      <c r="N24" s="165">
        <f>IFERROR(IF(ISERR(SEARCH("2d",#REF!)),IF(ISERR(SEARCH("1d",#REF!)),0,1),2)*($G24)*$H24/10^3+IF(ISERR(SEARCH("2n",#REF!)),IF(ISERR(SEARCH("1n",#REF!)),0,1),2)*($F24)*$H24/10^3,"")</f>
        <v>0</v>
      </c>
      <c r="O24" s="165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>0</v>
      </c>
      <c r="P24" s="166">
        <f>IFERROR(IF(ISERR(SEARCH("2m",#REF!)),IF(ISERR(SEARCH("1m",#REF!)),0,1),2)*$G24*$F24*$H24/10^6+IF(ISERR(SEARCH("2d",#REF!)),IF(ISERR(SEARCH("1d",#REF!)),0,1),2)*$G24*$E24*$H24/10^6+IF(ISERR(SEARCH("2n",#REF!)),IF(ISERR(SEARCH("1n",#REF!)),0,1),2)*$F24*$E24*$H24/10^6,"")</f>
        <v>0</v>
      </c>
      <c r="Q24" s="153">
        <f t="shared" si="3"/>
        <v>6</v>
      </c>
      <c r="R24" s="153" t="str">
        <f t="shared" si="2"/>
        <v>IN</v>
      </c>
      <c r="S24" s="154" t="str">
        <f t="shared" si="4"/>
        <v>1000</v>
      </c>
      <c r="T24" s="153" t="str">
        <f>IFERROR(MATCH(#REF!,#REF!,0)&amp;",","")</f>
        <v/>
      </c>
      <c r="U24" s="154"/>
      <c r="Y24" s="155">
        <f t="shared" si="5"/>
        <v>1</v>
      </c>
    </row>
    <row r="25" spans="1:34" s="155" customFormat="1" ht="30" customHeight="1">
      <c r="A25" s="141" t="str">
        <f t="shared" si="0"/>
        <v>DC113B(EI60)</v>
      </c>
      <c r="B25" s="141" t="str">
        <f t="shared" si="1"/>
        <v>Muc 9.1</v>
      </c>
      <c r="C25" s="157">
        <f>IF(D25="","",IFERROR((IF(LEFT(MID(D25,SEARCH("_",D25)+1,2),1)="0",(MID(D25,SEARCH("_",D25)+2,1)),MID(D25,SEARCH("_",D25)+1,2)))&amp;"."&amp;IF(LEFT(RIGHT(D25,2),1)="0",RIGHT(D25,1),RIGHT(D25,2)),MAX($C$12:$C24)+1))</f>
        <v>12</v>
      </c>
      <c r="D25" s="158" t="s">
        <v>148</v>
      </c>
      <c r="E25" s="159"/>
      <c r="F25" s="159"/>
      <c r="G25" s="159"/>
      <c r="H25" s="159"/>
      <c r="I25" s="158" t="s">
        <v>149</v>
      </c>
      <c r="J25" s="161"/>
      <c r="K25" s="162"/>
      <c r="L25" s="163" t="s">
        <v>109</v>
      </c>
      <c r="M25" s="164" t="str">
        <f>IFERROR(($K$6*8+$L$6*8+$M$6*80)*10^-3*$K$7,"")</f>
        <v/>
      </c>
      <c r="N25" s="165">
        <f>IFERROR(IF(ISERR(SEARCH("2d",#REF!)),IF(ISERR(SEARCH("1d",#REF!)),0,1),2)*($G25)*$H25/10^3+IF(ISERR(SEARCH("2n",#REF!)),IF(ISERR(SEARCH("1n",#REF!)),0,1),2)*($F25)*$H25/10^3,"")</f>
        <v>0</v>
      </c>
      <c r="O25" s="165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>0</v>
      </c>
      <c r="P25" s="166">
        <f>IFERROR(IF(ISERR(SEARCH("2m",#REF!)),IF(ISERR(SEARCH("1m",#REF!)),0,1),2)*$G25*$F25*$H25/10^6+IF(ISERR(SEARCH("2d",#REF!)),IF(ISERR(SEARCH("1d",#REF!)),0,1),2)*$G25*$E25*$H25/10^6+IF(ISERR(SEARCH("2n",#REF!)),IF(ISERR(SEARCH("1n",#REF!)),0,1),2)*$F25*$E25*$H25/10^6,"")</f>
        <v>0</v>
      </c>
      <c r="Q25" s="153">
        <f t="shared" si="3"/>
        <v>6</v>
      </c>
      <c r="R25" s="153" t="str">
        <f t="shared" si="2"/>
        <v>IN</v>
      </c>
      <c r="S25" s="154" t="str">
        <f t="shared" si="4"/>
        <v>1000</v>
      </c>
      <c r="T25" s="153" t="str">
        <f>IFERROR(MATCH(#REF!,#REF!,0)&amp;",","")</f>
        <v/>
      </c>
      <c r="U25" s="154"/>
      <c r="Y25" s="155">
        <f t="shared" si="5"/>
        <v>1</v>
      </c>
    </row>
    <row r="26" spans="1:34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ref="L26:L33" si="7">IF(I26="","",IF(LEFT(I26,2)="gỗ","m3","Tấm"))</f>
        <v/>
      </c>
      <c r="M26" s="164">
        <f t="shared" ref="M26:M33" si="8">IF(OR(L26="Con",L26="Cụm",L26="Hệ",L26="Thanh"),H26,IF(L26="Tấm",(F26*G26*H26)/(1220*2440),IF(L26="Md",G26*H26/1000,IF(L26="M2",F26*G26*H26/10^6,IF(L26="M3",E26*F26*G26*H26/10^9,0)))))</f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34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7"/>
        <v/>
      </c>
      <c r="M27" s="164">
        <f t="shared" si="8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34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7"/>
        <v/>
      </c>
      <c r="M28" s="164">
        <f t="shared" si="8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34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7"/>
        <v/>
      </c>
      <c r="M29" s="164">
        <f t="shared" si="8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34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7"/>
        <v/>
      </c>
      <c r="M30" s="164">
        <f t="shared" si="8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34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7"/>
        <v/>
      </c>
      <c r="M31" s="164">
        <f t="shared" si="8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34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7"/>
        <v/>
      </c>
      <c r="M32" s="164">
        <f t="shared" si="8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7"/>
        <v/>
      </c>
      <c r="M33" s="164">
        <f t="shared" si="8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/>
      <c r="M34" s="164"/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ref="L35:L76" si="9">IF(I35="","",IF(LEFT(I35,2)="gỗ","m3","Tấm"))</f>
        <v/>
      </c>
      <c r="M35" s="164">
        <f t="shared" ref="M35:M76" si="10">IF(OR(L35="Con",L35="Cụm",L35="Hệ",L35="Thanh"),H35,IF(L35="Tấm",(F35*G35*H35)/(1220*2440),IF(L35="Md",G35*H35/1000,IF(L35="M2",F35*G35*H35/10^6,IF(L35="M3",E35*F35*G35*H35/10^9,0)))))</f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9"/>
        <v/>
      </c>
      <c r="M36" s="164">
        <f t="shared" si="10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9"/>
        <v/>
      </c>
      <c r="M37" s="164">
        <f t="shared" si="10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9"/>
        <v/>
      </c>
      <c r="M38" s="164">
        <f t="shared" si="10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9"/>
        <v/>
      </c>
      <c r="M39" s="164">
        <f t="shared" si="10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9"/>
        <v/>
      </c>
      <c r="M40" s="164">
        <f t="shared" si="10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9"/>
        <v/>
      </c>
      <c r="M41" s="164">
        <f t="shared" si="10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9"/>
        <v/>
      </c>
      <c r="M42" s="164">
        <f t="shared" si="10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9"/>
        <v/>
      </c>
      <c r="M43" s="164">
        <f t="shared" si="10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si="0"/>
        <v/>
      </c>
      <c r="B44" s="141" t="str">
        <f t="shared" si="1"/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9"/>
        <v/>
      </c>
      <c r="M44" s="164">
        <f t="shared" si="10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si="2"/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0"/>
        <v/>
      </c>
      <c r="B45" s="141" t="str">
        <f t="shared" si="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9"/>
        <v/>
      </c>
      <c r="M45" s="164">
        <f t="shared" si="10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si="5"/>
        <v/>
      </c>
    </row>
    <row r="46" spans="1:25" s="155" customFormat="1" ht="30" hidden="1" customHeight="1">
      <c r="A46" s="141" t="str">
        <f t="shared" si="0"/>
        <v/>
      </c>
      <c r="B46" s="141" t="str">
        <f t="shared" si="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9"/>
        <v/>
      </c>
      <c r="M46" s="164">
        <f t="shared" si="10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5"/>
        <v/>
      </c>
    </row>
    <row r="47" spans="1:25" s="155" customFormat="1" ht="30" hidden="1" customHeight="1">
      <c r="A47" s="141" t="str">
        <f t="shared" si="0"/>
        <v/>
      </c>
      <c r="B47" s="141" t="str">
        <f t="shared" si="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9"/>
        <v/>
      </c>
      <c r="M47" s="164">
        <f t="shared" si="10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5"/>
        <v/>
      </c>
    </row>
    <row r="48" spans="1:25" s="155" customFormat="1" ht="30" hidden="1" customHeight="1">
      <c r="A48" s="141" t="str">
        <f t="shared" si="0"/>
        <v/>
      </c>
      <c r="B48" s="141" t="str">
        <f t="shared" si="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9"/>
        <v/>
      </c>
      <c r="M48" s="164">
        <f t="shared" si="10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5"/>
        <v/>
      </c>
    </row>
    <row r="49" spans="1:25" s="155" customFormat="1" ht="30" hidden="1" customHeight="1">
      <c r="A49" s="141" t="str">
        <f t="shared" si="0"/>
        <v/>
      </c>
      <c r="B49" s="141" t="str">
        <f t="shared" si="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9"/>
        <v/>
      </c>
      <c r="M49" s="164">
        <f t="shared" si="10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5"/>
        <v/>
      </c>
    </row>
    <row r="50" spans="1:25" s="155" customFormat="1" ht="30" hidden="1" customHeight="1">
      <c r="A50" s="141" t="str">
        <f t="shared" si="0"/>
        <v/>
      </c>
      <c r="B50" s="141" t="str">
        <f t="shared" si="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9"/>
        <v/>
      </c>
      <c r="M50" s="164">
        <f t="shared" si="10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5"/>
        <v/>
      </c>
    </row>
    <row r="51" spans="1:25" s="155" customFormat="1" ht="30" hidden="1" customHeight="1">
      <c r="A51" s="141" t="str">
        <f t="shared" si="0"/>
        <v/>
      </c>
      <c r="B51" s="141" t="str">
        <f t="shared" si="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9"/>
        <v/>
      </c>
      <c r="M51" s="164">
        <f t="shared" si="10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5"/>
        <v/>
      </c>
    </row>
    <row r="52" spans="1:25" s="155" customFormat="1" ht="30" hidden="1" customHeight="1">
      <c r="A52" s="141" t="str">
        <f t="shared" si="0"/>
        <v/>
      </c>
      <c r="B52" s="141" t="str">
        <f t="shared" si="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9"/>
        <v/>
      </c>
      <c r="M52" s="164">
        <f t="shared" si="10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5"/>
        <v/>
      </c>
    </row>
    <row r="53" spans="1:25" s="155" customFormat="1" ht="30" hidden="1" customHeight="1">
      <c r="A53" s="141" t="str">
        <f t="shared" si="0"/>
        <v/>
      </c>
      <c r="B53" s="141" t="str">
        <f t="shared" si="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9"/>
        <v/>
      </c>
      <c r="M53" s="164">
        <f t="shared" si="10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5"/>
        <v/>
      </c>
    </row>
    <row r="54" spans="1:25" s="155" customFormat="1" ht="30" hidden="1" customHeight="1">
      <c r="A54" s="141" t="str">
        <f t="shared" si="0"/>
        <v/>
      </c>
      <c r="B54" s="141" t="str">
        <f t="shared" si="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9"/>
        <v/>
      </c>
      <c r="M54" s="164">
        <f t="shared" si="10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5"/>
        <v/>
      </c>
    </row>
    <row r="55" spans="1:25" s="155" customFormat="1" ht="30" hidden="1" customHeight="1">
      <c r="A55" s="141" t="str">
        <f t="shared" si="0"/>
        <v/>
      </c>
      <c r="B55" s="141" t="str">
        <f t="shared" si="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9"/>
        <v/>
      </c>
      <c r="M55" s="164">
        <f t="shared" si="10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5"/>
        <v/>
      </c>
    </row>
    <row r="56" spans="1:25" s="155" customFormat="1" ht="30" hidden="1" customHeight="1">
      <c r="A56" s="141" t="str">
        <f t="shared" si="0"/>
        <v/>
      </c>
      <c r="B56" s="141" t="str">
        <f t="shared" si="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9"/>
        <v/>
      </c>
      <c r="M56" s="164">
        <f t="shared" si="10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5"/>
        <v/>
      </c>
    </row>
    <row r="57" spans="1:25" s="155" customFormat="1" ht="30" hidden="1" customHeight="1">
      <c r="A57" s="141" t="str">
        <f t="shared" si="0"/>
        <v/>
      </c>
      <c r="B57" s="141" t="str">
        <f t="shared" si="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9"/>
        <v/>
      </c>
      <c r="M57" s="164">
        <f t="shared" si="10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5"/>
        <v/>
      </c>
    </row>
    <row r="58" spans="1:25" s="155" customFormat="1" ht="30" hidden="1" customHeight="1">
      <c r="A58" s="141" t="str">
        <f t="shared" si="0"/>
        <v/>
      </c>
      <c r="B58" s="141" t="str">
        <f t="shared" si="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9"/>
        <v/>
      </c>
      <c r="M58" s="164">
        <f t="shared" si="10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5"/>
        <v/>
      </c>
    </row>
    <row r="59" spans="1:25" s="155" customFormat="1" ht="30" hidden="1" customHeight="1">
      <c r="A59" s="141" t="str">
        <f t="shared" si="0"/>
        <v/>
      </c>
      <c r="B59" s="141" t="str">
        <f t="shared" si="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9"/>
        <v/>
      </c>
      <c r="M59" s="164">
        <f t="shared" si="10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5"/>
        <v/>
      </c>
    </row>
    <row r="60" spans="1:25" s="155" customFormat="1" ht="30" hidden="1" customHeight="1">
      <c r="A60" s="141" t="str">
        <f t="shared" si="0"/>
        <v/>
      </c>
      <c r="B60" s="141" t="str">
        <f t="shared" si="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9"/>
        <v/>
      </c>
      <c r="M60" s="164">
        <f t="shared" si="10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5"/>
        <v/>
      </c>
    </row>
    <row r="61" spans="1:25" s="155" customFormat="1" ht="30" hidden="1" customHeight="1">
      <c r="A61" s="141" t="str">
        <f t="shared" si="0"/>
        <v/>
      </c>
      <c r="B61" s="141" t="str">
        <f t="shared" si="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9"/>
        <v/>
      </c>
      <c r="M61" s="164">
        <f t="shared" si="10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5"/>
        <v/>
      </c>
    </row>
    <row r="62" spans="1:25" s="155" customFormat="1" ht="30" hidden="1" customHeight="1">
      <c r="A62" s="141" t="str">
        <f t="shared" si="0"/>
        <v/>
      </c>
      <c r="B62" s="141" t="str">
        <f t="shared" si="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9"/>
        <v/>
      </c>
      <c r="M62" s="164">
        <f t="shared" si="10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5"/>
        <v/>
      </c>
    </row>
    <row r="63" spans="1:25" s="155" customFormat="1" ht="30" hidden="1" customHeight="1">
      <c r="A63" s="141" t="str">
        <f t="shared" si="0"/>
        <v/>
      </c>
      <c r="B63" s="141" t="str">
        <f t="shared" si="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9"/>
        <v/>
      </c>
      <c r="M63" s="164">
        <f t="shared" si="10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5"/>
        <v/>
      </c>
    </row>
    <row r="64" spans="1:25" s="155" customFormat="1" ht="30" hidden="1" customHeight="1">
      <c r="A64" s="141" t="str">
        <f t="shared" si="0"/>
        <v/>
      </c>
      <c r="B64" s="141" t="str">
        <f t="shared" si="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9"/>
        <v/>
      </c>
      <c r="M64" s="164">
        <f t="shared" si="10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5"/>
        <v/>
      </c>
    </row>
    <row r="65" spans="1:25" s="155" customFormat="1" ht="30" hidden="1" customHeight="1">
      <c r="A65" s="141" t="str">
        <f t="shared" si="0"/>
        <v/>
      </c>
      <c r="B65" s="141" t="str">
        <f t="shared" si="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9"/>
        <v/>
      </c>
      <c r="M65" s="164">
        <f t="shared" si="10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5"/>
        <v/>
      </c>
    </row>
    <row r="66" spans="1:25" s="155" customFormat="1" ht="30" hidden="1" customHeight="1">
      <c r="A66" s="141" t="str">
        <f t="shared" si="0"/>
        <v/>
      </c>
      <c r="B66" s="141" t="str">
        <f t="shared" si="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9"/>
        <v/>
      </c>
      <c r="M66" s="164">
        <f t="shared" si="10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5"/>
        <v/>
      </c>
    </row>
    <row r="67" spans="1:25" s="155" customFormat="1" ht="30" hidden="1" customHeight="1">
      <c r="A67" s="141" t="str">
        <f t="shared" si="0"/>
        <v/>
      </c>
      <c r="B67" s="141" t="str">
        <f t="shared" si="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9"/>
        <v/>
      </c>
      <c r="M67" s="164">
        <f t="shared" si="10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5"/>
        <v/>
      </c>
    </row>
    <row r="68" spans="1:25" s="155" customFormat="1" ht="30" hidden="1" customHeight="1">
      <c r="A68" s="141" t="str">
        <f t="shared" si="0"/>
        <v/>
      </c>
      <c r="B68" s="141" t="str">
        <f t="shared" si="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9"/>
        <v/>
      </c>
      <c r="M68" s="164">
        <f t="shared" si="10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5"/>
        <v/>
      </c>
    </row>
    <row r="69" spans="1:25" s="155" customFormat="1" ht="30" hidden="1" customHeight="1">
      <c r="A69" s="141" t="str">
        <f t="shared" si="0"/>
        <v/>
      </c>
      <c r="B69" s="141" t="str">
        <f t="shared" si="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9"/>
        <v/>
      </c>
      <c r="M69" s="164">
        <f t="shared" si="10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5"/>
        <v/>
      </c>
    </row>
    <row r="70" spans="1:25" s="155" customFormat="1" ht="30" hidden="1" customHeight="1">
      <c r="A70" s="141" t="str">
        <f t="shared" si="0"/>
        <v/>
      </c>
      <c r="B70" s="141" t="str">
        <f t="shared" si="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9"/>
        <v/>
      </c>
      <c r="M70" s="164">
        <f t="shared" si="10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5"/>
        <v/>
      </c>
    </row>
    <row r="71" spans="1:25" s="155" customFormat="1" ht="30" hidden="1" customHeight="1">
      <c r="A71" s="141" t="str">
        <f t="shared" si="0"/>
        <v/>
      </c>
      <c r="B71" s="141" t="str">
        <f t="shared" si="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9"/>
        <v/>
      </c>
      <c r="M71" s="164">
        <f t="shared" si="10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5"/>
        <v/>
      </c>
    </row>
    <row r="72" spans="1:25" s="155" customFormat="1" ht="30" hidden="1" customHeight="1">
      <c r="A72" s="141" t="str">
        <f t="shared" si="0"/>
        <v/>
      </c>
      <c r="B72" s="141" t="str">
        <f t="shared" si="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9"/>
        <v/>
      </c>
      <c r="M72" s="164">
        <f t="shared" si="10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5"/>
        <v/>
      </c>
    </row>
    <row r="73" spans="1:25" s="155" customFormat="1" ht="30" hidden="1" customHeight="1">
      <c r="A73" s="141" t="str">
        <f t="shared" si="0"/>
        <v/>
      </c>
      <c r="B73" s="141" t="str">
        <f t="shared" si="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9"/>
        <v/>
      </c>
      <c r="M73" s="164">
        <f t="shared" si="10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5"/>
        <v/>
      </c>
    </row>
    <row r="74" spans="1:25" s="155" customFormat="1" ht="30" hidden="1" customHeight="1">
      <c r="A74" s="141" t="str">
        <f t="shared" si="0"/>
        <v/>
      </c>
      <c r="B74" s="141" t="str">
        <f t="shared" si="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9"/>
        <v/>
      </c>
      <c r="M74" s="164">
        <f t="shared" si="10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5"/>
        <v/>
      </c>
    </row>
    <row r="75" spans="1:25" s="155" customFormat="1" ht="30" hidden="1" customHeight="1">
      <c r="A75" s="141" t="str">
        <f t="shared" si="0"/>
        <v/>
      </c>
      <c r="B75" s="141" t="str">
        <f t="shared" si="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9"/>
        <v/>
      </c>
      <c r="M75" s="164">
        <f t="shared" si="10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5"/>
        <v/>
      </c>
    </row>
    <row r="76" spans="1:25" s="155" customFormat="1" ht="30" hidden="1" customHeight="1">
      <c r="A76" s="141" t="str">
        <f t="shared" ref="A76:A77" si="11">IF(R76="IN",$E$6,"")</f>
        <v/>
      </c>
      <c r="B76" s="141" t="str">
        <f t="shared" ref="B76:B77" si="12">IF(R76="IN","Muc "&amp;$E$7,"")</f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9"/>
        <v/>
      </c>
      <c r="M76" s="164">
        <f t="shared" si="10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ref="R76:R77" si="13">IF(OR(C76&lt;&gt;"",D76&lt;&gt;""),"IN","")</f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5"/>
        <v/>
      </c>
    </row>
    <row r="77" spans="1:25" s="155" customFormat="1" ht="30" customHeight="1" thickBot="1">
      <c r="A77" s="141" t="str">
        <f t="shared" si="11"/>
        <v>DC113B(EI60)</v>
      </c>
      <c r="B77" s="141" t="str">
        <f t="shared" si="12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3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A10:A11"/>
    <mergeCell ref="B10:B11"/>
    <mergeCell ref="C10:C11"/>
    <mergeCell ref="D10:D11"/>
    <mergeCell ref="E10:G10"/>
    <mergeCell ref="C1:E3"/>
    <mergeCell ref="F1:J3"/>
    <mergeCell ref="L1:P1"/>
    <mergeCell ref="L2:P2"/>
    <mergeCell ref="L3:P3"/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</mergeCells>
  <conditionalFormatting sqref="C13:P76">
    <cfRule type="expression" dxfId="13" priority="9">
      <formula>$S12&gt;999</formula>
    </cfRule>
  </conditionalFormatting>
  <conditionalFormatting sqref="K35:L76 K13:L13 K26:L33">
    <cfRule type="expression" dxfId="12" priority="13">
      <formula>K13="LỖI DỮ LIỆU"</formula>
    </cfRule>
  </conditionalFormatting>
  <conditionalFormatting sqref="K13:P76">
    <cfRule type="cellIs" dxfId="11" priority="11" operator="equal">
      <formula>0</formula>
    </cfRule>
  </conditionalFormatting>
  <conditionalFormatting sqref="M13:M76">
    <cfRule type="cellIs" dxfId="10" priority="10" operator="equal">
      <formula>0</formula>
    </cfRule>
    <cfRule type="cellIs" dxfId="9" priority="12" operator="equal">
      <formula>0</formula>
    </cfRule>
  </conditionalFormatting>
  <conditionalFormatting sqref="K34:L34">
    <cfRule type="expression" dxfId="8" priority="8">
      <formula>K34="LỖI DỮ LIỆU"</formula>
    </cfRule>
  </conditionalFormatting>
  <conditionalFormatting sqref="K14:L25">
    <cfRule type="expression" dxfId="7" priority="1">
      <formula>K14="LỖI DỮ LIỆU"</formula>
    </cfRule>
  </conditionalFormatting>
  <dataValidations disablePrompts="1" count="3">
    <dataValidation type="list" allowBlank="1" showInputMessage="1" showErrorMessage="1" sqref="G84" xr:uid="{C03012BF-122A-4F29-9FCC-DD332013A4D5}">
      <formula1>$AB$2:$AB$3</formula1>
    </dataValidation>
    <dataValidation type="list" allowBlank="1" showInputMessage="1" showErrorMessage="1" sqref="L77" xr:uid="{68E2CDF5-C068-4B2C-A754-6A440ADBD9B9}">
      <formula1>$Z$2:$Z$9</formula1>
    </dataValidation>
    <dataValidation type="list" allowBlank="1" showInputMessage="1" showErrorMessage="1" sqref="K84" xr:uid="{CD413041-5D0E-4557-965A-B53E94F77960}">
      <formula1>$AA$2:$AA$7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5538D-CEDE-48E8-B738-C0283B9153A9}">
  <sheetPr codeName="Sheet11" filterMode="1">
    <tabColor rgb="FFFFFF00"/>
  </sheetPr>
  <dimension ref="A1:AE88"/>
  <sheetViews>
    <sheetView view="pageBreakPreview" zoomScale="70" zoomScaleNormal="70" zoomScaleSheetLayoutView="70" workbookViewId="0">
      <pane ySplit="11" topLeftCell="A12" activePane="bottomLeft" state="frozen"/>
      <selection activeCell="M17" sqref="M17"/>
      <selection pane="bottomLeft" activeCell="M6" sqref="M6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79" customWidth="1"/>
    <col min="4" max="4" width="45.7109375" style="16" customWidth="1"/>
    <col min="5" max="7" width="11.140625" style="16" customWidth="1"/>
    <col min="8" max="8" width="7.42578125" style="16" customWidth="1"/>
    <col min="9" max="9" width="65.42578125" style="18" customWidth="1"/>
    <col min="10" max="10" width="51.140625" style="18" customWidth="1"/>
    <col min="11" max="11" width="25.28515625" style="16" customWidth="1"/>
    <col min="12" max="16" width="14.28515625" style="17" customWidth="1"/>
    <col min="17" max="17" width="4.85546875" style="18" customWidth="1"/>
    <col min="18" max="19" width="8.85546875" style="3" customWidth="1"/>
    <col min="20" max="20" width="17.140625" style="3" customWidth="1"/>
    <col min="21" max="21" width="8.85546875" style="3" customWidth="1"/>
    <col min="22" max="25" width="4.85546875" style="3"/>
    <col min="26" max="26" width="11.85546875" style="3" customWidth="1"/>
    <col min="27" max="27" width="20.7109375" style="3" hidden="1" customWidth="1"/>
    <col min="28" max="28" width="13.7109375" style="3" hidden="1" customWidth="1"/>
    <col min="29" max="29" width="5.140625" style="3" hidden="1" customWidth="1"/>
    <col min="30" max="16384" width="4.85546875" style="3"/>
  </cols>
  <sheetData>
    <row r="1" spans="1:31" ht="27.75" customHeight="1">
      <c r="C1" s="420"/>
      <c r="D1" s="420"/>
      <c r="E1" s="420"/>
      <c r="F1" s="422" t="s">
        <v>60</v>
      </c>
      <c r="G1" s="422"/>
      <c r="H1" s="422"/>
      <c r="I1" s="422"/>
      <c r="J1" s="422"/>
      <c r="K1" s="28" t="s">
        <v>29</v>
      </c>
      <c r="L1" s="424" t="s">
        <v>41</v>
      </c>
      <c r="M1" s="424"/>
      <c r="N1" s="424"/>
      <c r="O1" s="424"/>
      <c r="P1" s="424"/>
      <c r="Q1" s="101"/>
    </row>
    <row r="2" spans="1:31" ht="27.75" customHeight="1">
      <c r="C2" s="420"/>
      <c r="D2" s="420"/>
      <c r="E2" s="420"/>
      <c r="F2" s="422"/>
      <c r="G2" s="422"/>
      <c r="H2" s="422"/>
      <c r="I2" s="422"/>
      <c r="J2" s="422"/>
      <c r="K2" s="28" t="s">
        <v>30</v>
      </c>
      <c r="L2" s="425"/>
      <c r="M2" s="425"/>
      <c r="N2" s="425"/>
      <c r="O2" s="425"/>
      <c r="P2" s="425"/>
      <c r="Q2" s="102"/>
      <c r="Z2" s="31"/>
      <c r="AA2" s="32" t="s">
        <v>47</v>
      </c>
      <c r="AB2" s="32" t="s">
        <v>64</v>
      </c>
      <c r="AC2" s="32"/>
      <c r="AD2" s="32"/>
      <c r="AE2" s="32"/>
    </row>
    <row r="3" spans="1:31" ht="27.75" customHeight="1">
      <c r="C3" s="421"/>
      <c r="D3" s="421"/>
      <c r="E3" s="421"/>
      <c r="F3" s="423"/>
      <c r="G3" s="423"/>
      <c r="H3" s="423"/>
      <c r="I3" s="423"/>
      <c r="J3" s="423"/>
      <c r="K3" s="50" t="s">
        <v>31</v>
      </c>
      <c r="L3" s="426"/>
      <c r="M3" s="426"/>
      <c r="N3" s="426"/>
      <c r="O3" s="426"/>
      <c r="P3" s="426"/>
      <c r="Q3" s="103"/>
      <c r="T3" s="3">
        <f>'BOM_Phan II'!Y3</f>
        <v>6</v>
      </c>
      <c r="Z3" s="31"/>
      <c r="AA3" s="32" t="s">
        <v>61</v>
      </c>
      <c r="AB3" s="32"/>
      <c r="AC3" s="32"/>
      <c r="AD3" s="32"/>
      <c r="AE3" s="32"/>
    </row>
    <row r="4" spans="1:31" ht="25.35" customHeight="1">
      <c r="C4" s="220" t="s">
        <v>25</v>
      </c>
      <c r="D4" s="224"/>
      <c r="E4" s="225" t="str">
        <f>'BOM_Phan II'!E4</f>
        <v>SYCAMORE</v>
      </c>
      <c r="F4" s="217"/>
      <c r="G4" s="217"/>
      <c r="H4" s="226"/>
      <c r="I4" s="218"/>
      <c r="J4" s="214" t="s">
        <v>24</v>
      </c>
      <c r="K4" s="216" t="str">
        <f>'BOM_Phan II'!P4</f>
        <v>2511_SYCAMORE_CT01_REV01</v>
      </c>
      <c r="L4" s="219"/>
      <c r="M4" s="221"/>
      <c r="N4" s="219"/>
      <c r="O4" s="219"/>
      <c r="P4" s="221"/>
      <c r="Q4" s="104"/>
      <c r="Z4" s="31"/>
      <c r="AA4" s="32" t="s">
        <v>88</v>
      </c>
      <c r="AB4" s="32"/>
      <c r="AC4" s="32" t="s">
        <v>74</v>
      </c>
      <c r="AD4" s="32"/>
      <c r="AE4" s="32"/>
    </row>
    <row r="5" spans="1:31" ht="25.35" customHeight="1">
      <c r="C5" s="220" t="s">
        <v>28</v>
      </c>
      <c r="D5" s="224"/>
      <c r="E5" s="225" t="str">
        <f>'BOM_Phan II'!E5</f>
        <v>Cửa chính căn hộ , 1 cánh mở</v>
      </c>
      <c r="F5" s="217"/>
      <c r="G5" s="217"/>
      <c r="H5" s="226"/>
      <c r="I5" s="218"/>
      <c r="J5" s="214" t="s">
        <v>27</v>
      </c>
      <c r="K5" s="223" t="s">
        <v>100</v>
      </c>
      <c r="L5" s="222" t="s">
        <v>101</v>
      </c>
      <c r="M5" s="222" t="s">
        <v>102</v>
      </c>
      <c r="N5" s="219"/>
      <c r="O5" s="219"/>
      <c r="P5" s="221"/>
      <c r="Q5" s="104"/>
      <c r="Z5" s="31"/>
      <c r="AA5" s="32" t="s">
        <v>62</v>
      </c>
      <c r="AB5" s="32"/>
      <c r="AC5" s="32" t="s">
        <v>75</v>
      </c>
      <c r="AD5" s="32"/>
      <c r="AE5" s="32"/>
    </row>
    <row r="6" spans="1:31" ht="25.35" customHeight="1">
      <c r="C6" s="220" t="s">
        <v>23</v>
      </c>
      <c r="D6" s="224"/>
      <c r="E6" s="225" t="str">
        <f>'BOM_Phan II'!E6</f>
        <v>DC113B(EI60)</v>
      </c>
      <c r="F6" s="217"/>
      <c r="G6" s="217"/>
      <c r="H6" s="226"/>
      <c r="I6" s="218"/>
      <c r="J6" s="214"/>
      <c r="K6" s="227">
        <f>IFERROR(IF('BOM_Phan IV'!T13=6,AVERAGE('BOM_Phan IV'!M13:M835),""),"")</f>
        <v>1724.2222222222222</v>
      </c>
      <c r="L6" s="228">
        <f>IFERROR(IF('BOM_Phan IV'!T13=6,AVERAGE('BOM_Phan IV'!L13:L835),""),"")</f>
        <v>219.55555555555554</v>
      </c>
      <c r="M6" s="228">
        <f>IFERROR(IF('BOM_Phan IV'!T13=6,AVERAGE('BOM_Phan IV'!K13:K835),""),"")</f>
        <v>82.555555555555557</v>
      </c>
      <c r="N6" s="219"/>
      <c r="O6" s="219"/>
      <c r="P6" s="221"/>
      <c r="Q6" s="104"/>
      <c r="Z6" s="31"/>
      <c r="AA6" s="32" t="s">
        <v>63</v>
      </c>
      <c r="AB6" s="32"/>
      <c r="AC6" s="32"/>
      <c r="AD6" s="32"/>
      <c r="AE6" s="32"/>
    </row>
    <row r="7" spans="1:31" ht="25.35" customHeight="1">
      <c r="C7" s="220" t="s">
        <v>21</v>
      </c>
      <c r="D7" s="224"/>
      <c r="E7" s="225">
        <f>'BOM_Phan II'!E7</f>
        <v>9.1</v>
      </c>
      <c r="F7" s="217"/>
      <c r="G7" s="217"/>
      <c r="H7" s="226"/>
      <c r="I7" s="218"/>
      <c r="J7" s="214" t="s">
        <v>26</v>
      </c>
      <c r="K7" s="216">
        <f>IF(K6&lt;&gt;"",SUM('BOM_Phan IV'!N13:N835),"")</f>
        <v>13</v>
      </c>
      <c r="L7" s="219"/>
      <c r="M7" s="221"/>
      <c r="N7" s="219"/>
      <c r="O7" s="219"/>
      <c r="P7" s="221"/>
      <c r="Q7" s="104"/>
      <c r="Z7" s="31"/>
      <c r="AA7" s="32" t="s">
        <v>64</v>
      </c>
      <c r="AB7" s="32"/>
      <c r="AC7" s="32"/>
      <c r="AD7" s="32"/>
      <c r="AE7" s="32"/>
    </row>
    <row r="8" spans="1:31" ht="25.35" customHeight="1">
      <c r="C8" s="220" t="s">
        <v>9</v>
      </c>
      <c r="D8" s="224"/>
      <c r="E8" s="225" t="str">
        <f>'BOM_Phan II'!E8</f>
        <v>MDF LAMINATE</v>
      </c>
      <c r="F8" s="217"/>
      <c r="G8" s="217"/>
      <c r="H8" s="226"/>
      <c r="I8" s="218"/>
      <c r="J8" s="214" t="s">
        <v>34</v>
      </c>
      <c r="K8" s="216" t="str">
        <f>'BOM_Phan II'!P7</f>
        <v>Module</v>
      </c>
      <c r="L8" s="219"/>
      <c r="M8" s="221"/>
      <c r="N8" s="219"/>
      <c r="O8" s="219"/>
      <c r="P8" s="221"/>
      <c r="Q8" s="104"/>
      <c r="Z8" s="31"/>
      <c r="AA8" s="32" t="s">
        <v>81</v>
      </c>
      <c r="AB8" s="32"/>
      <c r="AC8" s="32"/>
      <c r="AD8" s="32"/>
      <c r="AE8" s="32"/>
    </row>
    <row r="9" spans="1:31" ht="25.35" customHeight="1">
      <c r="C9" s="220"/>
      <c r="D9" s="215"/>
      <c r="E9" s="216"/>
      <c r="F9" s="217"/>
      <c r="G9" s="217"/>
      <c r="H9" s="217"/>
      <c r="I9" s="218"/>
      <c r="J9" s="214" t="s">
        <v>22</v>
      </c>
      <c r="K9" s="216" t="str">
        <f>'BOM_Phan II'!P8</f>
        <v>Theo bản vẽ</v>
      </c>
      <c r="L9" s="219"/>
      <c r="M9" s="221"/>
      <c r="N9" s="219"/>
      <c r="O9" s="219"/>
      <c r="P9" s="221"/>
      <c r="Q9" s="104"/>
      <c r="Z9" s="31"/>
      <c r="AA9" s="32"/>
      <c r="AB9" s="32"/>
      <c r="AC9" s="32"/>
      <c r="AD9" s="32"/>
      <c r="AE9" s="32"/>
    </row>
    <row r="10" spans="1:31" ht="33" customHeight="1">
      <c r="A10" s="294" t="s">
        <v>71</v>
      </c>
      <c r="B10" s="295" t="s">
        <v>72</v>
      </c>
      <c r="C10" s="427" t="s">
        <v>10</v>
      </c>
      <c r="D10" s="417" t="s">
        <v>40</v>
      </c>
      <c r="E10" s="395" t="s">
        <v>1</v>
      </c>
      <c r="F10" s="307"/>
      <c r="G10" s="307"/>
      <c r="H10" s="307" t="s">
        <v>0</v>
      </c>
      <c r="I10" s="417" t="s">
        <v>59</v>
      </c>
      <c r="J10" s="418" t="s">
        <v>67</v>
      </c>
      <c r="K10" s="419" t="s">
        <v>58</v>
      </c>
      <c r="L10" s="415" t="s">
        <v>44</v>
      </c>
      <c r="M10" s="414" t="s">
        <v>45</v>
      </c>
      <c r="N10" s="414" t="s">
        <v>7</v>
      </c>
      <c r="O10" s="415" t="s">
        <v>8</v>
      </c>
      <c r="P10" s="416"/>
      <c r="Q10" s="343" t="s">
        <v>76</v>
      </c>
      <c r="AA10" s="32"/>
    </row>
    <row r="11" spans="1:31" ht="41.1" customHeight="1">
      <c r="A11" s="294"/>
      <c r="B11" s="295"/>
      <c r="C11" s="324"/>
      <c r="D11" s="307"/>
      <c r="E11" s="94" t="s">
        <v>18</v>
      </c>
      <c r="F11" s="94" t="s">
        <v>19</v>
      </c>
      <c r="G11" s="94" t="s">
        <v>20</v>
      </c>
      <c r="H11" s="310"/>
      <c r="I11" s="307"/>
      <c r="J11" s="288"/>
      <c r="K11" s="305"/>
      <c r="L11" s="291"/>
      <c r="M11" s="293"/>
      <c r="N11" s="293"/>
      <c r="O11" s="111" t="s">
        <v>37</v>
      </c>
      <c r="P11" s="124" t="s">
        <v>2</v>
      </c>
      <c r="Q11" s="343"/>
      <c r="R11" s="48" t="s">
        <v>53</v>
      </c>
      <c r="S11" s="33"/>
      <c r="T11" s="191" t="str">
        <f>RemoveDupes2(_xlfn.CONCAT($T$13:$T$76),",")&amp;","</f>
        <v>,</v>
      </c>
      <c r="U11" s="33" t="str">
        <f>RemoveDupes2(_xlfn.CONCAT($T$13:$T$76),",")&amp;","</f>
        <v>,</v>
      </c>
      <c r="AA11" s="32"/>
    </row>
    <row r="12" spans="1:31" s="155" customFormat="1" ht="30" customHeight="1">
      <c r="A12" s="141" t="str">
        <f t="shared" ref="A12:A75" si="0">IF(R12="IN",$E$6,"")</f>
        <v>DC113B(EI60)</v>
      </c>
      <c r="B12" s="141" t="str">
        <f t="shared" ref="B12:B75" si="1">IF(R12="IN","Muc "&amp;$E$7,"")</f>
        <v>Muc 9.1</v>
      </c>
      <c r="C12" s="142" t="s">
        <v>14</v>
      </c>
      <c r="D12" s="143" t="s">
        <v>69</v>
      </c>
      <c r="E12" s="144"/>
      <c r="F12" s="144"/>
      <c r="G12" s="144"/>
      <c r="H12" s="144"/>
      <c r="I12" s="145"/>
      <c r="J12" s="147"/>
      <c r="K12" s="148"/>
      <c r="L12" s="149"/>
      <c r="M12" s="150"/>
      <c r="N12" s="151"/>
      <c r="O12" s="151"/>
      <c r="P12" s="152"/>
      <c r="Q12" s="153">
        <f>IF(R12="IN",$T$3,"")</f>
        <v>6</v>
      </c>
      <c r="R12" s="153" t="str">
        <f t="shared" ref="R12:R75" si="2">IF(OR(C12&lt;&gt;"",D12&lt;&gt;""),"IN","")</f>
        <v>IN</v>
      </c>
      <c r="S12" s="154" t="str">
        <f>IFERROR(FIND(".",$C13),"1000")</f>
        <v>1000</v>
      </c>
      <c r="T12" s="153"/>
      <c r="U12" s="154"/>
      <c r="AA12" s="156"/>
      <c r="AB12" s="156"/>
      <c r="AD12" s="156"/>
      <c r="AE12" s="156"/>
    </row>
    <row r="13" spans="1:31" s="155" customFormat="1" ht="30" hidden="1" customHeight="1">
      <c r="A13" s="141" t="str">
        <f t="shared" si="0"/>
        <v/>
      </c>
      <c r="B13" s="141" t="str">
        <f t="shared" si="1"/>
        <v/>
      </c>
      <c r="C13" s="157" t="str">
        <f>IF(D13="","",IFERROR((IF(LEFT(MID(D13,SEARCH("_",D13)+1,2),1)="0",(MID(D13,SEARCH("_",D13)+2,1)),MID(D13,SEARCH("_",D13)+1,2)))&amp;"."&amp;IF(LEFT(RIGHT(D13,2),1)="0",RIGHT(D13,1),RIGHT(D13,2)),MAX($C$12:$C12)+1))</f>
        <v/>
      </c>
      <c r="D13" s="158"/>
      <c r="E13" s="159"/>
      <c r="F13" s="159"/>
      <c r="G13" s="159"/>
      <c r="H13" s="159"/>
      <c r="I13" s="158"/>
      <c r="J13" s="161"/>
      <c r="K13" s="162"/>
      <c r="L13" s="163" t="str">
        <f>IF(I13="","",IF(LEFT(I13,2)="gỗ","m3","Tấm"))</f>
        <v/>
      </c>
      <c r="M13" s="164">
        <f>IF(OR(L13="Con",L13="Cụm",L13="Hệ",L13="Thanh"),H13,IF(L13="Tấm",(F13*G13*H13)/(1220*2440),IF(L13="Md",G13*H13/1000,IF(L13="M2",F13*G13*H13/10^6,IF(L13="M3",E13*F13*G13*H13/10^9,0)))))</f>
        <v>0</v>
      </c>
      <c r="N13" s="165">
        <f>IF(ISERR(SEARCH("2d",#REF!)),IF(ISERR(SEARCH("1d",#REF!)),0,1),2)*($G13)*$H13/10^3+IF(ISERR(SEARCH("2n",#REF!)),IF(ISERR(SEARCH("1n",#REF!)),0,1),2)*($F13)*$H13/10^3</f>
        <v>0</v>
      </c>
      <c r="O13" s="165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P13" s="166">
        <f>IF(ISERR(SEARCH("2m",#REF!)),IF(ISERR(SEARCH("1m",#REF!)),0,1),2)*$G13*$F13*$H13/10^6+IF(ISERR(SEARCH("2d",#REF!)),IF(ISERR(SEARCH("1d",#REF!)),0,1),2)*$G13*$E13*$H13/10^6+IF(ISERR(SEARCH("2n",#REF!)),IF(ISERR(SEARCH("1n",#REF!)),0,1),2)*$F13*$E13*$H13/10^6</f>
        <v>0</v>
      </c>
      <c r="Q13" s="153" t="str">
        <f t="shared" ref="Q13:Q77" si="3">IF(R13="IN",$T$3,"")</f>
        <v/>
      </c>
      <c r="R13" s="153" t="str">
        <f t="shared" si="2"/>
        <v/>
      </c>
      <c r="S13" s="154" t="str">
        <f t="shared" ref="S13:S75" si="4">IFERROR(FIND(".",$C14),"1000")</f>
        <v>1000</v>
      </c>
      <c r="T13" s="153" t="str">
        <f>IFERROR(MATCH(#REF!,#REF!,0)&amp;",","")</f>
        <v/>
      </c>
      <c r="U13" s="154"/>
      <c r="Y13" s="155" t="str">
        <f t="shared" ref="Y13:Y76" si="5">IF(C13&lt;&gt;"",1,"")</f>
        <v/>
      </c>
    </row>
    <row r="14" spans="1:31" s="155" customFormat="1" ht="30" hidden="1" customHeight="1">
      <c r="A14" s="141" t="str">
        <f t="shared" si="0"/>
        <v/>
      </c>
      <c r="B14" s="141" t="str">
        <f t="shared" si="1"/>
        <v/>
      </c>
      <c r="C14" s="157" t="str">
        <f>IF(D14="","",IFERROR((IF(LEFT(MID(D14,SEARCH("_",D14)+1,2),1)="0",(MID(D14,SEARCH("_",D14)+2,1)),MID(D14,SEARCH("_",D14)+1,2)))&amp;"."&amp;IF(LEFT(RIGHT(D14,2),1)="0",RIGHT(D14,1),RIGHT(D14,2)),MAX($C$12:$C13)+1))</f>
        <v/>
      </c>
      <c r="D14" s="158"/>
      <c r="E14" s="159"/>
      <c r="F14" s="159"/>
      <c r="G14" s="159"/>
      <c r="H14" s="159"/>
      <c r="I14" s="158"/>
      <c r="J14" s="161"/>
      <c r="K14" s="162"/>
      <c r="L14" s="163" t="str">
        <f>IF(I14="","",IF(LEFT(I14,2)="gỗ","m3","Tấm"))</f>
        <v/>
      </c>
      <c r="M14" s="164">
        <f>IF(OR(L14="Con",L14="Cụm",L14="Hệ",L14="Thanh"),H14,IF(L14="Tấm",(F14*G14*H14)/(1220*2440),IF(L14="Md",G14*H14/1000,IF(L14="M2",F14*G14*H14/10^6,IF(L14="M3",E14*F14*G14*H14/10^9,0)))))</f>
        <v>0</v>
      </c>
      <c r="N14" s="165">
        <f>IF(ISERR(SEARCH("2d",#REF!)),IF(ISERR(SEARCH("1d",#REF!)),0,1),2)*($G14)*$H14/10^3+IF(ISERR(SEARCH("2n",#REF!)),IF(ISERR(SEARCH("1n",#REF!)),0,1),2)*($F14)*$H14/10^3</f>
        <v>0</v>
      </c>
      <c r="O14" s="165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0</v>
      </c>
      <c r="P14" s="166">
        <f>IF(ISERR(SEARCH("2m",#REF!)),IF(ISERR(SEARCH("1m",#REF!)),0,1),2)*$G14*$F14*$H14/10^6+IF(ISERR(SEARCH("2d",#REF!)),IF(ISERR(SEARCH("1d",#REF!)),0,1),2)*$G14*$E14*$H14/10^6+IF(ISERR(SEARCH("2n",#REF!)),IF(ISERR(SEARCH("1n",#REF!)),0,1),2)*$F14*$E14*$H14/10^6</f>
        <v>0</v>
      </c>
      <c r="Q14" s="153" t="str">
        <f t="shared" si="3"/>
        <v/>
      </c>
      <c r="R14" s="153" t="str">
        <f t="shared" si="2"/>
        <v/>
      </c>
      <c r="S14" s="154" t="str">
        <f t="shared" si="4"/>
        <v>1000</v>
      </c>
      <c r="T14" s="153" t="str">
        <f>IFERROR(MATCH(#REF!,#REF!,0)&amp;",","")</f>
        <v/>
      </c>
      <c r="U14" s="154"/>
      <c r="Y14" s="155" t="str">
        <f t="shared" si="5"/>
        <v/>
      </c>
    </row>
    <row r="15" spans="1:31" s="155" customFormat="1" ht="30" customHeight="1">
      <c r="A15" s="141" t="str">
        <f t="shared" si="0"/>
        <v>DC113B(EI60)</v>
      </c>
      <c r="B15" s="141" t="str">
        <f t="shared" si="1"/>
        <v>Muc 9.1</v>
      </c>
      <c r="C15" s="157">
        <f>IF(D15="","",IFERROR((IF(LEFT(MID(D15,SEARCH("_",D15)+1,2),1)="0",(MID(D15,SEARCH("_",D15)+2,1)),MID(D15,SEARCH("_",D15)+1,2)))&amp;"."&amp;IF(LEFT(RIGHT(D15,2),1)="0",RIGHT(D15,1),RIGHT(D15,2)),MAX($C$12:$C14)+1))</f>
        <v>1</v>
      </c>
      <c r="D15" s="158" t="s">
        <v>103</v>
      </c>
      <c r="E15" s="159">
        <v>25</v>
      </c>
      <c r="F15" s="159">
        <v>35</v>
      </c>
      <c r="G15" s="229">
        <f>IFERROR(IF((($K$6*2)+($L$6*2))&lt;0,0,($K$6*2)+($L$6*2)),"")</f>
        <v>3887.5555555555557</v>
      </c>
      <c r="H15" s="159">
        <f>IFERROR(IF('BOM_Phan IV'!O13="TIÊU CHUẨN DỰ ÁN",2*K7,""),"")</f>
        <v>26</v>
      </c>
      <c r="I15" s="158" t="s">
        <v>104</v>
      </c>
      <c r="J15" s="161"/>
      <c r="K15" s="162"/>
      <c r="L15" s="163" t="s">
        <v>105</v>
      </c>
      <c r="M15" s="230">
        <f>IFERROR(IF('BOM_Phan IV'!O13="TIÊU CHUẨN DỰ ÁN",G15*H15/2400,""),"")</f>
        <v>42.11518518518519</v>
      </c>
      <c r="N15" s="165">
        <f>IFERROR(IF(ISERR(SEARCH("2d",#REF!)),IF(ISERR(SEARCH("1d",#REF!)),0,1),2)*($G15)*$H15/10^3+IF(ISERR(SEARCH("2n",#REF!)),IF(ISERR(SEARCH("1n",#REF!)),0,1),2)*($F15)*$H15/10^3,"")</f>
        <v>0</v>
      </c>
      <c r="O15" s="165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>0</v>
      </c>
      <c r="P15" s="166">
        <f>IFERROR(IF(ISERR(SEARCH("2m",#REF!)),IF(ISERR(SEARCH("1m",#REF!)),0,1),2)*$G15*$F15*$H15/10^6+IF(ISERR(SEARCH("2d",#REF!)),IF(ISERR(SEARCH("1d",#REF!)),0,1),2)*$G15*$E15*$H15/10^6+IF(ISERR(SEARCH("2n",#REF!)),IF(ISERR(SEARCH("1n",#REF!)),0,1),2)*$F15*$E15*$H15/10^6,"")</f>
        <v>0</v>
      </c>
      <c r="Q15" s="153">
        <f t="shared" si="3"/>
        <v>6</v>
      </c>
      <c r="R15" s="153" t="str">
        <f t="shared" si="2"/>
        <v>IN</v>
      </c>
      <c r="S15" s="154" t="str">
        <f t="shared" si="4"/>
        <v>1000</v>
      </c>
      <c r="T15" s="153" t="str">
        <f>IFERROR(MATCH(#REF!,#REF!,0)&amp;",","")</f>
        <v/>
      </c>
      <c r="U15" s="154"/>
      <c r="Y15" s="155">
        <f t="shared" si="5"/>
        <v>1</v>
      </c>
    </row>
    <row r="16" spans="1:31" s="155" customFormat="1" ht="30" customHeight="1">
      <c r="A16" s="141" t="str">
        <f t="shared" si="0"/>
        <v>DC113B(EI60)</v>
      </c>
      <c r="B16" s="141" t="str">
        <f t="shared" si="1"/>
        <v>Muc 9.1</v>
      </c>
      <c r="C16" s="157">
        <f>IF(D16="","",IFERROR((IF(LEFT(MID(D16,SEARCH("_",D16)+1,2),1)="0",(MID(D16,SEARCH("_",D16)+2,1)),MID(D16,SEARCH("_",D16)+1,2)))&amp;"."&amp;IF(LEFT(RIGHT(D16,2),1)="0",RIGHT(D16,1),RIGHT(D16,2)),MAX($C$12:$C15)+1))</f>
        <v>2</v>
      </c>
      <c r="D16" s="158" t="s">
        <v>106</v>
      </c>
      <c r="E16" s="159">
        <v>25</v>
      </c>
      <c r="F16" s="159">
        <v>35</v>
      </c>
      <c r="G16" s="229">
        <f>IFERROR(IF($M$6-$F$15-$F$15&lt;0,0,$M$6-$F$15-$F$15),"")</f>
        <v>12.555555555555557</v>
      </c>
      <c r="H16" s="159">
        <f>IFERROR(IF('BOM_Phan IV'!O13="TIÊU CHUẨN DỰ ÁN",4*K7,""),"")</f>
        <v>52</v>
      </c>
      <c r="I16" s="158" t="s">
        <v>104</v>
      </c>
      <c r="J16" s="161"/>
      <c r="K16" s="162"/>
      <c r="L16" s="163" t="s">
        <v>105</v>
      </c>
      <c r="M16" s="230">
        <f>IFERROR(IF('BOM_Phan IV'!O13="TIÊU CHUẨN DỰ ÁN",G16*H16/2400,""),"")</f>
        <v>0.27203703703703702</v>
      </c>
      <c r="N16" s="165">
        <f>IFERROR(IF(ISERR(SEARCH("2d",#REF!)),IF(ISERR(SEARCH("1d",#REF!)),0,1),2)*($G16)*$H16/10^3+IF(ISERR(SEARCH("2n",#REF!)),IF(ISERR(SEARCH("1n",#REF!)),0,1),2)*($F16)*$H16/10^3,"")</f>
        <v>0</v>
      </c>
      <c r="O16" s="165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>0</v>
      </c>
      <c r="P16" s="166">
        <f>IFERROR(IF(ISERR(SEARCH("2m",#REF!)),IF(ISERR(SEARCH("1m",#REF!)),0,1),2)*$G16*$F16*$H16/10^6+IF(ISERR(SEARCH("2d",#REF!)),IF(ISERR(SEARCH("1d",#REF!)),0,1),2)*$G16*$E16*$H16/10^6+IF(ISERR(SEARCH("2n",#REF!)),IF(ISERR(SEARCH("1n",#REF!)),0,1),2)*$F16*$E16*$H16/10^6,"")</f>
        <v>0</v>
      </c>
      <c r="Q16" s="153">
        <f t="shared" si="3"/>
        <v>6</v>
      </c>
      <c r="R16" s="153" t="str">
        <f t="shared" si="2"/>
        <v>IN</v>
      </c>
      <c r="S16" s="154" t="str">
        <f t="shared" si="4"/>
        <v>1000</v>
      </c>
      <c r="T16" s="153" t="str">
        <f>IFERROR(MATCH(#REF!,#REF!,0)&amp;",","")</f>
        <v/>
      </c>
      <c r="U16" s="154"/>
      <c r="Y16" s="155">
        <f t="shared" si="5"/>
        <v>1</v>
      </c>
    </row>
    <row r="17" spans="1:25" s="155" customFormat="1" ht="30" customHeight="1">
      <c r="A17" s="141" t="str">
        <f t="shared" si="0"/>
        <v>DC113B(EI60)</v>
      </c>
      <c r="B17" s="141" t="str">
        <f t="shared" si="1"/>
        <v>Muc 9.1</v>
      </c>
      <c r="C17" s="157">
        <f>IF(D17="","",IFERROR((IF(LEFT(MID(D17,SEARCH("_",D17)+1,2),1)="0",(MID(D17,SEARCH("_",D17)+2,1)),MID(D17,SEARCH("_",D17)+1,2)))&amp;"."&amp;IF(LEFT(RIGHT(D17,2),1)="0",RIGHT(D17,1),RIGHT(D17,2)),MAX($C$12:$C16)+1))</f>
        <v>3</v>
      </c>
      <c r="D17" s="158" t="s">
        <v>107</v>
      </c>
      <c r="E17" s="159"/>
      <c r="F17" s="159"/>
      <c r="G17" s="159"/>
      <c r="H17" s="159"/>
      <c r="I17" s="158" t="s">
        <v>108</v>
      </c>
      <c r="J17" s="161"/>
      <c r="K17" s="162"/>
      <c r="L17" s="163" t="s">
        <v>109</v>
      </c>
      <c r="M17" s="230">
        <f>IF('BOM_Phan IV'!O13="TIÊU CHUẨN DỰ ÁN",IFERROR(($K$6*$L$6*4+$L$6*$M$6*2)*10^-6*1.3/0.5*$K$7,""),"")</f>
        <v>52.406945066666665</v>
      </c>
      <c r="N17" s="165">
        <f>IF(ISERR(SEARCH("2d",#REF!)),IF(ISERR(SEARCH("1d",#REF!)),0,1),2)*($G17)*$H17/10^3+IF(ISERR(SEARCH("2n",#REF!)),IF(ISERR(SEARCH("1n",#REF!)),0,1),2)*($F17)*$H17/10^3</f>
        <v>0</v>
      </c>
      <c r="O17" s="165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P17" s="166">
        <f>IF(ISERR(SEARCH("2m",#REF!)),IF(ISERR(SEARCH("1m",#REF!)),0,1),2)*$G17*$F17*$H17/10^6+IF(ISERR(SEARCH("2d",#REF!)),IF(ISERR(SEARCH("1d",#REF!)),0,1),2)*$G17*$E17*$H17/10^6+IF(ISERR(SEARCH("2n",#REF!)),IF(ISERR(SEARCH("1n",#REF!)),0,1),2)*$F17*$E17*$H17/10^6</f>
        <v>0</v>
      </c>
      <c r="Q17" s="153">
        <f t="shared" si="3"/>
        <v>6</v>
      </c>
      <c r="R17" s="153" t="str">
        <f t="shared" si="2"/>
        <v>IN</v>
      </c>
      <c r="S17" s="154" t="str">
        <f t="shared" si="4"/>
        <v>1000</v>
      </c>
      <c r="T17" s="153" t="str">
        <f>IFERROR(MATCH(#REF!,#REF!,0)&amp;",","")</f>
        <v/>
      </c>
      <c r="U17" s="154"/>
      <c r="Y17" s="155">
        <f t="shared" si="5"/>
        <v>1</v>
      </c>
    </row>
    <row r="18" spans="1:25" s="155" customFormat="1" ht="30" customHeight="1">
      <c r="A18" s="141" t="str">
        <f t="shared" si="0"/>
        <v>DC113B(EI60)</v>
      </c>
      <c r="B18" s="141" t="str">
        <f t="shared" si="1"/>
        <v>Muc 9.1</v>
      </c>
      <c r="C18" s="157">
        <f>IF(D18="","",IFERROR((IF(LEFT(MID(D18,SEARCH("_",D18)+1,2),1)="0",(MID(D18,SEARCH("_",D18)+2,1)),MID(D18,SEARCH("_",D18)+1,2)))&amp;"."&amp;IF(LEFT(RIGHT(D18,2),1)="0",RIGHT(D18,1),RIGHT(D18,2)),MAX($C$12:$C17)+1))</f>
        <v>4</v>
      </c>
      <c r="D18" s="158" t="s">
        <v>110</v>
      </c>
      <c r="E18" s="159"/>
      <c r="F18" s="159"/>
      <c r="G18" s="159"/>
      <c r="H18" s="159"/>
      <c r="I18" s="158" t="s">
        <v>111</v>
      </c>
      <c r="J18" s="161"/>
      <c r="K18" s="162"/>
      <c r="L18" s="163" t="s">
        <v>109</v>
      </c>
      <c r="M18" s="230">
        <f>IF('BOM_Phan IV'!O13="TIÊU CHUẨN DỰ ÁN",IFERROR(($K$6*$L$6*4+$L$6*$M$6*2)*10^-6*1.3/1.2*$K$7,""),"")</f>
        <v>21.836227111111111</v>
      </c>
      <c r="N18" s="165">
        <f>IF(ISERR(SEARCH("2d",#REF!)),IF(ISERR(SEARCH("1d",#REF!)),0,1),2)*($G18)*$H18/10^3+IF(ISERR(SEARCH("2n",#REF!)),IF(ISERR(SEARCH("1n",#REF!)),0,1),2)*($F18)*$H18/10^3</f>
        <v>0</v>
      </c>
      <c r="O18" s="165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P18" s="166">
        <f>IF(ISERR(SEARCH("2m",#REF!)),IF(ISERR(SEARCH("1m",#REF!)),0,1),2)*$G18*$F18*$H18/10^6+IF(ISERR(SEARCH("2d",#REF!)),IF(ISERR(SEARCH("1d",#REF!)),0,1),2)*$G18*$E18*$H18/10^6+IF(ISERR(SEARCH("2n",#REF!)),IF(ISERR(SEARCH("1n",#REF!)),0,1),2)*$F18*$E18*$H18/10^6</f>
        <v>0</v>
      </c>
      <c r="Q18" s="153">
        <f t="shared" si="3"/>
        <v>6</v>
      </c>
      <c r="R18" s="153" t="str">
        <f t="shared" si="2"/>
        <v>IN</v>
      </c>
      <c r="S18" s="154" t="str">
        <f t="shared" si="4"/>
        <v>1000</v>
      </c>
      <c r="T18" s="153" t="str">
        <f>IFERROR(MATCH(#REF!,#REF!,0)&amp;",","")</f>
        <v/>
      </c>
      <c r="U18" s="154"/>
      <c r="Y18" s="155">
        <f t="shared" si="5"/>
        <v>1</v>
      </c>
    </row>
    <row r="19" spans="1:25" s="155" customFormat="1" ht="30" customHeight="1">
      <c r="A19" s="141" t="str">
        <f t="shared" si="0"/>
        <v>DC113B(EI60)</v>
      </c>
      <c r="B19" s="141" t="str">
        <f t="shared" si="1"/>
        <v>Muc 9.1</v>
      </c>
      <c r="C19" s="157">
        <f>IF(D19="","",IFERROR((IF(LEFT(MID(D19,SEARCH("_",D19)+1,2),1)="0",(MID(D19,SEARCH("_",D19)+2,1)),MID(D19,SEARCH("_",D19)+1,2)))&amp;"."&amp;IF(LEFT(RIGHT(D19,2),1)="0",RIGHT(D19,1),RIGHT(D19,2)),MAX($C$12:$C18)+1))</f>
        <v>5</v>
      </c>
      <c r="D19" s="158" t="s">
        <v>112</v>
      </c>
      <c r="E19" s="159"/>
      <c r="F19" s="159"/>
      <c r="G19" s="159"/>
      <c r="H19" s="159"/>
      <c r="I19" s="158" t="s">
        <v>113</v>
      </c>
      <c r="J19" s="161"/>
      <c r="K19" s="162"/>
      <c r="L19" s="163" t="s">
        <v>109</v>
      </c>
      <c r="M19" s="230">
        <f>IF('BOM_Phan IV'!O13="TIÊU CHUẨN DỰ ÁN",IFERROR(($K$6*2+$L$6*2+200*16)*10^-3*$K$7,""),"")</f>
        <v>92.138222222222225</v>
      </c>
      <c r="N19" s="165">
        <f>IF(ISERR(SEARCH("2d",#REF!)),IF(ISERR(SEARCH("1d",#REF!)),0,1),2)*($G19)*$H19/10^3+IF(ISERR(SEARCH("2n",#REF!)),IF(ISERR(SEARCH("1n",#REF!)),0,1),2)*($F19)*$H19/10^3</f>
        <v>0</v>
      </c>
      <c r="O19" s="165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P19" s="166">
        <f>IF(ISERR(SEARCH("2m",#REF!)),IF(ISERR(SEARCH("1m",#REF!)),0,1),2)*$G19*$F19*$H19/10^6+IF(ISERR(SEARCH("2d",#REF!)),IF(ISERR(SEARCH("1d",#REF!)),0,1),2)*$G19*$E19*$H19/10^6+IF(ISERR(SEARCH("2n",#REF!)),IF(ISERR(SEARCH("1n",#REF!)),0,1),2)*$F19*$E19*$H19/10^6</f>
        <v>0</v>
      </c>
      <c r="Q19" s="153">
        <f t="shared" si="3"/>
        <v>6</v>
      </c>
      <c r="R19" s="153" t="str">
        <f t="shared" si="2"/>
        <v>IN</v>
      </c>
      <c r="S19" s="154" t="str">
        <f t="shared" si="4"/>
        <v>1000</v>
      </c>
      <c r="T19" s="153" t="str">
        <f>IFERROR(MATCH(#REF!,#REF!,0)&amp;",","")</f>
        <v/>
      </c>
      <c r="U19" s="154"/>
      <c r="Y19" s="155">
        <f t="shared" si="5"/>
        <v>1</v>
      </c>
    </row>
    <row r="20" spans="1:25" s="155" customFormat="1" ht="30" hidden="1" customHeight="1">
      <c r="A20" s="141" t="str">
        <f t="shared" si="0"/>
        <v/>
      </c>
      <c r="B20" s="141" t="str">
        <f t="shared" si="1"/>
        <v/>
      </c>
      <c r="C20" s="157" t="str">
        <f>IF(D20="","",IFERROR((IF(LEFT(MID(D20,SEARCH("_",D20)+1,2),1)="0",(MID(D20,SEARCH("_",D20)+2,1)),MID(D20,SEARCH("_",D20)+1,2)))&amp;"."&amp;IF(LEFT(RIGHT(D20,2),1)="0",RIGHT(D20,1),RIGHT(D20,2)),MAX($C$12:$C19)+1))</f>
        <v/>
      </c>
      <c r="D20" s="158"/>
      <c r="E20" s="159"/>
      <c r="F20" s="159"/>
      <c r="G20" s="159"/>
      <c r="H20" s="159"/>
      <c r="I20" s="158"/>
      <c r="J20" s="161"/>
      <c r="K20" s="162"/>
      <c r="L20" s="163" t="str">
        <f t="shared" ref="L20:L76" si="6">IF(I20="","",IF(LEFT(I20,2)="gỗ","m3","Tấm"))</f>
        <v/>
      </c>
      <c r="M20" s="164">
        <f t="shared" ref="M20:M76" si="7">IF(OR(L20="Con",L20="Cụm",L20="Hệ",L20="Thanh"),H20,IF(L20="Tấm",(F20*G20*H20)/(1220*2440),IF(L20="Md",G20*H20/1000,IF(L20="M2",F20*G20*H20/10^6,IF(L20="M3",E20*F20*G20*H20/10^9,0)))))</f>
        <v>0</v>
      </c>
      <c r="N20" s="165">
        <f>IF(ISERR(SEARCH("2d",#REF!)),IF(ISERR(SEARCH("1d",#REF!)),0,1),2)*($G20)*$H20/10^3+IF(ISERR(SEARCH("2n",#REF!)),IF(ISERR(SEARCH("1n",#REF!)),0,1),2)*($F20)*$H20/10^3</f>
        <v>0</v>
      </c>
      <c r="O20" s="165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P20" s="166">
        <f>IF(ISERR(SEARCH("2m",#REF!)),IF(ISERR(SEARCH("1m",#REF!)),0,1),2)*$G20*$F20*$H20/10^6+IF(ISERR(SEARCH("2d",#REF!)),IF(ISERR(SEARCH("1d",#REF!)),0,1),2)*$G20*$E20*$H20/10^6+IF(ISERR(SEARCH("2n",#REF!)),IF(ISERR(SEARCH("1n",#REF!)),0,1),2)*$F20*$E20*$H20/10^6</f>
        <v>0</v>
      </c>
      <c r="Q20" s="153" t="str">
        <f t="shared" si="3"/>
        <v/>
      </c>
      <c r="R20" s="153" t="str">
        <f t="shared" si="2"/>
        <v/>
      </c>
      <c r="S20" s="154" t="str">
        <f t="shared" si="4"/>
        <v>1000</v>
      </c>
      <c r="T20" s="153" t="str">
        <f>IFERROR(MATCH(#REF!,#REF!,0)&amp;",","")</f>
        <v/>
      </c>
      <c r="U20" s="154"/>
      <c r="Y20" s="155" t="str">
        <f t="shared" si="5"/>
        <v/>
      </c>
    </row>
    <row r="21" spans="1:25" s="155" customFormat="1" ht="30" hidden="1" customHeight="1">
      <c r="A21" s="141" t="str">
        <f t="shared" si="0"/>
        <v/>
      </c>
      <c r="B21" s="141" t="str">
        <f t="shared" si="1"/>
        <v/>
      </c>
      <c r="C21" s="157" t="str">
        <f>IF(D21="","",IFERROR((IF(LEFT(MID(D21,SEARCH("_",D21)+1,2),1)="0",(MID(D21,SEARCH("_",D21)+2,1)),MID(D21,SEARCH("_",D21)+1,2)))&amp;"."&amp;IF(LEFT(RIGHT(D21,2),1)="0",RIGHT(D21,1),RIGHT(D21,2)),MAX($C$12:$C20)+1))</f>
        <v/>
      </c>
      <c r="D21" s="194"/>
      <c r="E21" s="163"/>
      <c r="F21" s="163"/>
      <c r="G21" s="163"/>
      <c r="H21" s="163"/>
      <c r="I21" s="194"/>
      <c r="J21" s="161"/>
      <c r="K21" s="162"/>
      <c r="L21" s="163" t="str">
        <f t="shared" si="6"/>
        <v/>
      </c>
      <c r="M21" s="164">
        <f t="shared" si="7"/>
        <v>0</v>
      </c>
      <c r="N21" s="165">
        <f>IF(ISERR(SEARCH("2d",#REF!)),IF(ISERR(SEARCH("1d",#REF!)),0,1),2)*($G21)*$H21/10^3+IF(ISERR(SEARCH("2n",#REF!)),IF(ISERR(SEARCH("1n",#REF!)),0,1),2)*($F21)*$H21/10^3</f>
        <v>0</v>
      </c>
      <c r="O21" s="165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P21" s="166">
        <f>IF(ISERR(SEARCH("2m",#REF!)),IF(ISERR(SEARCH("1m",#REF!)),0,1),2)*$G21*$F21*$H21/10^6+IF(ISERR(SEARCH("2d",#REF!)),IF(ISERR(SEARCH("1d",#REF!)),0,1),2)*$G21*$E21*$H21/10^6+IF(ISERR(SEARCH("2n",#REF!)),IF(ISERR(SEARCH("1n",#REF!)),0,1),2)*$F21*$E21*$H21/10^6</f>
        <v>0</v>
      </c>
      <c r="Q21" s="153" t="str">
        <f t="shared" si="3"/>
        <v/>
      </c>
      <c r="R21" s="153" t="str">
        <f t="shared" si="2"/>
        <v/>
      </c>
      <c r="S21" s="154" t="str">
        <f t="shared" si="4"/>
        <v>1000</v>
      </c>
      <c r="T21" s="153" t="str">
        <f>IFERROR(MATCH(#REF!,#REF!,0)&amp;",","")</f>
        <v/>
      </c>
      <c r="U21" s="154"/>
      <c r="Y21" s="155" t="str">
        <f t="shared" si="5"/>
        <v/>
      </c>
    </row>
    <row r="22" spans="1:25" s="155" customFormat="1" ht="30" hidden="1" customHeight="1">
      <c r="A22" s="141" t="str">
        <f t="shared" si="0"/>
        <v/>
      </c>
      <c r="B22" s="141" t="str">
        <f t="shared" si="1"/>
        <v/>
      </c>
      <c r="C22" s="157" t="str">
        <f>IF(D22="","",IFERROR((IF(LEFT(MID(D22,SEARCH("_",D22)+1,2),1)="0",(MID(D22,SEARCH("_",D22)+2,1)),MID(D22,SEARCH("_",D22)+1,2)))&amp;"."&amp;IF(LEFT(RIGHT(D22,2),1)="0",RIGHT(D22,1),RIGHT(D22,2)),MAX($C$12:$C21)+1))</f>
        <v/>
      </c>
      <c r="D22" s="194"/>
      <c r="E22" s="163"/>
      <c r="F22" s="163"/>
      <c r="G22" s="163"/>
      <c r="H22" s="163"/>
      <c r="I22" s="194"/>
      <c r="J22" s="161"/>
      <c r="K22" s="162"/>
      <c r="L22" s="163" t="str">
        <f t="shared" si="6"/>
        <v/>
      </c>
      <c r="M22" s="164">
        <f t="shared" si="7"/>
        <v>0</v>
      </c>
      <c r="N22" s="165">
        <f>IF(ISERR(SEARCH("2d",#REF!)),IF(ISERR(SEARCH("1d",#REF!)),0,1),2)*($G22)*$H22/10^3+IF(ISERR(SEARCH("2n",#REF!)),IF(ISERR(SEARCH("1n",#REF!)),0,1),2)*($F22)*$H22/10^3</f>
        <v>0</v>
      </c>
      <c r="O22" s="165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P22" s="166">
        <f>IF(ISERR(SEARCH("2m",#REF!)),IF(ISERR(SEARCH("1m",#REF!)),0,1),2)*$G22*$F22*$H22/10^6+IF(ISERR(SEARCH("2d",#REF!)),IF(ISERR(SEARCH("1d",#REF!)),0,1),2)*$G22*$E22*$H22/10^6+IF(ISERR(SEARCH("2n",#REF!)),IF(ISERR(SEARCH("1n",#REF!)),0,1),2)*$F22*$E22*$H22/10^6</f>
        <v>0</v>
      </c>
      <c r="Q22" s="153" t="str">
        <f t="shared" si="3"/>
        <v/>
      </c>
      <c r="R22" s="153" t="str">
        <f t="shared" si="2"/>
        <v/>
      </c>
      <c r="S22" s="154" t="str">
        <f t="shared" si="4"/>
        <v>1000</v>
      </c>
      <c r="T22" s="153" t="str">
        <f>IFERROR(MATCH(#REF!,#REF!,0)&amp;",","")</f>
        <v/>
      </c>
      <c r="U22" s="154"/>
      <c r="Y22" s="155" t="str">
        <f t="shared" si="5"/>
        <v/>
      </c>
    </row>
    <row r="23" spans="1:25" s="155" customFormat="1" ht="30" hidden="1" customHeight="1">
      <c r="A23" s="141" t="str">
        <f t="shared" si="0"/>
        <v/>
      </c>
      <c r="B23" s="141" t="str">
        <f t="shared" si="1"/>
        <v/>
      </c>
      <c r="C23" s="157" t="str">
        <f>IF(D23="","",IFERROR((IF(LEFT(MID(D23,SEARCH("_",D23)+1,2),1)="0",(MID(D23,SEARCH("_",D23)+2,1)),MID(D23,SEARCH("_",D23)+1,2)))&amp;"."&amp;IF(LEFT(RIGHT(D23,2),1)="0",RIGHT(D23,1),RIGHT(D23,2)),MAX($C$12:$C22)+1))</f>
        <v/>
      </c>
      <c r="D23" s="194"/>
      <c r="E23" s="163"/>
      <c r="F23" s="163"/>
      <c r="G23" s="163"/>
      <c r="H23" s="163"/>
      <c r="I23" s="194"/>
      <c r="J23" s="161"/>
      <c r="K23" s="162"/>
      <c r="L23" s="163" t="str">
        <f t="shared" si="6"/>
        <v/>
      </c>
      <c r="M23" s="164">
        <f t="shared" si="7"/>
        <v>0</v>
      </c>
      <c r="N23" s="165">
        <f>IF(ISERR(SEARCH("2d",#REF!)),IF(ISERR(SEARCH("1d",#REF!)),0,1),2)*($G23)*$H23/10^3+IF(ISERR(SEARCH("2n",#REF!)),IF(ISERR(SEARCH("1n",#REF!)),0,1),2)*($F23)*$H23/10^3</f>
        <v>0</v>
      </c>
      <c r="O23" s="165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P23" s="166">
        <f>IF(ISERR(SEARCH("2m",#REF!)),IF(ISERR(SEARCH("1m",#REF!)),0,1),2)*$G23*$F23*$H23/10^6+IF(ISERR(SEARCH("2d",#REF!)),IF(ISERR(SEARCH("1d",#REF!)),0,1),2)*$G23*$E23*$H23/10^6+IF(ISERR(SEARCH("2n",#REF!)),IF(ISERR(SEARCH("1n",#REF!)),0,1),2)*$F23*$E23*$H23/10^6</f>
        <v>0</v>
      </c>
      <c r="Q23" s="153" t="str">
        <f t="shared" si="3"/>
        <v/>
      </c>
      <c r="R23" s="153" t="str">
        <f t="shared" si="2"/>
        <v/>
      </c>
      <c r="S23" s="154" t="str">
        <f t="shared" si="4"/>
        <v>1000</v>
      </c>
      <c r="T23" s="153" t="str">
        <f>IFERROR(MATCH(#REF!,#REF!,0)&amp;",","")</f>
        <v/>
      </c>
      <c r="U23" s="154"/>
      <c r="Y23" s="155" t="str">
        <f t="shared" si="5"/>
        <v/>
      </c>
    </row>
    <row r="24" spans="1:25" s="155" customFormat="1" ht="30" hidden="1" customHeight="1">
      <c r="A24" s="141" t="str">
        <f t="shared" si="0"/>
        <v/>
      </c>
      <c r="B24" s="141" t="str">
        <f t="shared" si="1"/>
        <v/>
      </c>
      <c r="C24" s="157" t="str">
        <f>IF(D24="","",IFERROR((IF(LEFT(MID(D24,SEARCH("_",D24)+1,2),1)="0",(MID(D24,SEARCH("_",D24)+2,1)),MID(D24,SEARCH("_",D24)+1,2)))&amp;"."&amp;IF(LEFT(RIGHT(D24,2),1)="0",RIGHT(D24,1),RIGHT(D24,2)),MAX($C$12:$C23)+1))</f>
        <v/>
      </c>
      <c r="D24" s="158"/>
      <c r="E24" s="159"/>
      <c r="F24" s="159"/>
      <c r="G24" s="159"/>
      <c r="H24" s="159"/>
      <c r="I24" s="158"/>
      <c r="J24" s="161"/>
      <c r="K24" s="162"/>
      <c r="L24" s="163" t="str">
        <f t="shared" si="6"/>
        <v/>
      </c>
      <c r="M24" s="164">
        <f t="shared" si="7"/>
        <v>0</v>
      </c>
      <c r="N24" s="165">
        <f>IF(ISERR(SEARCH("2d",#REF!)),IF(ISERR(SEARCH("1d",#REF!)),0,1),2)*($G24)*$H24/10^3+IF(ISERR(SEARCH("2n",#REF!)),IF(ISERR(SEARCH("1n",#REF!)),0,1),2)*($F24)*$H24/10^3</f>
        <v>0</v>
      </c>
      <c r="O24" s="165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P24" s="166">
        <f>IF(ISERR(SEARCH("2m",#REF!)),IF(ISERR(SEARCH("1m",#REF!)),0,1),2)*$G24*$F24*$H24/10^6+IF(ISERR(SEARCH("2d",#REF!)),IF(ISERR(SEARCH("1d",#REF!)),0,1),2)*$G24*$E24*$H24/10^6+IF(ISERR(SEARCH("2n",#REF!)),IF(ISERR(SEARCH("1n",#REF!)),0,1),2)*$F24*$E24*$H24/10^6</f>
        <v>0</v>
      </c>
      <c r="Q24" s="153" t="str">
        <f t="shared" si="3"/>
        <v/>
      </c>
      <c r="R24" s="153" t="str">
        <f t="shared" si="2"/>
        <v/>
      </c>
      <c r="S24" s="154" t="str">
        <f t="shared" si="4"/>
        <v>1000</v>
      </c>
      <c r="T24" s="153" t="str">
        <f>IFERROR(MATCH(#REF!,#REF!,0)&amp;",","")</f>
        <v/>
      </c>
      <c r="U24" s="154"/>
      <c r="Y24" s="155" t="str">
        <f t="shared" si="5"/>
        <v/>
      </c>
    </row>
    <row r="25" spans="1:25" s="155" customFormat="1" ht="30" hidden="1" customHeight="1">
      <c r="A25" s="141" t="str">
        <f t="shared" si="0"/>
        <v/>
      </c>
      <c r="B25" s="141" t="str">
        <f t="shared" si="1"/>
        <v/>
      </c>
      <c r="C25" s="157" t="str">
        <f>IF(D25="","",IFERROR((IF(LEFT(MID(D25,SEARCH("_",D25)+1,2),1)="0",(MID(D25,SEARCH("_",D25)+2,1)),MID(D25,SEARCH("_",D25)+1,2)))&amp;"."&amp;IF(LEFT(RIGHT(D25,2),1)="0",RIGHT(D25,1),RIGHT(D25,2)),MAX($C$12:$C24)+1))</f>
        <v/>
      </c>
      <c r="D25" s="158"/>
      <c r="E25" s="159"/>
      <c r="F25" s="159"/>
      <c r="G25" s="159"/>
      <c r="H25" s="159"/>
      <c r="I25" s="158"/>
      <c r="J25" s="161"/>
      <c r="K25" s="162"/>
      <c r="L25" s="163" t="str">
        <f t="shared" si="6"/>
        <v/>
      </c>
      <c r="M25" s="164">
        <f t="shared" si="7"/>
        <v>0</v>
      </c>
      <c r="N25" s="165">
        <f>IF(ISERR(SEARCH("2d",#REF!)),IF(ISERR(SEARCH("1d",#REF!)),0,1),2)*($G25)*$H25/10^3+IF(ISERR(SEARCH("2n",#REF!)),IF(ISERR(SEARCH("1n",#REF!)),0,1),2)*($F25)*$H25/10^3</f>
        <v>0</v>
      </c>
      <c r="O25" s="165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P25" s="166">
        <f>IF(ISERR(SEARCH("2m",#REF!)),IF(ISERR(SEARCH("1m",#REF!)),0,1),2)*$G25*$F25*$H25/10^6+IF(ISERR(SEARCH("2d",#REF!)),IF(ISERR(SEARCH("1d",#REF!)),0,1),2)*$G25*$E25*$H25/10^6+IF(ISERR(SEARCH("2n",#REF!)),IF(ISERR(SEARCH("1n",#REF!)),0,1),2)*$F25*$E25*$H25/10^6</f>
        <v>0</v>
      </c>
      <c r="Q25" s="153" t="str">
        <f t="shared" si="3"/>
        <v/>
      </c>
      <c r="R25" s="153" t="str">
        <f t="shared" si="2"/>
        <v/>
      </c>
      <c r="S25" s="154" t="str">
        <f t="shared" si="4"/>
        <v>1000</v>
      </c>
      <c r="T25" s="153" t="str">
        <f>IFERROR(MATCH(#REF!,#REF!,0)&amp;",","")</f>
        <v/>
      </c>
      <c r="U25" s="154"/>
      <c r="Y25" s="155" t="str">
        <f t="shared" si="5"/>
        <v/>
      </c>
    </row>
    <row r="26" spans="1:25" s="155" customFormat="1" ht="30" hidden="1" customHeight="1">
      <c r="A26" s="141" t="str">
        <f t="shared" si="0"/>
        <v/>
      </c>
      <c r="B26" s="141" t="str">
        <f t="shared" si="1"/>
        <v/>
      </c>
      <c r="C26" s="157" t="str">
        <f>IF(D26="","",IFERROR((IF(LEFT(MID(D26,SEARCH("_",D26)+1,2),1)="0",(MID(D26,SEARCH("_",D26)+2,1)),MID(D26,SEARCH("_",D26)+1,2)))&amp;"."&amp;IF(LEFT(RIGHT(D26,2),1)="0",RIGHT(D26,1),RIGHT(D26,2)),MAX($C$12:$C25)+1))</f>
        <v/>
      </c>
      <c r="D26" s="158"/>
      <c r="E26" s="159"/>
      <c r="F26" s="159"/>
      <c r="G26" s="159"/>
      <c r="H26" s="159"/>
      <c r="I26" s="158"/>
      <c r="J26" s="161"/>
      <c r="K26" s="162"/>
      <c r="L26" s="163" t="str">
        <f t="shared" si="6"/>
        <v/>
      </c>
      <c r="M26" s="164">
        <f t="shared" si="7"/>
        <v>0</v>
      </c>
      <c r="N26" s="165">
        <f>IF(ISERR(SEARCH("2d",#REF!)),IF(ISERR(SEARCH("1d",#REF!)),0,1),2)*($G26)*$H26/10^3+IF(ISERR(SEARCH("2n",#REF!)),IF(ISERR(SEARCH("1n",#REF!)),0,1),2)*($F26)*$H26/10^3</f>
        <v>0</v>
      </c>
      <c r="O26" s="165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P26" s="166">
        <f>IF(ISERR(SEARCH("2m",#REF!)),IF(ISERR(SEARCH("1m",#REF!)),0,1),2)*$G26*$F26*$H26/10^6+IF(ISERR(SEARCH("2d",#REF!)),IF(ISERR(SEARCH("1d",#REF!)),0,1),2)*$G26*$E26*$H26/10^6+IF(ISERR(SEARCH("2n",#REF!)),IF(ISERR(SEARCH("1n",#REF!)),0,1),2)*$F26*$E26*$H26/10^6</f>
        <v>0</v>
      </c>
      <c r="Q26" s="153" t="str">
        <f t="shared" si="3"/>
        <v/>
      </c>
      <c r="R26" s="153" t="str">
        <f t="shared" si="2"/>
        <v/>
      </c>
      <c r="S26" s="154" t="str">
        <f t="shared" si="4"/>
        <v>1000</v>
      </c>
      <c r="T26" s="153" t="str">
        <f>IFERROR(MATCH(#REF!,#REF!,0)&amp;",","")</f>
        <v/>
      </c>
      <c r="U26" s="154"/>
      <c r="Y26" s="155" t="str">
        <f t="shared" si="5"/>
        <v/>
      </c>
    </row>
    <row r="27" spans="1:25" s="155" customFormat="1" ht="30" hidden="1" customHeight="1">
      <c r="A27" s="141" t="str">
        <f t="shared" si="0"/>
        <v/>
      </c>
      <c r="B27" s="141" t="str">
        <f t="shared" si="1"/>
        <v/>
      </c>
      <c r="C27" s="157" t="str">
        <f>IF(D27="","",IFERROR((IF(LEFT(MID(D27,SEARCH("_",D27)+1,2),1)="0",(MID(D27,SEARCH("_",D27)+2,1)),MID(D27,SEARCH("_",D27)+1,2)))&amp;"."&amp;IF(LEFT(RIGHT(D27,2),1)="0",RIGHT(D27,1),RIGHT(D27,2)),MAX($C$12:$C26)+1))</f>
        <v/>
      </c>
      <c r="D27" s="158"/>
      <c r="E27" s="159"/>
      <c r="F27" s="159"/>
      <c r="G27" s="159"/>
      <c r="H27" s="159"/>
      <c r="I27" s="158"/>
      <c r="J27" s="161"/>
      <c r="K27" s="162"/>
      <c r="L27" s="163" t="str">
        <f t="shared" si="6"/>
        <v/>
      </c>
      <c r="M27" s="164">
        <f t="shared" si="7"/>
        <v>0</v>
      </c>
      <c r="N27" s="165">
        <f>IF(ISERR(SEARCH("2d",#REF!)),IF(ISERR(SEARCH("1d",#REF!)),0,1),2)*($G27)*$H27/10^3+IF(ISERR(SEARCH("2n",#REF!)),IF(ISERR(SEARCH("1n",#REF!)),0,1),2)*($F27)*$H27/10^3</f>
        <v>0</v>
      </c>
      <c r="O27" s="165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P27" s="166">
        <f>IF(ISERR(SEARCH("2m",#REF!)),IF(ISERR(SEARCH("1m",#REF!)),0,1),2)*$G27*$F27*$H27/10^6+IF(ISERR(SEARCH("2d",#REF!)),IF(ISERR(SEARCH("1d",#REF!)),0,1),2)*$G27*$E27*$H27/10^6+IF(ISERR(SEARCH("2n",#REF!)),IF(ISERR(SEARCH("1n",#REF!)),0,1),2)*$F27*$E27*$H27/10^6</f>
        <v>0</v>
      </c>
      <c r="Q27" s="153" t="str">
        <f t="shared" si="3"/>
        <v/>
      </c>
      <c r="R27" s="153" t="str">
        <f t="shared" si="2"/>
        <v/>
      </c>
      <c r="S27" s="154" t="str">
        <f t="shared" si="4"/>
        <v>1000</v>
      </c>
      <c r="T27" s="153" t="str">
        <f>IFERROR(MATCH(#REF!,#REF!,0)&amp;",","")</f>
        <v/>
      </c>
      <c r="U27" s="154"/>
      <c r="Y27" s="155" t="str">
        <f t="shared" si="5"/>
        <v/>
      </c>
    </row>
    <row r="28" spans="1:25" s="155" customFormat="1" ht="30" hidden="1" customHeight="1">
      <c r="A28" s="141" t="str">
        <f t="shared" si="0"/>
        <v/>
      </c>
      <c r="B28" s="141" t="str">
        <f t="shared" si="1"/>
        <v/>
      </c>
      <c r="C28" s="157" t="str">
        <f>IF(D28="","",IFERROR((IF(LEFT(MID(D28,SEARCH("_",D28)+1,2),1)="0",(MID(D28,SEARCH("_",D28)+2,1)),MID(D28,SEARCH("_",D28)+1,2)))&amp;"."&amp;IF(LEFT(RIGHT(D28,2),1)="0",RIGHT(D28,1),RIGHT(D28,2)),MAX($C$12:$C27)+1))</f>
        <v/>
      </c>
      <c r="D28" s="158"/>
      <c r="E28" s="159"/>
      <c r="F28" s="159"/>
      <c r="G28" s="159"/>
      <c r="H28" s="159"/>
      <c r="I28" s="158"/>
      <c r="J28" s="161"/>
      <c r="K28" s="162"/>
      <c r="L28" s="163" t="str">
        <f t="shared" si="6"/>
        <v/>
      </c>
      <c r="M28" s="164">
        <f t="shared" si="7"/>
        <v>0</v>
      </c>
      <c r="N28" s="165">
        <f>IF(ISERR(SEARCH("2d",#REF!)),IF(ISERR(SEARCH("1d",#REF!)),0,1),2)*($G28)*$H28/10^3+IF(ISERR(SEARCH("2n",#REF!)),IF(ISERR(SEARCH("1n",#REF!)),0,1),2)*($F28)*$H28/10^3</f>
        <v>0</v>
      </c>
      <c r="O28" s="165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P28" s="166">
        <f>IF(ISERR(SEARCH("2m",#REF!)),IF(ISERR(SEARCH("1m",#REF!)),0,1),2)*$G28*$F28*$H28/10^6+IF(ISERR(SEARCH("2d",#REF!)),IF(ISERR(SEARCH("1d",#REF!)),0,1),2)*$G28*$E28*$H28/10^6+IF(ISERR(SEARCH("2n",#REF!)),IF(ISERR(SEARCH("1n",#REF!)),0,1),2)*$F28*$E28*$H28/10^6</f>
        <v>0</v>
      </c>
      <c r="Q28" s="153" t="str">
        <f t="shared" si="3"/>
        <v/>
      </c>
      <c r="R28" s="153" t="str">
        <f t="shared" si="2"/>
        <v/>
      </c>
      <c r="S28" s="154" t="str">
        <f t="shared" si="4"/>
        <v>1000</v>
      </c>
      <c r="T28" s="153" t="str">
        <f>IFERROR(MATCH(#REF!,#REF!,0)&amp;",","")</f>
        <v/>
      </c>
      <c r="U28" s="154"/>
      <c r="Y28" s="155" t="str">
        <f t="shared" si="5"/>
        <v/>
      </c>
    </row>
    <row r="29" spans="1:25" s="155" customFormat="1" ht="30" hidden="1" customHeight="1">
      <c r="A29" s="141" t="str">
        <f t="shared" si="0"/>
        <v/>
      </c>
      <c r="B29" s="141" t="str">
        <f t="shared" si="1"/>
        <v/>
      </c>
      <c r="C29" s="157" t="str">
        <f>IF(D29="","",IFERROR((IF(LEFT(MID(D29,SEARCH("_",D29)+1,2),1)="0",(MID(D29,SEARCH("_",D29)+2,1)),MID(D29,SEARCH("_",D29)+1,2)))&amp;"."&amp;IF(LEFT(RIGHT(D29,2),1)="0",RIGHT(D29,1),RIGHT(D29,2)),MAX($C$12:$C28)+1))</f>
        <v/>
      </c>
      <c r="D29" s="158"/>
      <c r="E29" s="159"/>
      <c r="F29" s="159"/>
      <c r="G29" s="159"/>
      <c r="H29" s="159"/>
      <c r="I29" s="158"/>
      <c r="J29" s="161"/>
      <c r="K29" s="162"/>
      <c r="L29" s="163" t="str">
        <f t="shared" si="6"/>
        <v/>
      </c>
      <c r="M29" s="164">
        <f t="shared" si="7"/>
        <v>0</v>
      </c>
      <c r="N29" s="165">
        <f>IF(ISERR(SEARCH("2d",#REF!)),IF(ISERR(SEARCH("1d",#REF!)),0,1),2)*($G29)*$H29/10^3+IF(ISERR(SEARCH("2n",#REF!)),IF(ISERR(SEARCH("1n",#REF!)),0,1),2)*($F29)*$H29/10^3</f>
        <v>0</v>
      </c>
      <c r="O29" s="165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P29" s="166">
        <f>IF(ISERR(SEARCH("2m",#REF!)),IF(ISERR(SEARCH("1m",#REF!)),0,1),2)*$G29*$F29*$H29/10^6+IF(ISERR(SEARCH("2d",#REF!)),IF(ISERR(SEARCH("1d",#REF!)),0,1),2)*$G29*$E29*$H29/10^6+IF(ISERR(SEARCH("2n",#REF!)),IF(ISERR(SEARCH("1n",#REF!)),0,1),2)*$F29*$E29*$H29/10^6</f>
        <v>0</v>
      </c>
      <c r="Q29" s="153" t="str">
        <f t="shared" si="3"/>
        <v/>
      </c>
      <c r="R29" s="153" t="str">
        <f t="shared" si="2"/>
        <v/>
      </c>
      <c r="S29" s="154" t="str">
        <f t="shared" si="4"/>
        <v>1000</v>
      </c>
      <c r="T29" s="153" t="str">
        <f>IFERROR(MATCH(#REF!,#REF!,0)&amp;",","")</f>
        <v/>
      </c>
      <c r="U29" s="154"/>
      <c r="Y29" s="155" t="str">
        <f t="shared" si="5"/>
        <v/>
      </c>
    </row>
    <row r="30" spans="1:25" s="155" customFormat="1" ht="30" hidden="1" customHeight="1">
      <c r="A30" s="141" t="str">
        <f t="shared" si="0"/>
        <v/>
      </c>
      <c r="B30" s="141" t="str">
        <f t="shared" si="1"/>
        <v/>
      </c>
      <c r="C30" s="157" t="str">
        <f>IF(D30="","",IFERROR((IF(LEFT(MID(D30,SEARCH("_",D30)+1,2),1)="0",(MID(D30,SEARCH("_",D30)+2,1)),MID(D30,SEARCH("_",D30)+1,2)))&amp;"."&amp;IF(LEFT(RIGHT(D30,2),1)="0",RIGHT(D30,1),RIGHT(D30,2)),MAX($C$12:$C29)+1))</f>
        <v/>
      </c>
      <c r="D30" s="158"/>
      <c r="E30" s="159"/>
      <c r="F30" s="159"/>
      <c r="G30" s="159"/>
      <c r="H30" s="159"/>
      <c r="I30" s="158"/>
      <c r="J30" s="161"/>
      <c r="K30" s="162"/>
      <c r="L30" s="163" t="str">
        <f t="shared" si="6"/>
        <v/>
      </c>
      <c r="M30" s="164">
        <f t="shared" si="7"/>
        <v>0</v>
      </c>
      <c r="N30" s="165">
        <f>IF(ISERR(SEARCH("2d",#REF!)),IF(ISERR(SEARCH("1d",#REF!)),0,1),2)*($G30)*$H30/10^3+IF(ISERR(SEARCH("2n",#REF!)),IF(ISERR(SEARCH("1n",#REF!)),0,1),2)*($F30)*$H30/10^3</f>
        <v>0</v>
      </c>
      <c r="O30" s="165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P30" s="166">
        <f>IF(ISERR(SEARCH("2m",#REF!)),IF(ISERR(SEARCH("1m",#REF!)),0,1),2)*$G30*$F30*$H30/10^6+IF(ISERR(SEARCH("2d",#REF!)),IF(ISERR(SEARCH("1d",#REF!)),0,1),2)*$G30*$E30*$H30/10^6+IF(ISERR(SEARCH("2n",#REF!)),IF(ISERR(SEARCH("1n",#REF!)),0,1),2)*$F30*$E30*$H30/10^6</f>
        <v>0</v>
      </c>
      <c r="Q30" s="153" t="str">
        <f t="shared" si="3"/>
        <v/>
      </c>
      <c r="R30" s="153" t="str">
        <f t="shared" si="2"/>
        <v/>
      </c>
      <c r="S30" s="154" t="str">
        <f t="shared" si="4"/>
        <v>1000</v>
      </c>
      <c r="T30" s="153" t="str">
        <f>IFERROR(MATCH(#REF!,#REF!,0)&amp;",","")</f>
        <v/>
      </c>
      <c r="U30" s="154"/>
      <c r="Y30" s="155" t="str">
        <f t="shared" si="5"/>
        <v/>
      </c>
    </row>
    <row r="31" spans="1:25" s="155" customFormat="1" ht="30" hidden="1" customHeight="1">
      <c r="A31" s="141" t="str">
        <f t="shared" si="0"/>
        <v/>
      </c>
      <c r="B31" s="141" t="str">
        <f t="shared" si="1"/>
        <v/>
      </c>
      <c r="C31" s="157" t="str">
        <f>IF(D31="","",IFERROR((IF(LEFT(MID(D31,SEARCH("_",D31)+1,2),1)="0",(MID(D31,SEARCH("_",D31)+2,1)),MID(D31,SEARCH("_",D31)+1,2)))&amp;"."&amp;IF(LEFT(RIGHT(D31,2),1)="0",RIGHT(D31,1),RIGHT(D31,2)),MAX($C$12:$C30)+1))</f>
        <v/>
      </c>
      <c r="D31" s="158"/>
      <c r="E31" s="159"/>
      <c r="F31" s="159"/>
      <c r="G31" s="159"/>
      <c r="H31" s="159"/>
      <c r="I31" s="158"/>
      <c r="J31" s="161"/>
      <c r="K31" s="162"/>
      <c r="L31" s="163" t="str">
        <f t="shared" si="6"/>
        <v/>
      </c>
      <c r="M31" s="164">
        <f t="shared" si="7"/>
        <v>0</v>
      </c>
      <c r="N31" s="165">
        <f>IF(ISERR(SEARCH("2d",#REF!)),IF(ISERR(SEARCH("1d",#REF!)),0,1),2)*($G31)*$H31/10^3+IF(ISERR(SEARCH("2n",#REF!)),IF(ISERR(SEARCH("1n",#REF!)),0,1),2)*($F31)*$H31/10^3</f>
        <v>0</v>
      </c>
      <c r="O31" s="165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P31" s="166">
        <f>IF(ISERR(SEARCH("2m",#REF!)),IF(ISERR(SEARCH("1m",#REF!)),0,1),2)*$G31*$F31*$H31/10^6+IF(ISERR(SEARCH("2d",#REF!)),IF(ISERR(SEARCH("1d",#REF!)),0,1),2)*$G31*$E31*$H31/10^6+IF(ISERR(SEARCH("2n",#REF!)),IF(ISERR(SEARCH("1n",#REF!)),0,1),2)*$F31*$E31*$H31/10^6</f>
        <v>0</v>
      </c>
      <c r="Q31" s="153" t="str">
        <f t="shared" si="3"/>
        <v/>
      </c>
      <c r="R31" s="153" t="str">
        <f t="shared" si="2"/>
        <v/>
      </c>
      <c r="S31" s="154" t="str">
        <f t="shared" si="4"/>
        <v>1000</v>
      </c>
      <c r="T31" s="153" t="str">
        <f>IFERROR(MATCH(#REF!,#REF!,0)&amp;",","")</f>
        <v/>
      </c>
      <c r="U31" s="154"/>
      <c r="Y31" s="155" t="str">
        <f t="shared" si="5"/>
        <v/>
      </c>
    </row>
    <row r="32" spans="1:25" s="155" customFormat="1" ht="30" hidden="1" customHeight="1">
      <c r="A32" s="141" t="str">
        <f t="shared" si="0"/>
        <v/>
      </c>
      <c r="B32" s="141" t="str">
        <f t="shared" si="1"/>
        <v/>
      </c>
      <c r="C32" s="157" t="str">
        <f>IF(D32="","",IFERROR((IF(LEFT(MID(D32,SEARCH("_",D32)+1,2),1)="0",(MID(D32,SEARCH("_",D32)+2,1)),MID(D32,SEARCH("_",D32)+1,2)))&amp;"."&amp;IF(LEFT(RIGHT(D32,2),1)="0",RIGHT(D32,1),RIGHT(D32,2)),MAX($C$12:$C31)+1))</f>
        <v/>
      </c>
      <c r="D32" s="158"/>
      <c r="E32" s="159"/>
      <c r="F32" s="159"/>
      <c r="G32" s="159"/>
      <c r="H32" s="159"/>
      <c r="I32" s="158"/>
      <c r="J32" s="161"/>
      <c r="K32" s="162"/>
      <c r="L32" s="163" t="str">
        <f t="shared" si="6"/>
        <v/>
      </c>
      <c r="M32" s="164">
        <f t="shared" si="7"/>
        <v>0</v>
      </c>
      <c r="N32" s="165">
        <f>IF(ISERR(SEARCH("2d",#REF!)),IF(ISERR(SEARCH("1d",#REF!)),0,1),2)*($G32)*$H32/10^3+IF(ISERR(SEARCH("2n",#REF!)),IF(ISERR(SEARCH("1n",#REF!)),0,1),2)*($F32)*$H32/10^3</f>
        <v>0</v>
      </c>
      <c r="O32" s="165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P32" s="166">
        <f>IF(ISERR(SEARCH("2m",#REF!)),IF(ISERR(SEARCH("1m",#REF!)),0,1),2)*$G32*$F32*$H32/10^6+IF(ISERR(SEARCH("2d",#REF!)),IF(ISERR(SEARCH("1d",#REF!)),0,1),2)*$G32*$E32*$H32/10^6+IF(ISERR(SEARCH("2n",#REF!)),IF(ISERR(SEARCH("1n",#REF!)),0,1),2)*$F32*$E32*$H32/10^6</f>
        <v>0</v>
      </c>
      <c r="Q32" s="153" t="str">
        <f t="shared" si="3"/>
        <v/>
      </c>
      <c r="R32" s="153" t="str">
        <f t="shared" si="2"/>
        <v/>
      </c>
      <c r="S32" s="154" t="str">
        <f t="shared" si="4"/>
        <v>1000</v>
      </c>
      <c r="T32" s="153" t="str">
        <f>IFERROR(MATCH(#REF!,#REF!,0)&amp;",","")</f>
        <v/>
      </c>
      <c r="U32" s="154"/>
      <c r="Y32" s="155" t="str">
        <f t="shared" si="5"/>
        <v/>
      </c>
    </row>
    <row r="33" spans="1:25" s="155" customFormat="1" ht="30" hidden="1" customHeight="1">
      <c r="A33" s="141" t="str">
        <f t="shared" si="0"/>
        <v/>
      </c>
      <c r="B33" s="141" t="str">
        <f t="shared" si="1"/>
        <v/>
      </c>
      <c r="C33" s="157" t="str">
        <f>IF(D33="","",IFERROR((IF(LEFT(MID(D33,SEARCH("_",D33)+1,2),1)="0",(MID(D33,SEARCH("_",D33)+2,1)),MID(D33,SEARCH("_",D33)+1,2)))&amp;"."&amp;IF(LEFT(RIGHT(D33,2),1)="0",RIGHT(D33,1),RIGHT(D33,2)),MAX($C$12:$C32)+1))</f>
        <v/>
      </c>
      <c r="D33" s="158"/>
      <c r="E33" s="159"/>
      <c r="F33" s="159"/>
      <c r="G33" s="159"/>
      <c r="H33" s="159"/>
      <c r="I33" s="158"/>
      <c r="J33" s="161"/>
      <c r="K33" s="162"/>
      <c r="L33" s="163" t="str">
        <f t="shared" si="6"/>
        <v/>
      </c>
      <c r="M33" s="164">
        <f t="shared" si="7"/>
        <v>0</v>
      </c>
      <c r="N33" s="165">
        <f>IF(ISERR(SEARCH("2d",#REF!)),IF(ISERR(SEARCH("1d",#REF!)),0,1),2)*($G33)*$H33/10^3+IF(ISERR(SEARCH("2n",#REF!)),IF(ISERR(SEARCH("1n",#REF!)),0,1),2)*($F33)*$H33/10^3</f>
        <v>0</v>
      </c>
      <c r="O33" s="165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P33" s="166">
        <f>IF(ISERR(SEARCH("2m",#REF!)),IF(ISERR(SEARCH("1m",#REF!)),0,1),2)*$G33*$F33*$H33/10^6+IF(ISERR(SEARCH("2d",#REF!)),IF(ISERR(SEARCH("1d",#REF!)),0,1),2)*$G33*$E33*$H33/10^6+IF(ISERR(SEARCH("2n",#REF!)),IF(ISERR(SEARCH("1n",#REF!)),0,1),2)*$F33*$E33*$H33/10^6</f>
        <v>0</v>
      </c>
      <c r="Q33" s="153" t="str">
        <f t="shared" si="3"/>
        <v/>
      </c>
      <c r="R33" s="153" t="str">
        <f t="shared" si="2"/>
        <v/>
      </c>
      <c r="S33" s="154" t="str">
        <f t="shared" si="4"/>
        <v>1000</v>
      </c>
      <c r="T33" s="153" t="str">
        <f>IFERROR(MATCH(#REF!,#REF!,0)&amp;",","")</f>
        <v/>
      </c>
      <c r="U33" s="154"/>
      <c r="Y33" s="155" t="str">
        <f t="shared" si="5"/>
        <v/>
      </c>
    </row>
    <row r="34" spans="1:25" s="155" customFormat="1" ht="30" hidden="1" customHeight="1">
      <c r="A34" s="141" t="str">
        <f t="shared" si="0"/>
        <v/>
      </c>
      <c r="B34" s="141" t="str">
        <f t="shared" si="1"/>
        <v/>
      </c>
      <c r="C34" s="157" t="str">
        <f>IF(D34="","",IFERROR((IF(LEFT(MID(D34,SEARCH("_",D34)+1,2),1)="0",(MID(D34,SEARCH("_",D34)+2,1)),MID(D34,SEARCH("_",D34)+1,2)))&amp;"."&amp;IF(LEFT(RIGHT(D34,2),1)="0",RIGHT(D34,1),RIGHT(D34,2)),MAX($C$12:$C33)+1))</f>
        <v/>
      </c>
      <c r="D34" s="158"/>
      <c r="E34" s="159"/>
      <c r="F34" s="159"/>
      <c r="G34" s="159"/>
      <c r="H34" s="159"/>
      <c r="I34" s="158"/>
      <c r="J34" s="161"/>
      <c r="K34" s="162"/>
      <c r="L34" s="163" t="str">
        <f t="shared" si="6"/>
        <v/>
      </c>
      <c r="M34" s="164">
        <f t="shared" si="7"/>
        <v>0</v>
      </c>
      <c r="N34" s="165">
        <f>IF(ISERR(SEARCH("2d",#REF!)),IF(ISERR(SEARCH("1d",#REF!)),0,1),2)*($G34)*$H34/10^3+IF(ISERR(SEARCH("2n",#REF!)),IF(ISERR(SEARCH("1n",#REF!)),0,1),2)*($F34)*$H34/10^3</f>
        <v>0</v>
      </c>
      <c r="O34" s="165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P34" s="166">
        <f>IF(ISERR(SEARCH("2m",#REF!)),IF(ISERR(SEARCH("1m",#REF!)),0,1),2)*$G34*$F34*$H34/10^6+IF(ISERR(SEARCH("2d",#REF!)),IF(ISERR(SEARCH("1d",#REF!)),0,1),2)*$G34*$E34*$H34/10^6+IF(ISERR(SEARCH("2n",#REF!)),IF(ISERR(SEARCH("1n",#REF!)),0,1),2)*$F34*$E34*$H34/10^6</f>
        <v>0</v>
      </c>
      <c r="Q34" s="153" t="str">
        <f t="shared" si="3"/>
        <v/>
      </c>
      <c r="R34" s="153" t="str">
        <f t="shared" si="2"/>
        <v/>
      </c>
      <c r="S34" s="154" t="str">
        <f t="shared" si="4"/>
        <v>1000</v>
      </c>
      <c r="T34" s="153" t="str">
        <f>IFERROR(MATCH(#REF!,#REF!,0)&amp;",","")</f>
        <v/>
      </c>
      <c r="U34" s="154"/>
      <c r="Y34" s="155" t="str">
        <f t="shared" si="5"/>
        <v/>
      </c>
    </row>
    <row r="35" spans="1:25" s="155" customFormat="1" ht="30" hidden="1" customHeight="1">
      <c r="A35" s="141" t="str">
        <f t="shared" si="0"/>
        <v/>
      </c>
      <c r="B35" s="141" t="str">
        <f t="shared" si="1"/>
        <v/>
      </c>
      <c r="C35" s="157" t="str">
        <f>IF(D35="","",IFERROR((IF(LEFT(MID(D35,SEARCH("_",D35)+1,2),1)="0",(MID(D35,SEARCH("_",D35)+2,1)),MID(D35,SEARCH("_",D35)+1,2)))&amp;"."&amp;IF(LEFT(RIGHT(D35,2),1)="0",RIGHT(D35,1),RIGHT(D35,2)),MAX($C$12:$C34)+1))</f>
        <v/>
      </c>
      <c r="D35" s="158"/>
      <c r="E35" s="159"/>
      <c r="F35" s="159"/>
      <c r="G35" s="159"/>
      <c r="H35" s="159"/>
      <c r="I35" s="158"/>
      <c r="J35" s="161"/>
      <c r="K35" s="162"/>
      <c r="L35" s="163" t="str">
        <f t="shared" si="6"/>
        <v/>
      </c>
      <c r="M35" s="164">
        <f t="shared" si="7"/>
        <v>0</v>
      </c>
      <c r="N35" s="165">
        <f>IF(ISERR(SEARCH("2d",#REF!)),IF(ISERR(SEARCH("1d",#REF!)),0,1),2)*($G35)*$H35/10^3+IF(ISERR(SEARCH("2n",#REF!)),IF(ISERR(SEARCH("1n",#REF!)),0,1),2)*($F35)*$H35/10^3</f>
        <v>0</v>
      </c>
      <c r="O35" s="165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P35" s="166">
        <f>IF(ISERR(SEARCH("2m",#REF!)),IF(ISERR(SEARCH("1m",#REF!)),0,1),2)*$G35*$F35*$H35/10^6+IF(ISERR(SEARCH("2d",#REF!)),IF(ISERR(SEARCH("1d",#REF!)),0,1),2)*$G35*$E35*$H35/10^6+IF(ISERR(SEARCH("2n",#REF!)),IF(ISERR(SEARCH("1n",#REF!)),0,1),2)*$F35*$E35*$H35/10^6</f>
        <v>0</v>
      </c>
      <c r="Q35" s="153" t="str">
        <f t="shared" si="3"/>
        <v/>
      </c>
      <c r="R35" s="153" t="str">
        <f t="shared" si="2"/>
        <v/>
      </c>
      <c r="S35" s="154" t="str">
        <f t="shared" si="4"/>
        <v>1000</v>
      </c>
      <c r="T35" s="153" t="str">
        <f>IFERROR(MATCH(#REF!,#REF!,0)&amp;",","")</f>
        <v/>
      </c>
      <c r="U35" s="154"/>
      <c r="Y35" s="155" t="str">
        <f t="shared" si="5"/>
        <v/>
      </c>
    </row>
    <row r="36" spans="1:25" s="155" customFormat="1" ht="30" hidden="1" customHeight="1">
      <c r="A36" s="141" t="str">
        <f t="shared" si="0"/>
        <v/>
      </c>
      <c r="B36" s="141" t="str">
        <f t="shared" si="1"/>
        <v/>
      </c>
      <c r="C36" s="157" t="str">
        <f>IF(D36="","",IFERROR((IF(LEFT(MID(D36,SEARCH("_",D36)+1,2),1)="0",(MID(D36,SEARCH("_",D36)+2,1)),MID(D36,SEARCH("_",D36)+1,2)))&amp;"."&amp;IF(LEFT(RIGHT(D36,2),1)="0",RIGHT(D36,1),RIGHT(D36,2)),MAX($C$12:$C35)+1))</f>
        <v/>
      </c>
      <c r="D36" s="158"/>
      <c r="E36" s="159"/>
      <c r="F36" s="159"/>
      <c r="G36" s="159"/>
      <c r="H36" s="159"/>
      <c r="I36" s="158"/>
      <c r="J36" s="161"/>
      <c r="K36" s="162"/>
      <c r="L36" s="163" t="str">
        <f t="shared" si="6"/>
        <v/>
      </c>
      <c r="M36" s="164">
        <f t="shared" si="7"/>
        <v>0</v>
      </c>
      <c r="N36" s="165">
        <f>IF(ISERR(SEARCH("2d",#REF!)),IF(ISERR(SEARCH("1d",#REF!)),0,1),2)*($G36)*$H36/10^3+IF(ISERR(SEARCH("2n",#REF!)),IF(ISERR(SEARCH("1n",#REF!)),0,1),2)*($F36)*$H36/10^3</f>
        <v>0</v>
      </c>
      <c r="O36" s="165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P36" s="166">
        <f>IF(ISERR(SEARCH("2m",#REF!)),IF(ISERR(SEARCH("1m",#REF!)),0,1),2)*$G36*$F36*$H36/10^6+IF(ISERR(SEARCH("2d",#REF!)),IF(ISERR(SEARCH("1d",#REF!)),0,1),2)*$G36*$E36*$H36/10^6+IF(ISERR(SEARCH("2n",#REF!)),IF(ISERR(SEARCH("1n",#REF!)),0,1),2)*$F36*$E36*$H36/10^6</f>
        <v>0</v>
      </c>
      <c r="Q36" s="153" t="str">
        <f t="shared" si="3"/>
        <v/>
      </c>
      <c r="R36" s="153" t="str">
        <f t="shared" si="2"/>
        <v/>
      </c>
      <c r="S36" s="154" t="str">
        <f t="shared" si="4"/>
        <v>1000</v>
      </c>
      <c r="T36" s="153" t="str">
        <f>IFERROR(MATCH(#REF!,#REF!,0)&amp;",","")</f>
        <v/>
      </c>
      <c r="U36" s="154"/>
      <c r="Y36" s="155" t="str">
        <f t="shared" si="5"/>
        <v/>
      </c>
    </row>
    <row r="37" spans="1:25" s="155" customFormat="1" ht="30" hidden="1" customHeight="1">
      <c r="A37" s="141" t="str">
        <f t="shared" si="0"/>
        <v/>
      </c>
      <c r="B37" s="141" t="str">
        <f t="shared" si="1"/>
        <v/>
      </c>
      <c r="C37" s="157" t="str">
        <f>IF(D37="","",IFERROR((IF(LEFT(MID(D37,SEARCH("_",D37)+1,2),1)="0",(MID(D37,SEARCH("_",D37)+2,1)),MID(D37,SEARCH("_",D37)+1,2)))&amp;"."&amp;IF(LEFT(RIGHT(D37,2),1)="0",RIGHT(D37,1),RIGHT(D37,2)),MAX($C$12:$C36)+1))</f>
        <v/>
      </c>
      <c r="D37" s="158"/>
      <c r="E37" s="159"/>
      <c r="F37" s="159"/>
      <c r="G37" s="159"/>
      <c r="H37" s="159"/>
      <c r="I37" s="158"/>
      <c r="J37" s="161"/>
      <c r="K37" s="162"/>
      <c r="L37" s="163" t="str">
        <f t="shared" si="6"/>
        <v/>
      </c>
      <c r="M37" s="164">
        <f t="shared" si="7"/>
        <v>0</v>
      </c>
      <c r="N37" s="165">
        <f>IF(ISERR(SEARCH("2d",#REF!)),IF(ISERR(SEARCH("1d",#REF!)),0,1),2)*($G37)*$H37/10^3+IF(ISERR(SEARCH("2n",#REF!)),IF(ISERR(SEARCH("1n",#REF!)),0,1),2)*($F37)*$H37/10^3</f>
        <v>0</v>
      </c>
      <c r="O37" s="165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P37" s="166">
        <f>IF(ISERR(SEARCH("2m",#REF!)),IF(ISERR(SEARCH("1m",#REF!)),0,1),2)*$G37*$F37*$H37/10^6+IF(ISERR(SEARCH("2d",#REF!)),IF(ISERR(SEARCH("1d",#REF!)),0,1),2)*$G37*$E37*$H37/10^6+IF(ISERR(SEARCH("2n",#REF!)),IF(ISERR(SEARCH("1n",#REF!)),0,1),2)*$F37*$E37*$H37/10^6</f>
        <v>0</v>
      </c>
      <c r="Q37" s="153" t="str">
        <f t="shared" si="3"/>
        <v/>
      </c>
      <c r="R37" s="153" t="str">
        <f t="shared" si="2"/>
        <v/>
      </c>
      <c r="S37" s="154" t="str">
        <f t="shared" si="4"/>
        <v>1000</v>
      </c>
      <c r="T37" s="153" t="str">
        <f>IFERROR(MATCH(#REF!,#REF!,0)&amp;",","")</f>
        <v/>
      </c>
      <c r="U37" s="154"/>
      <c r="Y37" s="155" t="str">
        <f t="shared" si="5"/>
        <v/>
      </c>
    </row>
    <row r="38" spans="1:25" s="155" customFormat="1" ht="30" hidden="1" customHeight="1">
      <c r="A38" s="141" t="str">
        <f t="shared" si="0"/>
        <v/>
      </c>
      <c r="B38" s="141" t="str">
        <f t="shared" si="1"/>
        <v/>
      </c>
      <c r="C38" s="157" t="str">
        <f>IF(D38="","",IFERROR((IF(LEFT(MID(D38,SEARCH("_",D38)+1,2),1)="0",(MID(D38,SEARCH("_",D38)+2,1)),MID(D38,SEARCH("_",D38)+1,2)))&amp;"."&amp;IF(LEFT(RIGHT(D38,2),1)="0",RIGHT(D38,1),RIGHT(D38,2)),MAX($C$12:$C37)+1))</f>
        <v/>
      </c>
      <c r="D38" s="158"/>
      <c r="E38" s="159"/>
      <c r="F38" s="159"/>
      <c r="G38" s="159"/>
      <c r="H38" s="159"/>
      <c r="I38" s="158"/>
      <c r="J38" s="161"/>
      <c r="K38" s="162"/>
      <c r="L38" s="163" t="str">
        <f t="shared" si="6"/>
        <v/>
      </c>
      <c r="M38" s="164">
        <f t="shared" si="7"/>
        <v>0</v>
      </c>
      <c r="N38" s="165">
        <f>IF(ISERR(SEARCH("2d",#REF!)),IF(ISERR(SEARCH("1d",#REF!)),0,1),2)*($G38)*$H38/10^3+IF(ISERR(SEARCH("2n",#REF!)),IF(ISERR(SEARCH("1n",#REF!)),0,1),2)*($F38)*$H38/10^3</f>
        <v>0</v>
      </c>
      <c r="O38" s="165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P38" s="166">
        <f>IF(ISERR(SEARCH("2m",#REF!)),IF(ISERR(SEARCH("1m",#REF!)),0,1),2)*$G38*$F38*$H38/10^6+IF(ISERR(SEARCH("2d",#REF!)),IF(ISERR(SEARCH("1d",#REF!)),0,1),2)*$G38*$E38*$H38/10^6+IF(ISERR(SEARCH("2n",#REF!)),IF(ISERR(SEARCH("1n",#REF!)),0,1),2)*$F38*$E38*$H38/10^6</f>
        <v>0</v>
      </c>
      <c r="Q38" s="153" t="str">
        <f t="shared" si="3"/>
        <v/>
      </c>
      <c r="R38" s="153" t="str">
        <f t="shared" si="2"/>
        <v/>
      </c>
      <c r="S38" s="154" t="str">
        <f t="shared" si="4"/>
        <v>1000</v>
      </c>
      <c r="T38" s="153" t="str">
        <f>IFERROR(MATCH(#REF!,#REF!,0)&amp;",","")</f>
        <v/>
      </c>
      <c r="U38" s="154"/>
      <c r="Y38" s="155" t="str">
        <f t="shared" si="5"/>
        <v/>
      </c>
    </row>
    <row r="39" spans="1:25" s="155" customFormat="1" ht="30" hidden="1" customHeight="1">
      <c r="A39" s="141" t="str">
        <f t="shared" si="0"/>
        <v/>
      </c>
      <c r="B39" s="141" t="str">
        <f t="shared" si="1"/>
        <v/>
      </c>
      <c r="C39" s="157" t="str">
        <f>IF(D39="","",IFERROR((IF(LEFT(MID(D39,SEARCH("_",D39)+1,2),1)="0",(MID(D39,SEARCH("_",D39)+2,1)),MID(D39,SEARCH("_",D39)+1,2)))&amp;"."&amp;IF(LEFT(RIGHT(D39,2),1)="0",RIGHT(D39,1),RIGHT(D39,2)),MAX($C$12:$C38)+1))</f>
        <v/>
      </c>
      <c r="D39" s="158"/>
      <c r="E39" s="159"/>
      <c r="F39" s="159"/>
      <c r="G39" s="159"/>
      <c r="H39" s="159"/>
      <c r="I39" s="158"/>
      <c r="J39" s="161"/>
      <c r="K39" s="162"/>
      <c r="L39" s="163" t="str">
        <f t="shared" si="6"/>
        <v/>
      </c>
      <c r="M39" s="164">
        <f t="shared" si="7"/>
        <v>0</v>
      </c>
      <c r="N39" s="165">
        <f>IF(ISERR(SEARCH("2d",#REF!)),IF(ISERR(SEARCH("1d",#REF!)),0,1),2)*($G39)*$H39/10^3+IF(ISERR(SEARCH("2n",#REF!)),IF(ISERR(SEARCH("1n",#REF!)),0,1),2)*($F39)*$H39/10^3</f>
        <v>0</v>
      </c>
      <c r="O39" s="165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P39" s="166">
        <f>IF(ISERR(SEARCH("2m",#REF!)),IF(ISERR(SEARCH("1m",#REF!)),0,1),2)*$G39*$F39*$H39/10^6+IF(ISERR(SEARCH("2d",#REF!)),IF(ISERR(SEARCH("1d",#REF!)),0,1),2)*$G39*$E39*$H39/10^6+IF(ISERR(SEARCH("2n",#REF!)),IF(ISERR(SEARCH("1n",#REF!)),0,1),2)*$F39*$E39*$H39/10^6</f>
        <v>0</v>
      </c>
      <c r="Q39" s="153" t="str">
        <f t="shared" si="3"/>
        <v/>
      </c>
      <c r="R39" s="153" t="str">
        <f t="shared" si="2"/>
        <v/>
      </c>
      <c r="S39" s="154" t="str">
        <f t="shared" si="4"/>
        <v>1000</v>
      </c>
      <c r="T39" s="153" t="str">
        <f>IFERROR(MATCH(#REF!,#REF!,0)&amp;",","")</f>
        <v/>
      </c>
      <c r="U39" s="154"/>
      <c r="Y39" s="155" t="str">
        <f t="shared" si="5"/>
        <v/>
      </c>
    </row>
    <row r="40" spans="1:25" s="155" customFormat="1" ht="30" hidden="1" customHeight="1">
      <c r="A40" s="141" t="str">
        <f t="shared" si="0"/>
        <v/>
      </c>
      <c r="B40" s="141" t="str">
        <f t="shared" si="1"/>
        <v/>
      </c>
      <c r="C40" s="157" t="str">
        <f>IF(D40="","",IFERROR((IF(LEFT(MID(D40,SEARCH("_",D40)+1,2),1)="0",(MID(D40,SEARCH("_",D40)+2,1)),MID(D40,SEARCH("_",D40)+1,2)))&amp;"."&amp;IF(LEFT(RIGHT(D40,2),1)="0",RIGHT(D40,1),RIGHT(D40,2)),MAX($C$12:$C39)+1))</f>
        <v/>
      </c>
      <c r="D40" s="158"/>
      <c r="E40" s="159"/>
      <c r="F40" s="159"/>
      <c r="G40" s="159"/>
      <c r="H40" s="159"/>
      <c r="I40" s="158"/>
      <c r="J40" s="161"/>
      <c r="K40" s="162"/>
      <c r="L40" s="163" t="str">
        <f t="shared" si="6"/>
        <v/>
      </c>
      <c r="M40" s="164">
        <f t="shared" si="7"/>
        <v>0</v>
      </c>
      <c r="N40" s="165">
        <f>IF(ISERR(SEARCH("2d",#REF!)),IF(ISERR(SEARCH("1d",#REF!)),0,1),2)*($G40)*$H40/10^3+IF(ISERR(SEARCH("2n",#REF!)),IF(ISERR(SEARCH("1n",#REF!)),0,1),2)*($F40)*$H40/10^3</f>
        <v>0</v>
      </c>
      <c r="O40" s="165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P40" s="166">
        <f>IF(ISERR(SEARCH("2m",#REF!)),IF(ISERR(SEARCH("1m",#REF!)),0,1),2)*$G40*$F40*$H40/10^6+IF(ISERR(SEARCH("2d",#REF!)),IF(ISERR(SEARCH("1d",#REF!)),0,1),2)*$G40*$E40*$H40/10^6+IF(ISERR(SEARCH("2n",#REF!)),IF(ISERR(SEARCH("1n",#REF!)),0,1),2)*$F40*$E40*$H40/10^6</f>
        <v>0</v>
      </c>
      <c r="Q40" s="153" t="str">
        <f t="shared" si="3"/>
        <v/>
      </c>
      <c r="R40" s="153" t="str">
        <f t="shared" si="2"/>
        <v/>
      </c>
      <c r="S40" s="154" t="str">
        <f t="shared" si="4"/>
        <v>1000</v>
      </c>
      <c r="T40" s="153" t="str">
        <f>IFERROR(MATCH(#REF!,#REF!,0)&amp;",","")</f>
        <v/>
      </c>
      <c r="U40" s="154"/>
      <c r="Y40" s="155" t="str">
        <f t="shared" si="5"/>
        <v/>
      </c>
    </row>
    <row r="41" spans="1:25" s="155" customFormat="1" ht="30" hidden="1" customHeight="1">
      <c r="A41" s="141" t="str">
        <f t="shared" si="0"/>
        <v/>
      </c>
      <c r="B41" s="141" t="str">
        <f t="shared" si="1"/>
        <v/>
      </c>
      <c r="C41" s="157" t="str">
        <f>IF(D41="","",IFERROR((IF(LEFT(MID(D41,SEARCH("_",D41)+1,2),1)="0",(MID(D41,SEARCH("_",D41)+2,1)),MID(D41,SEARCH("_",D41)+1,2)))&amp;"."&amp;IF(LEFT(RIGHT(D41,2),1)="0",RIGHT(D41,1),RIGHT(D41,2)),MAX($C$12:$C40)+1))</f>
        <v/>
      </c>
      <c r="D41" s="158"/>
      <c r="E41" s="159"/>
      <c r="F41" s="159"/>
      <c r="G41" s="159"/>
      <c r="H41" s="159"/>
      <c r="I41" s="158"/>
      <c r="J41" s="161"/>
      <c r="K41" s="162"/>
      <c r="L41" s="163" t="str">
        <f t="shared" si="6"/>
        <v/>
      </c>
      <c r="M41" s="164">
        <f t="shared" si="7"/>
        <v>0</v>
      </c>
      <c r="N41" s="165">
        <f>IF(ISERR(SEARCH("2d",#REF!)),IF(ISERR(SEARCH("1d",#REF!)),0,1),2)*($G41)*$H41/10^3+IF(ISERR(SEARCH("2n",#REF!)),IF(ISERR(SEARCH("1n",#REF!)),0,1),2)*($F41)*$H41/10^3</f>
        <v>0</v>
      </c>
      <c r="O41" s="165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P41" s="166">
        <f>IF(ISERR(SEARCH("2m",#REF!)),IF(ISERR(SEARCH("1m",#REF!)),0,1),2)*$G41*$F41*$H41/10^6+IF(ISERR(SEARCH("2d",#REF!)),IF(ISERR(SEARCH("1d",#REF!)),0,1),2)*$G41*$E41*$H41/10^6+IF(ISERR(SEARCH("2n",#REF!)),IF(ISERR(SEARCH("1n",#REF!)),0,1),2)*$F41*$E41*$H41/10^6</f>
        <v>0</v>
      </c>
      <c r="Q41" s="153" t="str">
        <f t="shared" si="3"/>
        <v/>
      </c>
      <c r="R41" s="153" t="str">
        <f t="shared" si="2"/>
        <v/>
      </c>
      <c r="S41" s="154" t="str">
        <f t="shared" si="4"/>
        <v>1000</v>
      </c>
      <c r="T41" s="153" t="str">
        <f>IFERROR(MATCH(#REF!,#REF!,0)&amp;",","")</f>
        <v/>
      </c>
      <c r="U41" s="154"/>
      <c r="Y41" s="155" t="str">
        <f t="shared" si="5"/>
        <v/>
      </c>
    </row>
    <row r="42" spans="1:25" s="155" customFormat="1" ht="30" hidden="1" customHeight="1">
      <c r="A42" s="141" t="str">
        <f t="shared" si="0"/>
        <v/>
      </c>
      <c r="B42" s="141" t="str">
        <f t="shared" si="1"/>
        <v/>
      </c>
      <c r="C42" s="157" t="str">
        <f>IF(D42="","",IFERROR((IF(LEFT(MID(D42,SEARCH("_",D42)+1,2),1)="0",(MID(D42,SEARCH("_",D42)+2,1)),MID(D42,SEARCH("_",D42)+1,2)))&amp;"."&amp;IF(LEFT(RIGHT(D42,2),1)="0",RIGHT(D42,1),RIGHT(D42,2)),MAX($C$12:$C41)+1))</f>
        <v/>
      </c>
      <c r="D42" s="158"/>
      <c r="E42" s="159"/>
      <c r="F42" s="159"/>
      <c r="G42" s="159"/>
      <c r="H42" s="159"/>
      <c r="I42" s="158"/>
      <c r="J42" s="161"/>
      <c r="K42" s="162"/>
      <c r="L42" s="163" t="str">
        <f t="shared" si="6"/>
        <v/>
      </c>
      <c r="M42" s="164">
        <f t="shared" si="7"/>
        <v>0</v>
      </c>
      <c r="N42" s="165">
        <f>IF(ISERR(SEARCH("2d",#REF!)),IF(ISERR(SEARCH("1d",#REF!)),0,1),2)*($G42)*$H42/10^3+IF(ISERR(SEARCH("2n",#REF!)),IF(ISERR(SEARCH("1n",#REF!)),0,1),2)*($F42)*$H42/10^3</f>
        <v>0</v>
      </c>
      <c r="O42" s="165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P42" s="166">
        <f>IF(ISERR(SEARCH("2m",#REF!)),IF(ISERR(SEARCH("1m",#REF!)),0,1),2)*$G42*$F42*$H42/10^6+IF(ISERR(SEARCH("2d",#REF!)),IF(ISERR(SEARCH("1d",#REF!)),0,1),2)*$G42*$E42*$H42/10^6+IF(ISERR(SEARCH("2n",#REF!)),IF(ISERR(SEARCH("1n",#REF!)),0,1),2)*$F42*$E42*$H42/10^6</f>
        <v>0</v>
      </c>
      <c r="Q42" s="153" t="str">
        <f t="shared" si="3"/>
        <v/>
      </c>
      <c r="R42" s="153" t="str">
        <f t="shared" si="2"/>
        <v/>
      </c>
      <c r="S42" s="154" t="str">
        <f t="shared" si="4"/>
        <v>1000</v>
      </c>
      <c r="T42" s="153" t="str">
        <f>IFERROR(MATCH(#REF!,#REF!,0)&amp;",","")</f>
        <v/>
      </c>
      <c r="U42" s="154"/>
      <c r="Y42" s="155" t="str">
        <f t="shared" si="5"/>
        <v/>
      </c>
    </row>
    <row r="43" spans="1:25" s="155" customFormat="1" ht="30" hidden="1" customHeight="1">
      <c r="A43" s="141" t="str">
        <f t="shared" si="0"/>
        <v/>
      </c>
      <c r="B43" s="141" t="str">
        <f t="shared" si="1"/>
        <v/>
      </c>
      <c r="C43" s="157" t="str">
        <f>IF(D43="","",IFERROR((IF(LEFT(MID(D43,SEARCH("_",D43)+1,2),1)="0",(MID(D43,SEARCH("_",D43)+2,1)),MID(D43,SEARCH("_",D43)+1,2)))&amp;"."&amp;IF(LEFT(RIGHT(D43,2),1)="0",RIGHT(D43,1),RIGHT(D43,2)),MAX($C$12:$C42)+1))</f>
        <v/>
      </c>
      <c r="D43" s="158"/>
      <c r="E43" s="159"/>
      <c r="F43" s="159"/>
      <c r="G43" s="159"/>
      <c r="H43" s="159"/>
      <c r="I43" s="158"/>
      <c r="J43" s="161"/>
      <c r="K43" s="162"/>
      <c r="L43" s="163" t="str">
        <f t="shared" si="6"/>
        <v/>
      </c>
      <c r="M43" s="164">
        <f t="shared" si="7"/>
        <v>0</v>
      </c>
      <c r="N43" s="165">
        <f>IF(ISERR(SEARCH("2d",#REF!)),IF(ISERR(SEARCH("1d",#REF!)),0,1),2)*($G43)*$H43/10^3+IF(ISERR(SEARCH("2n",#REF!)),IF(ISERR(SEARCH("1n",#REF!)),0,1),2)*($F43)*$H43/10^3</f>
        <v>0</v>
      </c>
      <c r="O43" s="165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P43" s="166">
        <f>IF(ISERR(SEARCH("2m",#REF!)),IF(ISERR(SEARCH("1m",#REF!)),0,1),2)*$G43*$F43*$H43/10^6+IF(ISERR(SEARCH("2d",#REF!)),IF(ISERR(SEARCH("1d",#REF!)),0,1),2)*$G43*$E43*$H43/10^6+IF(ISERR(SEARCH("2n",#REF!)),IF(ISERR(SEARCH("1n",#REF!)),0,1),2)*$F43*$E43*$H43/10^6</f>
        <v>0</v>
      </c>
      <c r="Q43" s="153" t="str">
        <f t="shared" si="3"/>
        <v/>
      </c>
      <c r="R43" s="153" t="str">
        <f t="shared" si="2"/>
        <v/>
      </c>
      <c r="S43" s="154" t="str">
        <f t="shared" si="4"/>
        <v>1000</v>
      </c>
      <c r="T43" s="153" t="str">
        <f>IFERROR(MATCH(#REF!,#REF!,0)&amp;",","")</f>
        <v/>
      </c>
      <c r="U43" s="154"/>
      <c r="Y43" s="155" t="str">
        <f t="shared" si="5"/>
        <v/>
      </c>
    </row>
    <row r="44" spans="1:25" s="155" customFormat="1" ht="30" hidden="1" customHeight="1">
      <c r="A44" s="141" t="str">
        <f t="shared" si="0"/>
        <v/>
      </c>
      <c r="B44" s="141" t="str">
        <f t="shared" si="1"/>
        <v/>
      </c>
      <c r="C44" s="157" t="str">
        <f>IF(D44="","",IFERROR((IF(LEFT(MID(D44,SEARCH("_",D44)+1,2),1)="0",(MID(D44,SEARCH("_",D44)+2,1)),MID(D44,SEARCH("_",D44)+1,2)))&amp;"."&amp;IF(LEFT(RIGHT(D44,2),1)="0",RIGHT(D44,1),RIGHT(D44,2)),MAX($C$12:$C43)+1))</f>
        <v/>
      </c>
      <c r="D44" s="158"/>
      <c r="E44" s="159"/>
      <c r="F44" s="159"/>
      <c r="G44" s="159"/>
      <c r="H44" s="159"/>
      <c r="I44" s="158"/>
      <c r="J44" s="161"/>
      <c r="K44" s="162"/>
      <c r="L44" s="163" t="str">
        <f t="shared" si="6"/>
        <v/>
      </c>
      <c r="M44" s="164">
        <f t="shared" si="7"/>
        <v>0</v>
      </c>
      <c r="N44" s="165">
        <f>IF(ISERR(SEARCH("2d",#REF!)),IF(ISERR(SEARCH("1d",#REF!)),0,1),2)*($G44)*$H44/10^3+IF(ISERR(SEARCH("2n",#REF!)),IF(ISERR(SEARCH("1n",#REF!)),0,1),2)*($F44)*$H44/10^3</f>
        <v>0</v>
      </c>
      <c r="O44" s="165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P44" s="166">
        <f>IF(ISERR(SEARCH("2m",#REF!)),IF(ISERR(SEARCH("1m",#REF!)),0,1),2)*$G44*$F44*$H44/10^6+IF(ISERR(SEARCH("2d",#REF!)),IF(ISERR(SEARCH("1d",#REF!)),0,1),2)*$G44*$E44*$H44/10^6+IF(ISERR(SEARCH("2n",#REF!)),IF(ISERR(SEARCH("1n",#REF!)),0,1),2)*$F44*$E44*$H44/10^6</f>
        <v>0</v>
      </c>
      <c r="Q44" s="153" t="str">
        <f t="shared" si="3"/>
        <v/>
      </c>
      <c r="R44" s="153" t="str">
        <f t="shared" si="2"/>
        <v/>
      </c>
      <c r="S44" s="154" t="str">
        <f t="shared" si="4"/>
        <v>1000</v>
      </c>
      <c r="T44" s="153" t="str">
        <f>IFERROR(MATCH(#REF!,#REF!,0)&amp;",","")</f>
        <v/>
      </c>
      <c r="U44" s="154"/>
      <c r="Y44" s="155" t="str">
        <f t="shared" si="5"/>
        <v/>
      </c>
    </row>
    <row r="45" spans="1:25" s="155" customFormat="1" ht="30" hidden="1" customHeight="1">
      <c r="A45" s="141" t="str">
        <f t="shared" si="0"/>
        <v/>
      </c>
      <c r="B45" s="141" t="str">
        <f t="shared" si="1"/>
        <v/>
      </c>
      <c r="C45" s="157" t="str">
        <f>IF(D45="","",IFERROR((IF(LEFT(MID(D45,SEARCH("_",D45)+1,2),1)="0",(MID(D45,SEARCH("_",D45)+2,1)),MID(D45,SEARCH("_",D45)+1,2)))&amp;"."&amp;IF(LEFT(RIGHT(D45,2),1)="0",RIGHT(D45,1),RIGHT(D45,2)),MAX($C$12:$C44)+1))</f>
        <v/>
      </c>
      <c r="D45" s="158"/>
      <c r="E45" s="159"/>
      <c r="F45" s="159"/>
      <c r="G45" s="159"/>
      <c r="H45" s="159"/>
      <c r="I45" s="158"/>
      <c r="J45" s="161"/>
      <c r="K45" s="162"/>
      <c r="L45" s="163" t="str">
        <f t="shared" si="6"/>
        <v/>
      </c>
      <c r="M45" s="164">
        <f t="shared" si="7"/>
        <v>0</v>
      </c>
      <c r="N45" s="165">
        <f>IF(ISERR(SEARCH("2d",#REF!)),IF(ISERR(SEARCH("1d",#REF!)),0,1),2)*($G45)*$H45/10^3+IF(ISERR(SEARCH("2n",#REF!)),IF(ISERR(SEARCH("1n",#REF!)),0,1),2)*($F45)*$H45/10^3</f>
        <v>0</v>
      </c>
      <c r="O45" s="165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P45" s="166">
        <f>IF(ISERR(SEARCH("2m",#REF!)),IF(ISERR(SEARCH("1m",#REF!)),0,1),2)*$G45*$F45*$H45/10^6+IF(ISERR(SEARCH("2d",#REF!)),IF(ISERR(SEARCH("1d",#REF!)),0,1),2)*$G45*$E45*$H45/10^6+IF(ISERR(SEARCH("2n",#REF!)),IF(ISERR(SEARCH("1n",#REF!)),0,1),2)*$F45*$E45*$H45/10^6</f>
        <v>0</v>
      </c>
      <c r="Q45" s="153" t="str">
        <f t="shared" si="3"/>
        <v/>
      </c>
      <c r="R45" s="153" t="str">
        <f t="shared" si="2"/>
        <v/>
      </c>
      <c r="S45" s="154" t="str">
        <f t="shared" si="4"/>
        <v>1000</v>
      </c>
      <c r="T45" s="153" t="str">
        <f>IFERROR(MATCH(#REF!,#REF!,0)&amp;",","")</f>
        <v/>
      </c>
      <c r="U45" s="154"/>
      <c r="Y45" s="155" t="str">
        <f t="shared" si="5"/>
        <v/>
      </c>
    </row>
    <row r="46" spans="1:25" s="155" customFormat="1" ht="30" hidden="1" customHeight="1">
      <c r="A46" s="141" t="str">
        <f t="shared" si="0"/>
        <v/>
      </c>
      <c r="B46" s="141" t="str">
        <f t="shared" si="1"/>
        <v/>
      </c>
      <c r="C46" s="157" t="str">
        <f>IF(D46="","",IFERROR((IF(LEFT(MID(D46,SEARCH("_",D46)+1,2),1)="0",(MID(D46,SEARCH("_",D46)+2,1)),MID(D46,SEARCH("_",D46)+1,2)))&amp;"."&amp;IF(LEFT(RIGHT(D46,2),1)="0",RIGHT(D46,1),RIGHT(D46,2)),MAX($C$12:$C45)+1))</f>
        <v/>
      </c>
      <c r="D46" s="158"/>
      <c r="E46" s="159"/>
      <c r="F46" s="159"/>
      <c r="G46" s="159"/>
      <c r="H46" s="159"/>
      <c r="I46" s="158"/>
      <c r="J46" s="161"/>
      <c r="K46" s="162"/>
      <c r="L46" s="163" t="str">
        <f t="shared" si="6"/>
        <v/>
      </c>
      <c r="M46" s="164">
        <f t="shared" si="7"/>
        <v>0</v>
      </c>
      <c r="N46" s="165">
        <f>IF(ISERR(SEARCH("2d",#REF!)),IF(ISERR(SEARCH("1d",#REF!)),0,1),2)*($G46)*$H46/10^3+IF(ISERR(SEARCH("2n",#REF!)),IF(ISERR(SEARCH("1n",#REF!)),0,1),2)*($F46)*$H46/10^3</f>
        <v>0</v>
      </c>
      <c r="O46" s="165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P46" s="166">
        <f>IF(ISERR(SEARCH("2m",#REF!)),IF(ISERR(SEARCH("1m",#REF!)),0,1),2)*$G46*$F46*$H46/10^6+IF(ISERR(SEARCH("2d",#REF!)),IF(ISERR(SEARCH("1d",#REF!)),0,1),2)*$G46*$E46*$H46/10^6+IF(ISERR(SEARCH("2n",#REF!)),IF(ISERR(SEARCH("1n",#REF!)),0,1),2)*$F46*$E46*$H46/10^6</f>
        <v>0</v>
      </c>
      <c r="Q46" s="153" t="str">
        <f t="shared" si="3"/>
        <v/>
      </c>
      <c r="R46" s="153" t="str">
        <f t="shared" si="2"/>
        <v/>
      </c>
      <c r="S46" s="154" t="str">
        <f t="shared" si="4"/>
        <v>1000</v>
      </c>
      <c r="T46" s="153" t="str">
        <f>IFERROR(MATCH(#REF!,#REF!,0)&amp;",","")</f>
        <v/>
      </c>
      <c r="U46" s="154"/>
      <c r="Y46" s="155" t="str">
        <f t="shared" si="5"/>
        <v/>
      </c>
    </row>
    <row r="47" spans="1:25" s="155" customFormat="1" ht="30" hidden="1" customHeight="1">
      <c r="A47" s="141" t="str">
        <f t="shared" si="0"/>
        <v/>
      </c>
      <c r="B47" s="141" t="str">
        <f t="shared" si="1"/>
        <v/>
      </c>
      <c r="C47" s="157" t="str">
        <f>IF(D47="","",IFERROR((IF(LEFT(MID(D47,SEARCH("_",D47)+1,2),1)="0",(MID(D47,SEARCH("_",D47)+2,1)),MID(D47,SEARCH("_",D47)+1,2)))&amp;"."&amp;IF(LEFT(RIGHT(D47,2),1)="0",RIGHT(D47,1),RIGHT(D47,2)),MAX($C$12:$C46)+1))</f>
        <v/>
      </c>
      <c r="D47" s="158"/>
      <c r="E47" s="159"/>
      <c r="F47" s="159"/>
      <c r="G47" s="159"/>
      <c r="H47" s="159"/>
      <c r="I47" s="158"/>
      <c r="J47" s="161"/>
      <c r="K47" s="162"/>
      <c r="L47" s="163" t="str">
        <f t="shared" si="6"/>
        <v/>
      </c>
      <c r="M47" s="164">
        <f t="shared" si="7"/>
        <v>0</v>
      </c>
      <c r="N47" s="165">
        <f>IF(ISERR(SEARCH("2d",#REF!)),IF(ISERR(SEARCH("1d",#REF!)),0,1),2)*($G47)*$H47/10^3+IF(ISERR(SEARCH("2n",#REF!)),IF(ISERR(SEARCH("1n",#REF!)),0,1),2)*($F47)*$H47/10^3</f>
        <v>0</v>
      </c>
      <c r="O47" s="165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P47" s="166">
        <f>IF(ISERR(SEARCH("2m",#REF!)),IF(ISERR(SEARCH("1m",#REF!)),0,1),2)*$G47*$F47*$H47/10^6+IF(ISERR(SEARCH("2d",#REF!)),IF(ISERR(SEARCH("1d",#REF!)),0,1),2)*$G47*$E47*$H47/10^6+IF(ISERR(SEARCH("2n",#REF!)),IF(ISERR(SEARCH("1n",#REF!)),0,1),2)*$F47*$E47*$H47/10^6</f>
        <v>0</v>
      </c>
      <c r="Q47" s="153" t="str">
        <f t="shared" si="3"/>
        <v/>
      </c>
      <c r="R47" s="153" t="str">
        <f t="shared" si="2"/>
        <v/>
      </c>
      <c r="S47" s="154" t="str">
        <f t="shared" si="4"/>
        <v>1000</v>
      </c>
      <c r="T47" s="153" t="str">
        <f>IFERROR(MATCH(#REF!,#REF!,0)&amp;",","")</f>
        <v/>
      </c>
      <c r="U47" s="154"/>
      <c r="Y47" s="155" t="str">
        <f t="shared" si="5"/>
        <v/>
      </c>
    </row>
    <row r="48" spans="1:25" s="155" customFormat="1" ht="30" hidden="1" customHeight="1">
      <c r="A48" s="141" t="str">
        <f t="shared" si="0"/>
        <v/>
      </c>
      <c r="B48" s="141" t="str">
        <f t="shared" si="1"/>
        <v/>
      </c>
      <c r="C48" s="157" t="str">
        <f>IF(D48="","",IFERROR((IF(LEFT(MID(D48,SEARCH("_",D48)+1,2),1)="0",(MID(D48,SEARCH("_",D48)+2,1)),MID(D48,SEARCH("_",D48)+1,2)))&amp;"."&amp;IF(LEFT(RIGHT(D48,2),1)="0",RIGHT(D48,1),RIGHT(D48,2)),MAX($C$12:$C47)+1))</f>
        <v/>
      </c>
      <c r="D48" s="158"/>
      <c r="E48" s="159"/>
      <c r="F48" s="159"/>
      <c r="G48" s="159"/>
      <c r="H48" s="159"/>
      <c r="I48" s="158"/>
      <c r="J48" s="161"/>
      <c r="K48" s="162"/>
      <c r="L48" s="163" t="str">
        <f t="shared" si="6"/>
        <v/>
      </c>
      <c r="M48" s="164">
        <f t="shared" si="7"/>
        <v>0</v>
      </c>
      <c r="N48" s="165">
        <f>IF(ISERR(SEARCH("2d",#REF!)),IF(ISERR(SEARCH("1d",#REF!)),0,1),2)*($G48)*$H48/10^3+IF(ISERR(SEARCH("2n",#REF!)),IF(ISERR(SEARCH("1n",#REF!)),0,1),2)*($F48)*$H48/10^3</f>
        <v>0</v>
      </c>
      <c r="O48" s="165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P48" s="166">
        <f>IF(ISERR(SEARCH("2m",#REF!)),IF(ISERR(SEARCH("1m",#REF!)),0,1),2)*$G48*$F48*$H48/10^6+IF(ISERR(SEARCH("2d",#REF!)),IF(ISERR(SEARCH("1d",#REF!)),0,1),2)*$G48*$E48*$H48/10^6+IF(ISERR(SEARCH("2n",#REF!)),IF(ISERR(SEARCH("1n",#REF!)),0,1),2)*$F48*$E48*$H48/10^6</f>
        <v>0</v>
      </c>
      <c r="Q48" s="153" t="str">
        <f t="shared" si="3"/>
        <v/>
      </c>
      <c r="R48" s="153" t="str">
        <f t="shared" si="2"/>
        <v/>
      </c>
      <c r="S48" s="154" t="str">
        <f t="shared" si="4"/>
        <v>1000</v>
      </c>
      <c r="T48" s="153" t="str">
        <f>IFERROR(MATCH(#REF!,#REF!,0)&amp;",","")</f>
        <v/>
      </c>
      <c r="U48" s="154"/>
      <c r="Y48" s="155" t="str">
        <f t="shared" si="5"/>
        <v/>
      </c>
    </row>
    <row r="49" spans="1:25" s="155" customFormat="1" ht="30" hidden="1" customHeight="1">
      <c r="A49" s="141" t="str">
        <f t="shared" si="0"/>
        <v/>
      </c>
      <c r="B49" s="141" t="str">
        <f t="shared" si="1"/>
        <v/>
      </c>
      <c r="C49" s="157" t="str">
        <f>IF(D49="","",IFERROR((IF(LEFT(MID(D49,SEARCH("_",D49)+1,2),1)="0",(MID(D49,SEARCH("_",D49)+2,1)),MID(D49,SEARCH("_",D49)+1,2)))&amp;"."&amp;IF(LEFT(RIGHT(D49,2),1)="0",RIGHT(D49,1),RIGHT(D49,2)),MAX($C$12:$C48)+1))</f>
        <v/>
      </c>
      <c r="D49" s="158"/>
      <c r="E49" s="159"/>
      <c r="F49" s="159"/>
      <c r="G49" s="159"/>
      <c r="H49" s="159"/>
      <c r="I49" s="158"/>
      <c r="J49" s="161"/>
      <c r="K49" s="162"/>
      <c r="L49" s="163" t="str">
        <f t="shared" si="6"/>
        <v/>
      </c>
      <c r="M49" s="164">
        <f t="shared" si="7"/>
        <v>0</v>
      </c>
      <c r="N49" s="165">
        <f>IF(ISERR(SEARCH("2d",#REF!)),IF(ISERR(SEARCH("1d",#REF!)),0,1),2)*($G49)*$H49/10^3+IF(ISERR(SEARCH("2n",#REF!)),IF(ISERR(SEARCH("1n",#REF!)),0,1),2)*($F49)*$H49/10^3</f>
        <v>0</v>
      </c>
      <c r="O49" s="165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P49" s="166">
        <f>IF(ISERR(SEARCH("2m",#REF!)),IF(ISERR(SEARCH("1m",#REF!)),0,1),2)*$G49*$F49*$H49/10^6+IF(ISERR(SEARCH("2d",#REF!)),IF(ISERR(SEARCH("1d",#REF!)),0,1),2)*$G49*$E49*$H49/10^6+IF(ISERR(SEARCH("2n",#REF!)),IF(ISERR(SEARCH("1n",#REF!)),0,1),2)*$F49*$E49*$H49/10^6</f>
        <v>0</v>
      </c>
      <c r="Q49" s="153" t="str">
        <f t="shared" si="3"/>
        <v/>
      </c>
      <c r="R49" s="153" t="str">
        <f t="shared" si="2"/>
        <v/>
      </c>
      <c r="S49" s="154" t="str">
        <f t="shared" si="4"/>
        <v>1000</v>
      </c>
      <c r="T49" s="153" t="str">
        <f>IFERROR(MATCH(#REF!,#REF!,0)&amp;",","")</f>
        <v/>
      </c>
      <c r="U49" s="154"/>
      <c r="Y49" s="155" t="str">
        <f t="shared" si="5"/>
        <v/>
      </c>
    </row>
    <row r="50" spans="1:25" s="155" customFormat="1" ht="30" hidden="1" customHeight="1">
      <c r="A50" s="141" t="str">
        <f t="shared" si="0"/>
        <v/>
      </c>
      <c r="B50" s="141" t="str">
        <f t="shared" si="1"/>
        <v/>
      </c>
      <c r="C50" s="157" t="str">
        <f>IF(D50="","",IFERROR((IF(LEFT(MID(D50,SEARCH("_",D50)+1,2),1)="0",(MID(D50,SEARCH("_",D50)+2,1)),MID(D50,SEARCH("_",D50)+1,2)))&amp;"."&amp;IF(LEFT(RIGHT(D50,2),1)="0",RIGHT(D50,1),RIGHT(D50,2)),MAX($C$12:$C49)+1))</f>
        <v/>
      </c>
      <c r="D50" s="158"/>
      <c r="E50" s="159"/>
      <c r="F50" s="159"/>
      <c r="G50" s="159"/>
      <c r="H50" s="159"/>
      <c r="I50" s="158"/>
      <c r="J50" s="161"/>
      <c r="K50" s="162"/>
      <c r="L50" s="163" t="str">
        <f t="shared" si="6"/>
        <v/>
      </c>
      <c r="M50" s="164">
        <f t="shared" si="7"/>
        <v>0</v>
      </c>
      <c r="N50" s="165">
        <f>IF(ISERR(SEARCH("2d",#REF!)),IF(ISERR(SEARCH("1d",#REF!)),0,1),2)*($G50)*$H50/10^3+IF(ISERR(SEARCH("2n",#REF!)),IF(ISERR(SEARCH("1n",#REF!)),0,1),2)*($F50)*$H50/10^3</f>
        <v>0</v>
      </c>
      <c r="O50" s="165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P50" s="166">
        <f>IF(ISERR(SEARCH("2m",#REF!)),IF(ISERR(SEARCH("1m",#REF!)),0,1),2)*$G50*$F50*$H50/10^6+IF(ISERR(SEARCH("2d",#REF!)),IF(ISERR(SEARCH("1d",#REF!)),0,1),2)*$G50*$E50*$H50/10^6+IF(ISERR(SEARCH("2n",#REF!)),IF(ISERR(SEARCH("1n",#REF!)),0,1),2)*$F50*$E50*$H50/10^6</f>
        <v>0</v>
      </c>
      <c r="Q50" s="153" t="str">
        <f t="shared" si="3"/>
        <v/>
      </c>
      <c r="R50" s="153" t="str">
        <f t="shared" si="2"/>
        <v/>
      </c>
      <c r="S50" s="154" t="str">
        <f t="shared" si="4"/>
        <v>1000</v>
      </c>
      <c r="T50" s="153" t="str">
        <f>IFERROR(MATCH(#REF!,#REF!,0)&amp;",","")</f>
        <v/>
      </c>
      <c r="U50" s="154"/>
      <c r="Y50" s="155" t="str">
        <f t="shared" si="5"/>
        <v/>
      </c>
    </row>
    <row r="51" spans="1:25" s="155" customFormat="1" ht="30" hidden="1" customHeight="1">
      <c r="A51" s="141" t="str">
        <f t="shared" si="0"/>
        <v/>
      </c>
      <c r="B51" s="141" t="str">
        <f t="shared" si="1"/>
        <v/>
      </c>
      <c r="C51" s="157" t="str">
        <f>IF(D51="","",IFERROR((IF(LEFT(MID(D51,SEARCH("_",D51)+1,2),1)="0",(MID(D51,SEARCH("_",D51)+2,1)),MID(D51,SEARCH("_",D51)+1,2)))&amp;"."&amp;IF(LEFT(RIGHT(D51,2),1)="0",RIGHT(D51,1),RIGHT(D51,2)),MAX($C$12:$C50)+1))</f>
        <v/>
      </c>
      <c r="D51" s="158"/>
      <c r="E51" s="159"/>
      <c r="F51" s="159"/>
      <c r="G51" s="159"/>
      <c r="H51" s="159"/>
      <c r="I51" s="158"/>
      <c r="J51" s="161"/>
      <c r="K51" s="162"/>
      <c r="L51" s="163" t="str">
        <f t="shared" si="6"/>
        <v/>
      </c>
      <c r="M51" s="164">
        <f t="shared" si="7"/>
        <v>0</v>
      </c>
      <c r="N51" s="165">
        <f>IF(ISERR(SEARCH("2d",#REF!)),IF(ISERR(SEARCH("1d",#REF!)),0,1),2)*($G51)*$H51/10^3+IF(ISERR(SEARCH("2n",#REF!)),IF(ISERR(SEARCH("1n",#REF!)),0,1),2)*($F51)*$H51/10^3</f>
        <v>0</v>
      </c>
      <c r="O51" s="165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P51" s="166">
        <f>IF(ISERR(SEARCH("2m",#REF!)),IF(ISERR(SEARCH("1m",#REF!)),0,1),2)*$G51*$F51*$H51/10^6+IF(ISERR(SEARCH("2d",#REF!)),IF(ISERR(SEARCH("1d",#REF!)),0,1),2)*$G51*$E51*$H51/10^6+IF(ISERR(SEARCH("2n",#REF!)),IF(ISERR(SEARCH("1n",#REF!)),0,1),2)*$F51*$E51*$H51/10^6</f>
        <v>0</v>
      </c>
      <c r="Q51" s="153" t="str">
        <f t="shared" si="3"/>
        <v/>
      </c>
      <c r="R51" s="153" t="str">
        <f t="shared" si="2"/>
        <v/>
      </c>
      <c r="S51" s="154" t="str">
        <f t="shared" si="4"/>
        <v>1000</v>
      </c>
      <c r="T51" s="153" t="str">
        <f>IFERROR(MATCH(#REF!,#REF!,0)&amp;",","")</f>
        <v/>
      </c>
      <c r="U51" s="154"/>
      <c r="Y51" s="155" t="str">
        <f t="shared" si="5"/>
        <v/>
      </c>
    </row>
    <row r="52" spans="1:25" s="155" customFormat="1" ht="30" hidden="1" customHeight="1">
      <c r="A52" s="141" t="str">
        <f t="shared" si="0"/>
        <v/>
      </c>
      <c r="B52" s="141" t="str">
        <f t="shared" si="1"/>
        <v/>
      </c>
      <c r="C52" s="157" t="str">
        <f>IF(D52="","",IFERROR((IF(LEFT(MID(D52,SEARCH("_",D52)+1,2),1)="0",(MID(D52,SEARCH("_",D52)+2,1)),MID(D52,SEARCH("_",D52)+1,2)))&amp;"."&amp;IF(LEFT(RIGHT(D52,2),1)="0",RIGHT(D52,1),RIGHT(D52,2)),MAX($C$12:$C51)+1))</f>
        <v/>
      </c>
      <c r="D52" s="158"/>
      <c r="E52" s="159"/>
      <c r="F52" s="159"/>
      <c r="G52" s="159"/>
      <c r="H52" s="159"/>
      <c r="I52" s="158"/>
      <c r="J52" s="161"/>
      <c r="K52" s="162"/>
      <c r="L52" s="163" t="str">
        <f t="shared" si="6"/>
        <v/>
      </c>
      <c r="M52" s="164">
        <f t="shared" si="7"/>
        <v>0</v>
      </c>
      <c r="N52" s="165">
        <f>IF(ISERR(SEARCH("2d",#REF!)),IF(ISERR(SEARCH("1d",#REF!)),0,1),2)*($G52)*$H52/10^3+IF(ISERR(SEARCH("2n",#REF!)),IF(ISERR(SEARCH("1n",#REF!)),0,1),2)*($F52)*$H52/10^3</f>
        <v>0</v>
      </c>
      <c r="O52" s="165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P52" s="166">
        <f>IF(ISERR(SEARCH("2m",#REF!)),IF(ISERR(SEARCH("1m",#REF!)),0,1),2)*$G52*$F52*$H52/10^6+IF(ISERR(SEARCH("2d",#REF!)),IF(ISERR(SEARCH("1d",#REF!)),0,1),2)*$G52*$E52*$H52/10^6+IF(ISERR(SEARCH("2n",#REF!)),IF(ISERR(SEARCH("1n",#REF!)),0,1),2)*$F52*$E52*$H52/10^6</f>
        <v>0</v>
      </c>
      <c r="Q52" s="153" t="str">
        <f t="shared" si="3"/>
        <v/>
      </c>
      <c r="R52" s="153" t="str">
        <f t="shared" si="2"/>
        <v/>
      </c>
      <c r="S52" s="154" t="str">
        <f t="shared" si="4"/>
        <v>1000</v>
      </c>
      <c r="T52" s="153" t="str">
        <f>IFERROR(MATCH(#REF!,#REF!,0)&amp;",","")</f>
        <v/>
      </c>
      <c r="U52" s="154"/>
      <c r="Y52" s="155" t="str">
        <f t="shared" si="5"/>
        <v/>
      </c>
    </row>
    <row r="53" spans="1:25" s="155" customFormat="1" ht="30" hidden="1" customHeight="1">
      <c r="A53" s="141" t="str">
        <f t="shared" si="0"/>
        <v/>
      </c>
      <c r="B53" s="141" t="str">
        <f t="shared" si="1"/>
        <v/>
      </c>
      <c r="C53" s="157" t="str">
        <f>IF(D53="","",IFERROR((IF(LEFT(MID(D53,SEARCH("_",D53)+1,2),1)="0",(MID(D53,SEARCH("_",D53)+2,1)),MID(D53,SEARCH("_",D53)+1,2)))&amp;"."&amp;IF(LEFT(RIGHT(D53,2),1)="0",RIGHT(D53,1),RIGHT(D53,2)),MAX($C$12:$C52)+1))</f>
        <v/>
      </c>
      <c r="D53" s="158"/>
      <c r="E53" s="159"/>
      <c r="F53" s="159"/>
      <c r="G53" s="159"/>
      <c r="H53" s="159"/>
      <c r="I53" s="158"/>
      <c r="J53" s="161"/>
      <c r="K53" s="162"/>
      <c r="L53" s="163" t="str">
        <f t="shared" si="6"/>
        <v/>
      </c>
      <c r="M53" s="164">
        <f t="shared" si="7"/>
        <v>0</v>
      </c>
      <c r="N53" s="165">
        <f>IF(ISERR(SEARCH("2d",#REF!)),IF(ISERR(SEARCH("1d",#REF!)),0,1),2)*($G53)*$H53/10^3+IF(ISERR(SEARCH("2n",#REF!)),IF(ISERR(SEARCH("1n",#REF!)),0,1),2)*($F53)*$H53/10^3</f>
        <v>0</v>
      </c>
      <c r="O53" s="165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P53" s="166">
        <f>IF(ISERR(SEARCH("2m",#REF!)),IF(ISERR(SEARCH("1m",#REF!)),0,1),2)*$G53*$F53*$H53/10^6+IF(ISERR(SEARCH("2d",#REF!)),IF(ISERR(SEARCH("1d",#REF!)),0,1),2)*$G53*$E53*$H53/10^6+IF(ISERR(SEARCH("2n",#REF!)),IF(ISERR(SEARCH("1n",#REF!)),0,1),2)*$F53*$E53*$H53/10^6</f>
        <v>0</v>
      </c>
      <c r="Q53" s="153" t="str">
        <f t="shared" si="3"/>
        <v/>
      </c>
      <c r="R53" s="153" t="str">
        <f t="shared" si="2"/>
        <v/>
      </c>
      <c r="S53" s="154" t="str">
        <f t="shared" si="4"/>
        <v>1000</v>
      </c>
      <c r="T53" s="153" t="str">
        <f>IFERROR(MATCH(#REF!,#REF!,0)&amp;",","")</f>
        <v/>
      </c>
      <c r="U53" s="154"/>
      <c r="Y53" s="155" t="str">
        <f t="shared" si="5"/>
        <v/>
      </c>
    </row>
    <row r="54" spans="1:25" s="155" customFormat="1" ht="30" hidden="1" customHeight="1">
      <c r="A54" s="141" t="str">
        <f t="shared" si="0"/>
        <v/>
      </c>
      <c r="B54" s="141" t="str">
        <f t="shared" si="1"/>
        <v/>
      </c>
      <c r="C54" s="157" t="str">
        <f>IF(D54="","",IFERROR((IF(LEFT(MID(D54,SEARCH("_",D54)+1,2),1)="0",(MID(D54,SEARCH("_",D54)+2,1)),MID(D54,SEARCH("_",D54)+1,2)))&amp;"."&amp;IF(LEFT(RIGHT(D54,2),1)="0",RIGHT(D54,1),RIGHT(D54,2)),MAX($C$12:$C53)+1))</f>
        <v/>
      </c>
      <c r="D54" s="158"/>
      <c r="E54" s="159"/>
      <c r="F54" s="159"/>
      <c r="G54" s="159"/>
      <c r="H54" s="159"/>
      <c r="I54" s="158"/>
      <c r="J54" s="161"/>
      <c r="K54" s="162"/>
      <c r="L54" s="163" t="str">
        <f t="shared" si="6"/>
        <v/>
      </c>
      <c r="M54" s="164">
        <f t="shared" si="7"/>
        <v>0</v>
      </c>
      <c r="N54" s="165">
        <f>IF(ISERR(SEARCH("2d",#REF!)),IF(ISERR(SEARCH("1d",#REF!)),0,1),2)*($G54)*$H54/10^3+IF(ISERR(SEARCH("2n",#REF!)),IF(ISERR(SEARCH("1n",#REF!)),0,1),2)*($F54)*$H54/10^3</f>
        <v>0</v>
      </c>
      <c r="O54" s="165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P54" s="166">
        <f>IF(ISERR(SEARCH("2m",#REF!)),IF(ISERR(SEARCH("1m",#REF!)),0,1),2)*$G54*$F54*$H54/10^6+IF(ISERR(SEARCH("2d",#REF!)),IF(ISERR(SEARCH("1d",#REF!)),0,1),2)*$G54*$E54*$H54/10^6+IF(ISERR(SEARCH("2n",#REF!)),IF(ISERR(SEARCH("1n",#REF!)),0,1),2)*$F54*$E54*$H54/10^6</f>
        <v>0</v>
      </c>
      <c r="Q54" s="153" t="str">
        <f t="shared" si="3"/>
        <v/>
      </c>
      <c r="R54" s="153" t="str">
        <f t="shared" si="2"/>
        <v/>
      </c>
      <c r="S54" s="154" t="str">
        <f t="shared" si="4"/>
        <v>1000</v>
      </c>
      <c r="T54" s="153" t="str">
        <f>IFERROR(MATCH(#REF!,#REF!,0)&amp;",","")</f>
        <v/>
      </c>
      <c r="U54" s="154"/>
      <c r="Y54" s="155" t="str">
        <f t="shared" si="5"/>
        <v/>
      </c>
    </row>
    <row r="55" spans="1:25" s="155" customFormat="1" ht="30" hidden="1" customHeight="1">
      <c r="A55" s="141" t="str">
        <f t="shared" si="0"/>
        <v/>
      </c>
      <c r="B55" s="141" t="str">
        <f t="shared" si="1"/>
        <v/>
      </c>
      <c r="C55" s="157" t="str">
        <f>IF(D55="","",IFERROR((IF(LEFT(MID(D55,SEARCH("_",D55)+1,2),1)="0",(MID(D55,SEARCH("_",D55)+2,1)),MID(D55,SEARCH("_",D55)+1,2)))&amp;"."&amp;IF(LEFT(RIGHT(D55,2),1)="0",RIGHT(D55,1),RIGHT(D55,2)),MAX($C$12:$C54)+1))</f>
        <v/>
      </c>
      <c r="D55" s="158"/>
      <c r="E55" s="159"/>
      <c r="F55" s="159"/>
      <c r="G55" s="159"/>
      <c r="H55" s="159"/>
      <c r="I55" s="158"/>
      <c r="J55" s="161"/>
      <c r="K55" s="162"/>
      <c r="L55" s="163" t="str">
        <f t="shared" si="6"/>
        <v/>
      </c>
      <c r="M55" s="164">
        <f t="shared" si="7"/>
        <v>0</v>
      </c>
      <c r="N55" s="165">
        <f>IF(ISERR(SEARCH("2d",#REF!)),IF(ISERR(SEARCH("1d",#REF!)),0,1),2)*($G55)*$H55/10^3+IF(ISERR(SEARCH("2n",#REF!)),IF(ISERR(SEARCH("1n",#REF!)),0,1),2)*($F55)*$H55/10^3</f>
        <v>0</v>
      </c>
      <c r="O55" s="165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P55" s="166">
        <f>IF(ISERR(SEARCH("2m",#REF!)),IF(ISERR(SEARCH("1m",#REF!)),0,1),2)*$G55*$F55*$H55/10^6+IF(ISERR(SEARCH("2d",#REF!)),IF(ISERR(SEARCH("1d",#REF!)),0,1),2)*$G55*$E55*$H55/10^6+IF(ISERR(SEARCH("2n",#REF!)),IF(ISERR(SEARCH("1n",#REF!)),0,1),2)*$F55*$E55*$H55/10^6</f>
        <v>0</v>
      </c>
      <c r="Q55" s="153" t="str">
        <f t="shared" si="3"/>
        <v/>
      </c>
      <c r="R55" s="153" t="str">
        <f t="shared" si="2"/>
        <v/>
      </c>
      <c r="S55" s="154" t="str">
        <f t="shared" si="4"/>
        <v>1000</v>
      </c>
      <c r="T55" s="153" t="str">
        <f>IFERROR(MATCH(#REF!,#REF!,0)&amp;",","")</f>
        <v/>
      </c>
      <c r="U55" s="154"/>
      <c r="Y55" s="155" t="str">
        <f t="shared" si="5"/>
        <v/>
      </c>
    </row>
    <row r="56" spans="1:25" s="155" customFormat="1" ht="30" hidden="1" customHeight="1">
      <c r="A56" s="141" t="str">
        <f t="shared" si="0"/>
        <v/>
      </c>
      <c r="B56" s="141" t="str">
        <f t="shared" si="1"/>
        <v/>
      </c>
      <c r="C56" s="157" t="str">
        <f>IF(D56="","",IFERROR((IF(LEFT(MID(D56,SEARCH("_",D56)+1,2),1)="0",(MID(D56,SEARCH("_",D56)+2,1)),MID(D56,SEARCH("_",D56)+1,2)))&amp;"."&amp;IF(LEFT(RIGHT(D56,2),1)="0",RIGHT(D56,1),RIGHT(D56,2)),MAX($C$12:$C55)+1))</f>
        <v/>
      </c>
      <c r="D56" s="158"/>
      <c r="E56" s="159"/>
      <c r="F56" s="159"/>
      <c r="G56" s="159"/>
      <c r="H56" s="159"/>
      <c r="I56" s="158"/>
      <c r="J56" s="161"/>
      <c r="K56" s="162"/>
      <c r="L56" s="163" t="str">
        <f t="shared" si="6"/>
        <v/>
      </c>
      <c r="M56" s="164">
        <f t="shared" si="7"/>
        <v>0</v>
      </c>
      <c r="N56" s="165">
        <f>IF(ISERR(SEARCH("2d",#REF!)),IF(ISERR(SEARCH("1d",#REF!)),0,1),2)*($G56)*$H56/10^3+IF(ISERR(SEARCH("2n",#REF!)),IF(ISERR(SEARCH("1n",#REF!)),0,1),2)*($F56)*$H56/10^3</f>
        <v>0</v>
      </c>
      <c r="O56" s="165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P56" s="166">
        <f>IF(ISERR(SEARCH("2m",#REF!)),IF(ISERR(SEARCH("1m",#REF!)),0,1),2)*$G56*$F56*$H56/10^6+IF(ISERR(SEARCH("2d",#REF!)),IF(ISERR(SEARCH("1d",#REF!)),0,1),2)*$G56*$E56*$H56/10^6+IF(ISERR(SEARCH("2n",#REF!)),IF(ISERR(SEARCH("1n",#REF!)),0,1),2)*$F56*$E56*$H56/10^6</f>
        <v>0</v>
      </c>
      <c r="Q56" s="153" t="str">
        <f t="shared" si="3"/>
        <v/>
      </c>
      <c r="R56" s="153" t="str">
        <f t="shared" si="2"/>
        <v/>
      </c>
      <c r="S56" s="154" t="str">
        <f t="shared" si="4"/>
        <v>1000</v>
      </c>
      <c r="T56" s="153" t="str">
        <f>IFERROR(MATCH(#REF!,#REF!,0)&amp;",","")</f>
        <v/>
      </c>
      <c r="U56" s="154"/>
      <c r="Y56" s="155" t="str">
        <f t="shared" si="5"/>
        <v/>
      </c>
    </row>
    <row r="57" spans="1:25" s="155" customFormat="1" ht="30" hidden="1" customHeight="1">
      <c r="A57" s="141" t="str">
        <f t="shared" si="0"/>
        <v/>
      </c>
      <c r="B57" s="141" t="str">
        <f t="shared" si="1"/>
        <v/>
      </c>
      <c r="C57" s="157" t="str">
        <f>IF(D57="","",IFERROR((IF(LEFT(MID(D57,SEARCH("_",D57)+1,2),1)="0",(MID(D57,SEARCH("_",D57)+2,1)),MID(D57,SEARCH("_",D57)+1,2)))&amp;"."&amp;IF(LEFT(RIGHT(D57,2),1)="0",RIGHT(D57,1),RIGHT(D57,2)),MAX($C$12:$C56)+1))</f>
        <v/>
      </c>
      <c r="D57" s="158"/>
      <c r="E57" s="159"/>
      <c r="F57" s="159"/>
      <c r="G57" s="159"/>
      <c r="H57" s="159"/>
      <c r="I57" s="158"/>
      <c r="J57" s="161"/>
      <c r="K57" s="162"/>
      <c r="L57" s="163" t="str">
        <f t="shared" si="6"/>
        <v/>
      </c>
      <c r="M57" s="164">
        <f t="shared" si="7"/>
        <v>0</v>
      </c>
      <c r="N57" s="165">
        <f>IF(ISERR(SEARCH("2d",#REF!)),IF(ISERR(SEARCH("1d",#REF!)),0,1),2)*($G57)*$H57/10^3+IF(ISERR(SEARCH("2n",#REF!)),IF(ISERR(SEARCH("1n",#REF!)),0,1),2)*($F57)*$H57/10^3</f>
        <v>0</v>
      </c>
      <c r="O57" s="165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P57" s="166">
        <f>IF(ISERR(SEARCH("2m",#REF!)),IF(ISERR(SEARCH("1m",#REF!)),0,1),2)*$G57*$F57*$H57/10^6+IF(ISERR(SEARCH("2d",#REF!)),IF(ISERR(SEARCH("1d",#REF!)),0,1),2)*$G57*$E57*$H57/10^6+IF(ISERR(SEARCH("2n",#REF!)),IF(ISERR(SEARCH("1n",#REF!)),0,1),2)*$F57*$E57*$H57/10^6</f>
        <v>0</v>
      </c>
      <c r="Q57" s="153" t="str">
        <f t="shared" si="3"/>
        <v/>
      </c>
      <c r="R57" s="153" t="str">
        <f t="shared" si="2"/>
        <v/>
      </c>
      <c r="S57" s="154" t="str">
        <f t="shared" si="4"/>
        <v>1000</v>
      </c>
      <c r="T57" s="153" t="str">
        <f>IFERROR(MATCH(#REF!,#REF!,0)&amp;",","")</f>
        <v/>
      </c>
      <c r="U57" s="154"/>
      <c r="Y57" s="155" t="str">
        <f t="shared" si="5"/>
        <v/>
      </c>
    </row>
    <row r="58" spans="1:25" s="155" customFormat="1" ht="30" hidden="1" customHeight="1">
      <c r="A58" s="141" t="str">
        <f t="shared" si="0"/>
        <v/>
      </c>
      <c r="B58" s="141" t="str">
        <f t="shared" si="1"/>
        <v/>
      </c>
      <c r="C58" s="157" t="str">
        <f>IF(D58="","",IFERROR((IF(LEFT(MID(D58,SEARCH("_",D58)+1,2),1)="0",(MID(D58,SEARCH("_",D58)+2,1)),MID(D58,SEARCH("_",D58)+1,2)))&amp;"."&amp;IF(LEFT(RIGHT(D58,2),1)="0",RIGHT(D58,1),RIGHT(D58,2)),MAX($C$12:$C57)+1))</f>
        <v/>
      </c>
      <c r="D58" s="158"/>
      <c r="E58" s="159"/>
      <c r="F58" s="159"/>
      <c r="G58" s="159"/>
      <c r="H58" s="159"/>
      <c r="I58" s="158"/>
      <c r="J58" s="161"/>
      <c r="K58" s="162"/>
      <c r="L58" s="163" t="str">
        <f t="shared" si="6"/>
        <v/>
      </c>
      <c r="M58" s="164">
        <f t="shared" si="7"/>
        <v>0</v>
      </c>
      <c r="N58" s="165">
        <f>IF(ISERR(SEARCH("2d",#REF!)),IF(ISERR(SEARCH("1d",#REF!)),0,1),2)*($G58)*$H58/10^3+IF(ISERR(SEARCH("2n",#REF!)),IF(ISERR(SEARCH("1n",#REF!)),0,1),2)*($F58)*$H58/10^3</f>
        <v>0</v>
      </c>
      <c r="O58" s="165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P58" s="166">
        <f>IF(ISERR(SEARCH("2m",#REF!)),IF(ISERR(SEARCH("1m",#REF!)),0,1),2)*$G58*$F58*$H58/10^6+IF(ISERR(SEARCH("2d",#REF!)),IF(ISERR(SEARCH("1d",#REF!)),0,1),2)*$G58*$E58*$H58/10^6+IF(ISERR(SEARCH("2n",#REF!)),IF(ISERR(SEARCH("1n",#REF!)),0,1),2)*$F58*$E58*$H58/10^6</f>
        <v>0</v>
      </c>
      <c r="Q58" s="153" t="str">
        <f t="shared" si="3"/>
        <v/>
      </c>
      <c r="R58" s="153" t="str">
        <f t="shared" si="2"/>
        <v/>
      </c>
      <c r="S58" s="154" t="str">
        <f t="shared" si="4"/>
        <v>1000</v>
      </c>
      <c r="T58" s="153" t="str">
        <f>IFERROR(MATCH(#REF!,#REF!,0)&amp;",","")</f>
        <v/>
      </c>
      <c r="U58" s="154"/>
      <c r="Y58" s="155" t="str">
        <f t="shared" si="5"/>
        <v/>
      </c>
    </row>
    <row r="59" spans="1:25" s="155" customFormat="1" ht="30" hidden="1" customHeight="1">
      <c r="A59" s="141" t="str">
        <f t="shared" si="0"/>
        <v/>
      </c>
      <c r="B59" s="141" t="str">
        <f t="shared" si="1"/>
        <v/>
      </c>
      <c r="C59" s="157" t="str">
        <f>IF(D59="","",IFERROR((IF(LEFT(MID(D59,SEARCH("_",D59)+1,2),1)="0",(MID(D59,SEARCH("_",D59)+2,1)),MID(D59,SEARCH("_",D59)+1,2)))&amp;"."&amp;IF(LEFT(RIGHT(D59,2),1)="0",RIGHT(D59,1),RIGHT(D59,2)),MAX($C$12:$C58)+1))</f>
        <v/>
      </c>
      <c r="D59" s="158"/>
      <c r="E59" s="159"/>
      <c r="F59" s="159"/>
      <c r="G59" s="159"/>
      <c r="H59" s="159"/>
      <c r="I59" s="158"/>
      <c r="J59" s="161"/>
      <c r="K59" s="162"/>
      <c r="L59" s="163" t="str">
        <f t="shared" si="6"/>
        <v/>
      </c>
      <c r="M59" s="164">
        <f t="shared" si="7"/>
        <v>0</v>
      </c>
      <c r="N59" s="165">
        <f>IF(ISERR(SEARCH("2d",#REF!)),IF(ISERR(SEARCH("1d",#REF!)),0,1),2)*($G59)*$H59/10^3+IF(ISERR(SEARCH("2n",#REF!)),IF(ISERR(SEARCH("1n",#REF!)),0,1),2)*($F59)*$H59/10^3</f>
        <v>0</v>
      </c>
      <c r="O59" s="165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P59" s="166">
        <f>IF(ISERR(SEARCH("2m",#REF!)),IF(ISERR(SEARCH("1m",#REF!)),0,1),2)*$G59*$F59*$H59/10^6+IF(ISERR(SEARCH("2d",#REF!)),IF(ISERR(SEARCH("1d",#REF!)),0,1),2)*$G59*$E59*$H59/10^6+IF(ISERR(SEARCH("2n",#REF!)),IF(ISERR(SEARCH("1n",#REF!)),0,1),2)*$F59*$E59*$H59/10^6</f>
        <v>0</v>
      </c>
      <c r="Q59" s="153" t="str">
        <f t="shared" si="3"/>
        <v/>
      </c>
      <c r="R59" s="153" t="str">
        <f t="shared" si="2"/>
        <v/>
      </c>
      <c r="S59" s="154" t="str">
        <f t="shared" si="4"/>
        <v>1000</v>
      </c>
      <c r="T59" s="153" t="str">
        <f>IFERROR(MATCH(#REF!,#REF!,0)&amp;",","")</f>
        <v/>
      </c>
      <c r="U59" s="154"/>
      <c r="Y59" s="155" t="str">
        <f t="shared" si="5"/>
        <v/>
      </c>
    </row>
    <row r="60" spans="1:25" s="155" customFormat="1" ht="30" hidden="1" customHeight="1">
      <c r="A60" s="141" t="str">
        <f t="shared" si="0"/>
        <v/>
      </c>
      <c r="B60" s="141" t="str">
        <f t="shared" si="1"/>
        <v/>
      </c>
      <c r="C60" s="157" t="str">
        <f>IF(D60="","",IFERROR((IF(LEFT(MID(D60,SEARCH("_",D60)+1,2),1)="0",(MID(D60,SEARCH("_",D60)+2,1)),MID(D60,SEARCH("_",D60)+1,2)))&amp;"."&amp;IF(LEFT(RIGHT(D60,2),1)="0",RIGHT(D60,1),RIGHT(D60,2)),MAX($C$12:$C59)+1))</f>
        <v/>
      </c>
      <c r="D60" s="158"/>
      <c r="E60" s="159"/>
      <c r="F60" s="159"/>
      <c r="G60" s="159"/>
      <c r="H60" s="159"/>
      <c r="I60" s="158"/>
      <c r="J60" s="161"/>
      <c r="K60" s="162"/>
      <c r="L60" s="163" t="str">
        <f t="shared" si="6"/>
        <v/>
      </c>
      <c r="M60" s="164">
        <f t="shared" si="7"/>
        <v>0</v>
      </c>
      <c r="N60" s="165">
        <f>IF(ISERR(SEARCH("2d",#REF!)),IF(ISERR(SEARCH("1d",#REF!)),0,1),2)*($G60)*$H60/10^3+IF(ISERR(SEARCH("2n",#REF!)),IF(ISERR(SEARCH("1n",#REF!)),0,1),2)*($F60)*$H60/10^3</f>
        <v>0</v>
      </c>
      <c r="O60" s="165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P60" s="166">
        <f>IF(ISERR(SEARCH("2m",#REF!)),IF(ISERR(SEARCH("1m",#REF!)),0,1),2)*$G60*$F60*$H60/10^6+IF(ISERR(SEARCH("2d",#REF!)),IF(ISERR(SEARCH("1d",#REF!)),0,1),2)*$G60*$E60*$H60/10^6+IF(ISERR(SEARCH("2n",#REF!)),IF(ISERR(SEARCH("1n",#REF!)),0,1),2)*$F60*$E60*$H60/10^6</f>
        <v>0</v>
      </c>
      <c r="Q60" s="153" t="str">
        <f t="shared" si="3"/>
        <v/>
      </c>
      <c r="R60" s="153" t="str">
        <f t="shared" si="2"/>
        <v/>
      </c>
      <c r="S60" s="154" t="str">
        <f t="shared" si="4"/>
        <v>1000</v>
      </c>
      <c r="T60" s="153" t="str">
        <f>IFERROR(MATCH(#REF!,#REF!,0)&amp;",","")</f>
        <v/>
      </c>
      <c r="U60" s="154"/>
      <c r="Y60" s="155" t="str">
        <f t="shared" si="5"/>
        <v/>
      </c>
    </row>
    <row r="61" spans="1:25" s="155" customFormat="1" ht="30" hidden="1" customHeight="1">
      <c r="A61" s="141" t="str">
        <f t="shared" si="0"/>
        <v/>
      </c>
      <c r="B61" s="141" t="str">
        <f t="shared" si="1"/>
        <v/>
      </c>
      <c r="C61" s="157" t="str">
        <f>IF(D61="","",IFERROR((IF(LEFT(MID(D61,SEARCH("_",D61)+1,2),1)="0",(MID(D61,SEARCH("_",D61)+2,1)),MID(D61,SEARCH("_",D61)+1,2)))&amp;"."&amp;IF(LEFT(RIGHT(D61,2),1)="0",RIGHT(D61,1),RIGHT(D61,2)),MAX($C$12:$C60)+1))</f>
        <v/>
      </c>
      <c r="D61" s="158"/>
      <c r="E61" s="159"/>
      <c r="F61" s="159"/>
      <c r="G61" s="159"/>
      <c r="H61" s="159"/>
      <c r="I61" s="158"/>
      <c r="J61" s="161"/>
      <c r="K61" s="162"/>
      <c r="L61" s="163" t="str">
        <f t="shared" si="6"/>
        <v/>
      </c>
      <c r="M61" s="164">
        <f t="shared" si="7"/>
        <v>0</v>
      </c>
      <c r="N61" s="165">
        <f>IF(ISERR(SEARCH("2d",#REF!)),IF(ISERR(SEARCH("1d",#REF!)),0,1),2)*($G61)*$H61/10^3+IF(ISERR(SEARCH("2n",#REF!)),IF(ISERR(SEARCH("1n",#REF!)),0,1),2)*($F61)*$H61/10^3</f>
        <v>0</v>
      </c>
      <c r="O61" s="165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P61" s="166">
        <f>IF(ISERR(SEARCH("2m",#REF!)),IF(ISERR(SEARCH("1m",#REF!)),0,1),2)*$G61*$F61*$H61/10^6+IF(ISERR(SEARCH("2d",#REF!)),IF(ISERR(SEARCH("1d",#REF!)),0,1),2)*$G61*$E61*$H61/10^6+IF(ISERR(SEARCH("2n",#REF!)),IF(ISERR(SEARCH("1n",#REF!)),0,1),2)*$F61*$E61*$H61/10^6</f>
        <v>0</v>
      </c>
      <c r="Q61" s="153" t="str">
        <f t="shared" si="3"/>
        <v/>
      </c>
      <c r="R61" s="153" t="str">
        <f t="shared" si="2"/>
        <v/>
      </c>
      <c r="S61" s="154" t="str">
        <f t="shared" si="4"/>
        <v>1000</v>
      </c>
      <c r="T61" s="153" t="str">
        <f>IFERROR(MATCH(#REF!,#REF!,0)&amp;",","")</f>
        <v/>
      </c>
      <c r="U61" s="154"/>
      <c r="Y61" s="155" t="str">
        <f t="shared" si="5"/>
        <v/>
      </c>
    </row>
    <row r="62" spans="1:25" s="155" customFormat="1" ht="30" hidden="1" customHeight="1">
      <c r="A62" s="141" t="str">
        <f t="shared" si="0"/>
        <v/>
      </c>
      <c r="B62" s="141" t="str">
        <f t="shared" si="1"/>
        <v/>
      </c>
      <c r="C62" s="157" t="str">
        <f>IF(D62="","",IFERROR((IF(LEFT(MID(D62,SEARCH("_",D62)+1,2),1)="0",(MID(D62,SEARCH("_",D62)+2,1)),MID(D62,SEARCH("_",D62)+1,2)))&amp;"."&amp;IF(LEFT(RIGHT(D62,2),1)="0",RIGHT(D62,1),RIGHT(D62,2)),MAX($C$12:$C61)+1))</f>
        <v/>
      </c>
      <c r="D62" s="158"/>
      <c r="E62" s="159"/>
      <c r="F62" s="159"/>
      <c r="G62" s="159"/>
      <c r="H62" s="159"/>
      <c r="I62" s="158"/>
      <c r="J62" s="161"/>
      <c r="K62" s="162"/>
      <c r="L62" s="163" t="str">
        <f t="shared" si="6"/>
        <v/>
      </c>
      <c r="M62" s="164">
        <f t="shared" si="7"/>
        <v>0</v>
      </c>
      <c r="N62" s="165">
        <f>IF(ISERR(SEARCH("2d",#REF!)),IF(ISERR(SEARCH("1d",#REF!)),0,1),2)*($G62)*$H62/10^3+IF(ISERR(SEARCH("2n",#REF!)),IF(ISERR(SEARCH("1n",#REF!)),0,1),2)*($F62)*$H62/10^3</f>
        <v>0</v>
      </c>
      <c r="O62" s="165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P62" s="166">
        <f>IF(ISERR(SEARCH("2m",#REF!)),IF(ISERR(SEARCH("1m",#REF!)),0,1),2)*$G62*$F62*$H62/10^6+IF(ISERR(SEARCH("2d",#REF!)),IF(ISERR(SEARCH("1d",#REF!)),0,1),2)*$G62*$E62*$H62/10^6+IF(ISERR(SEARCH("2n",#REF!)),IF(ISERR(SEARCH("1n",#REF!)),0,1),2)*$F62*$E62*$H62/10^6</f>
        <v>0</v>
      </c>
      <c r="Q62" s="153" t="str">
        <f t="shared" si="3"/>
        <v/>
      </c>
      <c r="R62" s="153" t="str">
        <f t="shared" si="2"/>
        <v/>
      </c>
      <c r="S62" s="154" t="str">
        <f t="shared" si="4"/>
        <v>1000</v>
      </c>
      <c r="T62" s="153" t="str">
        <f>IFERROR(MATCH(#REF!,#REF!,0)&amp;",","")</f>
        <v/>
      </c>
      <c r="U62" s="154"/>
      <c r="Y62" s="155" t="str">
        <f t="shared" si="5"/>
        <v/>
      </c>
    </row>
    <row r="63" spans="1:25" s="155" customFormat="1" ht="30" hidden="1" customHeight="1">
      <c r="A63" s="141" t="str">
        <f t="shared" si="0"/>
        <v/>
      </c>
      <c r="B63" s="141" t="str">
        <f t="shared" si="1"/>
        <v/>
      </c>
      <c r="C63" s="157" t="str">
        <f>IF(D63="","",IFERROR((IF(LEFT(MID(D63,SEARCH("_",D63)+1,2),1)="0",(MID(D63,SEARCH("_",D63)+2,1)),MID(D63,SEARCH("_",D63)+1,2)))&amp;"."&amp;IF(LEFT(RIGHT(D63,2),1)="0",RIGHT(D63,1),RIGHT(D63,2)),MAX($C$12:$C62)+1))</f>
        <v/>
      </c>
      <c r="D63" s="158"/>
      <c r="E63" s="159"/>
      <c r="F63" s="159"/>
      <c r="G63" s="159"/>
      <c r="H63" s="159"/>
      <c r="I63" s="158"/>
      <c r="J63" s="161"/>
      <c r="K63" s="162"/>
      <c r="L63" s="163" t="str">
        <f t="shared" si="6"/>
        <v/>
      </c>
      <c r="M63" s="164">
        <f t="shared" si="7"/>
        <v>0</v>
      </c>
      <c r="N63" s="165">
        <f>IF(ISERR(SEARCH("2d",#REF!)),IF(ISERR(SEARCH("1d",#REF!)),0,1),2)*($G63)*$H63/10^3+IF(ISERR(SEARCH("2n",#REF!)),IF(ISERR(SEARCH("1n",#REF!)),0,1),2)*($F63)*$H63/10^3</f>
        <v>0</v>
      </c>
      <c r="O63" s="165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P63" s="166">
        <f>IF(ISERR(SEARCH("2m",#REF!)),IF(ISERR(SEARCH("1m",#REF!)),0,1),2)*$G63*$F63*$H63/10^6+IF(ISERR(SEARCH("2d",#REF!)),IF(ISERR(SEARCH("1d",#REF!)),0,1),2)*$G63*$E63*$H63/10^6+IF(ISERR(SEARCH("2n",#REF!)),IF(ISERR(SEARCH("1n",#REF!)),0,1),2)*$F63*$E63*$H63/10^6</f>
        <v>0</v>
      </c>
      <c r="Q63" s="153" t="str">
        <f t="shared" si="3"/>
        <v/>
      </c>
      <c r="R63" s="153" t="str">
        <f t="shared" si="2"/>
        <v/>
      </c>
      <c r="S63" s="154" t="str">
        <f t="shared" si="4"/>
        <v>1000</v>
      </c>
      <c r="T63" s="153" t="str">
        <f>IFERROR(MATCH(#REF!,#REF!,0)&amp;",","")</f>
        <v/>
      </c>
      <c r="U63" s="154"/>
      <c r="Y63" s="155" t="str">
        <f t="shared" si="5"/>
        <v/>
      </c>
    </row>
    <row r="64" spans="1:25" s="155" customFormat="1" ht="30" hidden="1" customHeight="1">
      <c r="A64" s="141" t="str">
        <f t="shared" si="0"/>
        <v/>
      </c>
      <c r="B64" s="141" t="str">
        <f t="shared" si="1"/>
        <v/>
      </c>
      <c r="C64" s="157" t="str">
        <f>IF(D64="","",IFERROR((IF(LEFT(MID(D64,SEARCH("_",D64)+1,2),1)="0",(MID(D64,SEARCH("_",D64)+2,1)),MID(D64,SEARCH("_",D64)+1,2)))&amp;"."&amp;IF(LEFT(RIGHT(D64,2),1)="0",RIGHT(D64,1),RIGHT(D64,2)),MAX($C$12:$C63)+1))</f>
        <v/>
      </c>
      <c r="D64" s="158"/>
      <c r="E64" s="159"/>
      <c r="F64" s="159"/>
      <c r="G64" s="159"/>
      <c r="H64" s="159"/>
      <c r="I64" s="158"/>
      <c r="J64" s="161"/>
      <c r="K64" s="162"/>
      <c r="L64" s="163" t="str">
        <f t="shared" si="6"/>
        <v/>
      </c>
      <c r="M64" s="164">
        <f t="shared" si="7"/>
        <v>0</v>
      </c>
      <c r="N64" s="165">
        <f>IF(ISERR(SEARCH("2d",#REF!)),IF(ISERR(SEARCH("1d",#REF!)),0,1),2)*($G64)*$H64/10^3+IF(ISERR(SEARCH("2n",#REF!)),IF(ISERR(SEARCH("1n",#REF!)),0,1),2)*($F64)*$H64/10^3</f>
        <v>0</v>
      </c>
      <c r="O64" s="165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P64" s="166">
        <f>IF(ISERR(SEARCH("2m",#REF!)),IF(ISERR(SEARCH("1m",#REF!)),0,1),2)*$G64*$F64*$H64/10^6+IF(ISERR(SEARCH("2d",#REF!)),IF(ISERR(SEARCH("1d",#REF!)),0,1),2)*$G64*$E64*$H64/10^6+IF(ISERR(SEARCH("2n",#REF!)),IF(ISERR(SEARCH("1n",#REF!)),0,1),2)*$F64*$E64*$H64/10^6</f>
        <v>0</v>
      </c>
      <c r="Q64" s="153" t="str">
        <f t="shared" si="3"/>
        <v/>
      </c>
      <c r="R64" s="153" t="str">
        <f t="shared" si="2"/>
        <v/>
      </c>
      <c r="S64" s="154" t="str">
        <f t="shared" si="4"/>
        <v>1000</v>
      </c>
      <c r="T64" s="153" t="str">
        <f>IFERROR(MATCH(#REF!,#REF!,0)&amp;",","")</f>
        <v/>
      </c>
      <c r="U64" s="154"/>
      <c r="Y64" s="155" t="str">
        <f t="shared" si="5"/>
        <v/>
      </c>
    </row>
    <row r="65" spans="1:25" s="155" customFormat="1" ht="30" hidden="1" customHeight="1">
      <c r="A65" s="141" t="str">
        <f t="shared" si="0"/>
        <v/>
      </c>
      <c r="B65" s="141" t="str">
        <f t="shared" si="1"/>
        <v/>
      </c>
      <c r="C65" s="157" t="str">
        <f>IF(D65="","",IFERROR((IF(LEFT(MID(D65,SEARCH("_",D65)+1,2),1)="0",(MID(D65,SEARCH("_",D65)+2,1)),MID(D65,SEARCH("_",D65)+1,2)))&amp;"."&amp;IF(LEFT(RIGHT(D65,2),1)="0",RIGHT(D65,1),RIGHT(D65,2)),MAX($C$12:$C64)+1))</f>
        <v/>
      </c>
      <c r="D65" s="158"/>
      <c r="E65" s="159"/>
      <c r="F65" s="159"/>
      <c r="G65" s="159"/>
      <c r="H65" s="159"/>
      <c r="I65" s="158"/>
      <c r="J65" s="161"/>
      <c r="K65" s="162"/>
      <c r="L65" s="163" t="str">
        <f t="shared" si="6"/>
        <v/>
      </c>
      <c r="M65" s="164">
        <f t="shared" si="7"/>
        <v>0</v>
      </c>
      <c r="N65" s="165">
        <f>IF(ISERR(SEARCH("2d",#REF!)),IF(ISERR(SEARCH("1d",#REF!)),0,1),2)*($G65)*$H65/10^3+IF(ISERR(SEARCH("2n",#REF!)),IF(ISERR(SEARCH("1n",#REF!)),0,1),2)*($F65)*$H65/10^3</f>
        <v>0</v>
      </c>
      <c r="O65" s="165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P65" s="166">
        <f>IF(ISERR(SEARCH("2m",#REF!)),IF(ISERR(SEARCH("1m",#REF!)),0,1),2)*$G65*$F65*$H65/10^6+IF(ISERR(SEARCH("2d",#REF!)),IF(ISERR(SEARCH("1d",#REF!)),0,1),2)*$G65*$E65*$H65/10^6+IF(ISERR(SEARCH("2n",#REF!)),IF(ISERR(SEARCH("1n",#REF!)),0,1),2)*$F65*$E65*$H65/10^6</f>
        <v>0</v>
      </c>
      <c r="Q65" s="153" t="str">
        <f t="shared" si="3"/>
        <v/>
      </c>
      <c r="R65" s="153" t="str">
        <f t="shared" si="2"/>
        <v/>
      </c>
      <c r="S65" s="154" t="str">
        <f t="shared" si="4"/>
        <v>1000</v>
      </c>
      <c r="T65" s="153" t="str">
        <f>IFERROR(MATCH(#REF!,#REF!,0)&amp;",","")</f>
        <v/>
      </c>
      <c r="U65" s="154"/>
      <c r="Y65" s="155" t="str">
        <f t="shared" si="5"/>
        <v/>
      </c>
    </row>
    <row r="66" spans="1:25" s="155" customFormat="1" ht="30" hidden="1" customHeight="1">
      <c r="A66" s="141" t="str">
        <f t="shared" si="0"/>
        <v/>
      </c>
      <c r="B66" s="141" t="str">
        <f t="shared" si="1"/>
        <v/>
      </c>
      <c r="C66" s="157" t="str">
        <f>IF(D66="","",IFERROR((IF(LEFT(MID(D66,SEARCH("_",D66)+1,2),1)="0",(MID(D66,SEARCH("_",D66)+2,1)),MID(D66,SEARCH("_",D66)+1,2)))&amp;"."&amp;IF(LEFT(RIGHT(D66,2),1)="0",RIGHT(D66,1),RIGHT(D66,2)),MAX($C$12:$C65)+1))</f>
        <v/>
      </c>
      <c r="D66" s="158"/>
      <c r="E66" s="159"/>
      <c r="F66" s="159"/>
      <c r="G66" s="159"/>
      <c r="H66" s="159"/>
      <c r="I66" s="158"/>
      <c r="J66" s="161"/>
      <c r="K66" s="162"/>
      <c r="L66" s="163" t="str">
        <f t="shared" si="6"/>
        <v/>
      </c>
      <c r="M66" s="164">
        <f t="shared" si="7"/>
        <v>0</v>
      </c>
      <c r="N66" s="165">
        <f>IF(ISERR(SEARCH("2d",#REF!)),IF(ISERR(SEARCH("1d",#REF!)),0,1),2)*($G66)*$H66/10^3+IF(ISERR(SEARCH("2n",#REF!)),IF(ISERR(SEARCH("1n",#REF!)),0,1),2)*($F66)*$H66/10^3</f>
        <v>0</v>
      </c>
      <c r="O66" s="165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P66" s="166">
        <f>IF(ISERR(SEARCH("2m",#REF!)),IF(ISERR(SEARCH("1m",#REF!)),0,1),2)*$G66*$F66*$H66/10^6+IF(ISERR(SEARCH("2d",#REF!)),IF(ISERR(SEARCH("1d",#REF!)),0,1),2)*$G66*$E66*$H66/10^6+IF(ISERR(SEARCH("2n",#REF!)),IF(ISERR(SEARCH("1n",#REF!)),0,1),2)*$F66*$E66*$H66/10^6</f>
        <v>0</v>
      </c>
      <c r="Q66" s="153" t="str">
        <f t="shared" si="3"/>
        <v/>
      </c>
      <c r="R66" s="153" t="str">
        <f t="shared" si="2"/>
        <v/>
      </c>
      <c r="S66" s="154" t="str">
        <f t="shared" si="4"/>
        <v>1000</v>
      </c>
      <c r="T66" s="153" t="str">
        <f>IFERROR(MATCH(#REF!,#REF!,0)&amp;",","")</f>
        <v/>
      </c>
      <c r="U66" s="154"/>
      <c r="Y66" s="155" t="str">
        <f t="shared" si="5"/>
        <v/>
      </c>
    </row>
    <row r="67" spans="1:25" s="155" customFormat="1" ht="30" hidden="1" customHeight="1">
      <c r="A67" s="141" t="str">
        <f t="shared" si="0"/>
        <v/>
      </c>
      <c r="B67" s="141" t="str">
        <f t="shared" si="1"/>
        <v/>
      </c>
      <c r="C67" s="157" t="str">
        <f>IF(D67="","",IFERROR((IF(LEFT(MID(D67,SEARCH("_",D67)+1,2),1)="0",(MID(D67,SEARCH("_",D67)+2,1)),MID(D67,SEARCH("_",D67)+1,2)))&amp;"."&amp;IF(LEFT(RIGHT(D67,2),1)="0",RIGHT(D67,1),RIGHT(D67,2)),MAX($C$12:$C66)+1))</f>
        <v/>
      </c>
      <c r="D67" s="158"/>
      <c r="E67" s="159"/>
      <c r="F67" s="159"/>
      <c r="G67" s="159"/>
      <c r="H67" s="159"/>
      <c r="I67" s="158"/>
      <c r="J67" s="161"/>
      <c r="K67" s="162"/>
      <c r="L67" s="163" t="str">
        <f t="shared" si="6"/>
        <v/>
      </c>
      <c r="M67" s="164">
        <f t="shared" si="7"/>
        <v>0</v>
      </c>
      <c r="N67" s="165">
        <f>IF(ISERR(SEARCH("2d",#REF!)),IF(ISERR(SEARCH("1d",#REF!)),0,1),2)*($G67)*$H67/10^3+IF(ISERR(SEARCH("2n",#REF!)),IF(ISERR(SEARCH("1n",#REF!)),0,1),2)*($F67)*$H67/10^3</f>
        <v>0</v>
      </c>
      <c r="O67" s="165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P67" s="166">
        <f>IF(ISERR(SEARCH("2m",#REF!)),IF(ISERR(SEARCH("1m",#REF!)),0,1),2)*$G67*$F67*$H67/10^6+IF(ISERR(SEARCH("2d",#REF!)),IF(ISERR(SEARCH("1d",#REF!)),0,1),2)*$G67*$E67*$H67/10^6+IF(ISERR(SEARCH("2n",#REF!)),IF(ISERR(SEARCH("1n",#REF!)),0,1),2)*$F67*$E67*$H67/10^6</f>
        <v>0</v>
      </c>
      <c r="Q67" s="153" t="str">
        <f t="shared" si="3"/>
        <v/>
      </c>
      <c r="R67" s="153" t="str">
        <f t="shared" si="2"/>
        <v/>
      </c>
      <c r="S67" s="154" t="str">
        <f t="shared" si="4"/>
        <v>1000</v>
      </c>
      <c r="T67" s="153" t="str">
        <f>IFERROR(MATCH(#REF!,#REF!,0)&amp;",","")</f>
        <v/>
      </c>
      <c r="U67" s="154"/>
      <c r="Y67" s="155" t="str">
        <f t="shared" si="5"/>
        <v/>
      </c>
    </row>
    <row r="68" spans="1:25" s="155" customFormat="1" ht="30" hidden="1" customHeight="1">
      <c r="A68" s="141" t="str">
        <f t="shared" si="0"/>
        <v/>
      </c>
      <c r="B68" s="141" t="str">
        <f t="shared" si="1"/>
        <v/>
      </c>
      <c r="C68" s="157" t="str">
        <f>IF(D68="","",IFERROR((IF(LEFT(MID(D68,SEARCH("_",D68)+1,2),1)="0",(MID(D68,SEARCH("_",D68)+2,1)),MID(D68,SEARCH("_",D68)+1,2)))&amp;"."&amp;IF(LEFT(RIGHT(D68,2),1)="0",RIGHT(D68,1),RIGHT(D68,2)),MAX($C$12:$C67)+1))</f>
        <v/>
      </c>
      <c r="D68" s="158"/>
      <c r="E68" s="159"/>
      <c r="F68" s="159"/>
      <c r="G68" s="159"/>
      <c r="H68" s="159"/>
      <c r="I68" s="158"/>
      <c r="J68" s="161"/>
      <c r="K68" s="162"/>
      <c r="L68" s="163" t="str">
        <f t="shared" si="6"/>
        <v/>
      </c>
      <c r="M68" s="164">
        <f t="shared" si="7"/>
        <v>0</v>
      </c>
      <c r="N68" s="165">
        <f>IF(ISERR(SEARCH("2d",#REF!)),IF(ISERR(SEARCH("1d",#REF!)),0,1),2)*($G68)*$H68/10^3+IF(ISERR(SEARCH("2n",#REF!)),IF(ISERR(SEARCH("1n",#REF!)),0,1),2)*($F68)*$H68/10^3</f>
        <v>0</v>
      </c>
      <c r="O68" s="165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P68" s="166">
        <f>IF(ISERR(SEARCH("2m",#REF!)),IF(ISERR(SEARCH("1m",#REF!)),0,1),2)*$G68*$F68*$H68/10^6+IF(ISERR(SEARCH("2d",#REF!)),IF(ISERR(SEARCH("1d",#REF!)),0,1),2)*$G68*$E68*$H68/10^6+IF(ISERR(SEARCH("2n",#REF!)),IF(ISERR(SEARCH("1n",#REF!)),0,1),2)*$F68*$E68*$H68/10^6</f>
        <v>0</v>
      </c>
      <c r="Q68" s="153" t="str">
        <f t="shared" si="3"/>
        <v/>
      </c>
      <c r="R68" s="153" t="str">
        <f t="shared" si="2"/>
        <v/>
      </c>
      <c r="S68" s="154" t="str">
        <f t="shared" si="4"/>
        <v>1000</v>
      </c>
      <c r="T68" s="153" t="str">
        <f>IFERROR(MATCH(#REF!,#REF!,0)&amp;",","")</f>
        <v/>
      </c>
      <c r="U68" s="154"/>
      <c r="Y68" s="155" t="str">
        <f t="shared" si="5"/>
        <v/>
      </c>
    </row>
    <row r="69" spans="1:25" s="155" customFormat="1" ht="30" hidden="1" customHeight="1">
      <c r="A69" s="141" t="str">
        <f t="shared" si="0"/>
        <v/>
      </c>
      <c r="B69" s="141" t="str">
        <f t="shared" si="1"/>
        <v/>
      </c>
      <c r="C69" s="157" t="str">
        <f>IF(D69="","",IFERROR((IF(LEFT(MID(D69,SEARCH("_",D69)+1,2),1)="0",(MID(D69,SEARCH("_",D69)+2,1)),MID(D69,SEARCH("_",D69)+1,2)))&amp;"."&amp;IF(LEFT(RIGHT(D69,2),1)="0",RIGHT(D69,1),RIGHT(D69,2)),MAX($C$12:$C68)+1))</f>
        <v/>
      </c>
      <c r="D69" s="158"/>
      <c r="E69" s="159"/>
      <c r="F69" s="159"/>
      <c r="G69" s="159"/>
      <c r="H69" s="159"/>
      <c r="I69" s="158"/>
      <c r="J69" s="161"/>
      <c r="K69" s="162"/>
      <c r="L69" s="163" t="str">
        <f t="shared" si="6"/>
        <v/>
      </c>
      <c r="M69" s="164">
        <f t="shared" si="7"/>
        <v>0</v>
      </c>
      <c r="N69" s="165">
        <f>IF(ISERR(SEARCH("2d",#REF!)),IF(ISERR(SEARCH("1d",#REF!)),0,1),2)*($G69)*$H69/10^3+IF(ISERR(SEARCH("2n",#REF!)),IF(ISERR(SEARCH("1n",#REF!)),0,1),2)*($F69)*$H69/10^3</f>
        <v>0</v>
      </c>
      <c r="O69" s="165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P69" s="166">
        <f>IF(ISERR(SEARCH("2m",#REF!)),IF(ISERR(SEARCH("1m",#REF!)),0,1),2)*$G69*$F69*$H69/10^6+IF(ISERR(SEARCH("2d",#REF!)),IF(ISERR(SEARCH("1d",#REF!)),0,1),2)*$G69*$E69*$H69/10^6+IF(ISERR(SEARCH("2n",#REF!)),IF(ISERR(SEARCH("1n",#REF!)),0,1),2)*$F69*$E69*$H69/10^6</f>
        <v>0</v>
      </c>
      <c r="Q69" s="153" t="str">
        <f t="shared" si="3"/>
        <v/>
      </c>
      <c r="R69" s="153" t="str">
        <f t="shared" si="2"/>
        <v/>
      </c>
      <c r="S69" s="154" t="str">
        <f t="shared" si="4"/>
        <v>1000</v>
      </c>
      <c r="T69" s="153" t="str">
        <f>IFERROR(MATCH(#REF!,#REF!,0)&amp;",","")</f>
        <v/>
      </c>
      <c r="U69" s="154"/>
      <c r="Y69" s="155" t="str">
        <f t="shared" si="5"/>
        <v/>
      </c>
    </row>
    <row r="70" spans="1:25" s="155" customFormat="1" ht="30" hidden="1" customHeight="1">
      <c r="A70" s="141" t="str">
        <f t="shared" si="0"/>
        <v/>
      </c>
      <c r="B70" s="141" t="str">
        <f t="shared" si="1"/>
        <v/>
      </c>
      <c r="C70" s="157" t="str">
        <f>IF(D70="","",IFERROR((IF(LEFT(MID(D70,SEARCH("_",D70)+1,2),1)="0",(MID(D70,SEARCH("_",D70)+2,1)),MID(D70,SEARCH("_",D70)+1,2)))&amp;"."&amp;IF(LEFT(RIGHT(D70,2),1)="0",RIGHT(D70,1),RIGHT(D70,2)),MAX($C$12:$C69)+1))</f>
        <v/>
      </c>
      <c r="D70" s="158"/>
      <c r="E70" s="159"/>
      <c r="F70" s="159"/>
      <c r="G70" s="159"/>
      <c r="H70" s="159"/>
      <c r="I70" s="158"/>
      <c r="J70" s="161"/>
      <c r="K70" s="162"/>
      <c r="L70" s="163" t="str">
        <f t="shared" si="6"/>
        <v/>
      </c>
      <c r="M70" s="164">
        <f t="shared" si="7"/>
        <v>0</v>
      </c>
      <c r="N70" s="165">
        <f>IF(ISERR(SEARCH("2d",#REF!)),IF(ISERR(SEARCH("1d",#REF!)),0,1),2)*($G70)*$H70/10^3+IF(ISERR(SEARCH("2n",#REF!)),IF(ISERR(SEARCH("1n",#REF!)),0,1),2)*($F70)*$H70/10^3</f>
        <v>0</v>
      </c>
      <c r="O70" s="165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P70" s="166">
        <f>IF(ISERR(SEARCH("2m",#REF!)),IF(ISERR(SEARCH("1m",#REF!)),0,1),2)*$G70*$F70*$H70/10^6+IF(ISERR(SEARCH("2d",#REF!)),IF(ISERR(SEARCH("1d",#REF!)),0,1),2)*$G70*$E70*$H70/10^6+IF(ISERR(SEARCH("2n",#REF!)),IF(ISERR(SEARCH("1n",#REF!)),0,1),2)*$F70*$E70*$H70/10^6</f>
        <v>0</v>
      </c>
      <c r="Q70" s="153" t="str">
        <f t="shared" si="3"/>
        <v/>
      </c>
      <c r="R70" s="153" t="str">
        <f t="shared" si="2"/>
        <v/>
      </c>
      <c r="S70" s="154" t="str">
        <f t="shared" si="4"/>
        <v>1000</v>
      </c>
      <c r="T70" s="153" t="str">
        <f>IFERROR(MATCH(#REF!,#REF!,0)&amp;",","")</f>
        <v/>
      </c>
      <c r="U70" s="154"/>
      <c r="Y70" s="155" t="str">
        <f t="shared" si="5"/>
        <v/>
      </c>
    </row>
    <row r="71" spans="1:25" s="155" customFormat="1" ht="30" hidden="1" customHeight="1">
      <c r="A71" s="141" t="str">
        <f t="shared" si="0"/>
        <v/>
      </c>
      <c r="B71" s="141" t="str">
        <f t="shared" si="1"/>
        <v/>
      </c>
      <c r="C71" s="157" t="str">
        <f>IF(D71="","",IFERROR((IF(LEFT(MID(D71,SEARCH("_",D71)+1,2),1)="0",(MID(D71,SEARCH("_",D71)+2,1)),MID(D71,SEARCH("_",D71)+1,2)))&amp;"."&amp;IF(LEFT(RIGHT(D71,2),1)="0",RIGHT(D71,1),RIGHT(D71,2)),MAX($C$12:$C70)+1))</f>
        <v/>
      </c>
      <c r="D71" s="158"/>
      <c r="E71" s="159"/>
      <c r="F71" s="159"/>
      <c r="G71" s="159"/>
      <c r="H71" s="159"/>
      <c r="I71" s="158"/>
      <c r="J71" s="161"/>
      <c r="K71" s="162"/>
      <c r="L71" s="163" t="str">
        <f t="shared" si="6"/>
        <v/>
      </c>
      <c r="M71" s="164">
        <f t="shared" si="7"/>
        <v>0</v>
      </c>
      <c r="N71" s="165">
        <f>IF(ISERR(SEARCH("2d",#REF!)),IF(ISERR(SEARCH("1d",#REF!)),0,1),2)*($G71)*$H71/10^3+IF(ISERR(SEARCH("2n",#REF!)),IF(ISERR(SEARCH("1n",#REF!)),0,1),2)*($F71)*$H71/10^3</f>
        <v>0</v>
      </c>
      <c r="O71" s="165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P71" s="166">
        <f>IF(ISERR(SEARCH("2m",#REF!)),IF(ISERR(SEARCH("1m",#REF!)),0,1),2)*$G71*$F71*$H71/10^6+IF(ISERR(SEARCH("2d",#REF!)),IF(ISERR(SEARCH("1d",#REF!)),0,1),2)*$G71*$E71*$H71/10^6+IF(ISERR(SEARCH("2n",#REF!)),IF(ISERR(SEARCH("1n",#REF!)),0,1),2)*$F71*$E71*$H71/10^6</f>
        <v>0</v>
      </c>
      <c r="Q71" s="153" t="str">
        <f t="shared" si="3"/>
        <v/>
      </c>
      <c r="R71" s="153" t="str">
        <f t="shared" si="2"/>
        <v/>
      </c>
      <c r="S71" s="154" t="str">
        <f t="shared" si="4"/>
        <v>1000</v>
      </c>
      <c r="T71" s="153" t="str">
        <f>IFERROR(MATCH(#REF!,#REF!,0)&amp;",","")</f>
        <v/>
      </c>
      <c r="U71" s="154"/>
      <c r="Y71" s="155" t="str">
        <f t="shared" si="5"/>
        <v/>
      </c>
    </row>
    <row r="72" spans="1:25" s="155" customFormat="1" ht="30" hidden="1" customHeight="1">
      <c r="A72" s="141" t="str">
        <f t="shared" si="0"/>
        <v/>
      </c>
      <c r="B72" s="141" t="str">
        <f t="shared" si="1"/>
        <v/>
      </c>
      <c r="C72" s="157" t="str">
        <f>IF(D72="","",IFERROR((IF(LEFT(MID(D72,SEARCH("_",D72)+1,2),1)="0",(MID(D72,SEARCH("_",D72)+2,1)),MID(D72,SEARCH("_",D72)+1,2)))&amp;"."&amp;IF(LEFT(RIGHT(D72,2),1)="0",RIGHT(D72,1),RIGHT(D72,2)),MAX($C$12:$C71)+1))</f>
        <v/>
      </c>
      <c r="D72" s="158"/>
      <c r="E72" s="159"/>
      <c r="F72" s="159"/>
      <c r="G72" s="159"/>
      <c r="H72" s="159"/>
      <c r="I72" s="158"/>
      <c r="J72" s="161"/>
      <c r="K72" s="162"/>
      <c r="L72" s="163" t="str">
        <f t="shared" si="6"/>
        <v/>
      </c>
      <c r="M72" s="164">
        <f t="shared" si="7"/>
        <v>0</v>
      </c>
      <c r="N72" s="165">
        <f>IF(ISERR(SEARCH("2d",#REF!)),IF(ISERR(SEARCH("1d",#REF!)),0,1),2)*($G72)*$H72/10^3+IF(ISERR(SEARCH("2n",#REF!)),IF(ISERR(SEARCH("1n",#REF!)),0,1),2)*($F72)*$H72/10^3</f>
        <v>0</v>
      </c>
      <c r="O72" s="165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P72" s="166">
        <f>IF(ISERR(SEARCH("2m",#REF!)),IF(ISERR(SEARCH("1m",#REF!)),0,1),2)*$G72*$F72*$H72/10^6+IF(ISERR(SEARCH("2d",#REF!)),IF(ISERR(SEARCH("1d",#REF!)),0,1),2)*$G72*$E72*$H72/10^6+IF(ISERR(SEARCH("2n",#REF!)),IF(ISERR(SEARCH("1n",#REF!)),0,1),2)*$F72*$E72*$H72/10^6</f>
        <v>0</v>
      </c>
      <c r="Q72" s="153" t="str">
        <f t="shared" si="3"/>
        <v/>
      </c>
      <c r="R72" s="153" t="str">
        <f t="shared" si="2"/>
        <v/>
      </c>
      <c r="S72" s="154" t="str">
        <f t="shared" si="4"/>
        <v>1000</v>
      </c>
      <c r="T72" s="153" t="str">
        <f>IFERROR(MATCH(#REF!,#REF!,0)&amp;",","")</f>
        <v/>
      </c>
      <c r="U72" s="154"/>
      <c r="Y72" s="155" t="str">
        <f t="shared" si="5"/>
        <v/>
      </c>
    </row>
    <row r="73" spans="1:25" s="155" customFormat="1" ht="30" hidden="1" customHeight="1">
      <c r="A73" s="141" t="str">
        <f t="shared" si="0"/>
        <v/>
      </c>
      <c r="B73" s="141" t="str">
        <f t="shared" si="1"/>
        <v/>
      </c>
      <c r="C73" s="157" t="str">
        <f>IF(D73="","",IFERROR((IF(LEFT(MID(D73,SEARCH("_",D73)+1,2),1)="0",(MID(D73,SEARCH("_",D73)+2,1)),MID(D73,SEARCH("_",D73)+1,2)))&amp;"."&amp;IF(LEFT(RIGHT(D73,2),1)="0",RIGHT(D73,1),RIGHT(D73,2)),MAX($C$12:$C72)+1))</f>
        <v/>
      </c>
      <c r="D73" s="158"/>
      <c r="E73" s="159"/>
      <c r="F73" s="159"/>
      <c r="G73" s="159"/>
      <c r="H73" s="159"/>
      <c r="I73" s="158"/>
      <c r="J73" s="161"/>
      <c r="K73" s="162"/>
      <c r="L73" s="163" t="str">
        <f t="shared" si="6"/>
        <v/>
      </c>
      <c r="M73" s="164">
        <f t="shared" si="7"/>
        <v>0</v>
      </c>
      <c r="N73" s="165">
        <f>IF(ISERR(SEARCH("2d",#REF!)),IF(ISERR(SEARCH("1d",#REF!)),0,1),2)*($G73)*$H73/10^3+IF(ISERR(SEARCH("2n",#REF!)),IF(ISERR(SEARCH("1n",#REF!)),0,1),2)*($F73)*$H73/10^3</f>
        <v>0</v>
      </c>
      <c r="O73" s="165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P73" s="166">
        <f>IF(ISERR(SEARCH("2m",#REF!)),IF(ISERR(SEARCH("1m",#REF!)),0,1),2)*$G73*$F73*$H73/10^6+IF(ISERR(SEARCH("2d",#REF!)),IF(ISERR(SEARCH("1d",#REF!)),0,1),2)*$G73*$E73*$H73/10^6+IF(ISERR(SEARCH("2n",#REF!)),IF(ISERR(SEARCH("1n",#REF!)),0,1),2)*$F73*$E73*$H73/10^6</f>
        <v>0</v>
      </c>
      <c r="Q73" s="153" t="str">
        <f t="shared" si="3"/>
        <v/>
      </c>
      <c r="R73" s="153" t="str">
        <f t="shared" si="2"/>
        <v/>
      </c>
      <c r="S73" s="154" t="str">
        <f t="shared" si="4"/>
        <v>1000</v>
      </c>
      <c r="T73" s="153" t="str">
        <f>IFERROR(MATCH(#REF!,#REF!,0)&amp;",","")</f>
        <v/>
      </c>
      <c r="U73" s="154"/>
      <c r="Y73" s="155" t="str">
        <f t="shared" si="5"/>
        <v/>
      </c>
    </row>
    <row r="74" spans="1:25" s="155" customFormat="1" ht="30" hidden="1" customHeight="1">
      <c r="A74" s="141" t="str">
        <f t="shared" si="0"/>
        <v/>
      </c>
      <c r="B74" s="141" t="str">
        <f t="shared" si="1"/>
        <v/>
      </c>
      <c r="C74" s="157" t="str">
        <f>IF(D74="","",IFERROR((IF(LEFT(MID(D74,SEARCH("_",D74)+1,2),1)="0",(MID(D74,SEARCH("_",D74)+2,1)),MID(D74,SEARCH("_",D74)+1,2)))&amp;"."&amp;IF(LEFT(RIGHT(D74,2),1)="0",RIGHT(D74,1),RIGHT(D74,2)),MAX($C$12:$C73)+1))</f>
        <v/>
      </c>
      <c r="D74" s="158"/>
      <c r="E74" s="159"/>
      <c r="F74" s="159"/>
      <c r="G74" s="159"/>
      <c r="H74" s="159"/>
      <c r="I74" s="158"/>
      <c r="J74" s="161"/>
      <c r="K74" s="162"/>
      <c r="L74" s="163" t="str">
        <f t="shared" si="6"/>
        <v/>
      </c>
      <c r="M74" s="164">
        <f t="shared" si="7"/>
        <v>0</v>
      </c>
      <c r="N74" s="165">
        <f>IF(ISERR(SEARCH("2d",#REF!)),IF(ISERR(SEARCH("1d",#REF!)),0,1),2)*($G74)*$H74/10^3+IF(ISERR(SEARCH("2n",#REF!)),IF(ISERR(SEARCH("1n",#REF!)),0,1),2)*($F74)*$H74/10^3</f>
        <v>0</v>
      </c>
      <c r="O74" s="165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P74" s="166">
        <f>IF(ISERR(SEARCH("2m",#REF!)),IF(ISERR(SEARCH("1m",#REF!)),0,1),2)*$G74*$F74*$H74/10^6+IF(ISERR(SEARCH("2d",#REF!)),IF(ISERR(SEARCH("1d",#REF!)),0,1),2)*$G74*$E74*$H74/10^6+IF(ISERR(SEARCH("2n",#REF!)),IF(ISERR(SEARCH("1n",#REF!)),0,1),2)*$F74*$E74*$H74/10^6</f>
        <v>0</v>
      </c>
      <c r="Q74" s="153" t="str">
        <f t="shared" si="3"/>
        <v/>
      </c>
      <c r="R74" s="153" t="str">
        <f t="shared" si="2"/>
        <v/>
      </c>
      <c r="S74" s="154" t="str">
        <f t="shared" si="4"/>
        <v>1000</v>
      </c>
      <c r="T74" s="153" t="str">
        <f>IFERROR(MATCH(#REF!,#REF!,0)&amp;",","")</f>
        <v/>
      </c>
      <c r="U74" s="154"/>
      <c r="Y74" s="155" t="str">
        <f t="shared" si="5"/>
        <v/>
      </c>
    </row>
    <row r="75" spans="1:25" s="155" customFormat="1" ht="30" hidden="1" customHeight="1">
      <c r="A75" s="141" t="str">
        <f t="shared" si="0"/>
        <v/>
      </c>
      <c r="B75" s="141" t="str">
        <f t="shared" si="1"/>
        <v/>
      </c>
      <c r="C75" s="157" t="str">
        <f>IF(D75="","",IFERROR((IF(LEFT(MID(D75,SEARCH("_",D75)+1,2),1)="0",(MID(D75,SEARCH("_",D75)+2,1)),MID(D75,SEARCH("_",D75)+1,2)))&amp;"."&amp;IF(LEFT(RIGHT(D75,2),1)="0",RIGHT(D75,1),RIGHT(D75,2)),MAX($C$12:$C74)+1))</f>
        <v/>
      </c>
      <c r="D75" s="158"/>
      <c r="E75" s="159"/>
      <c r="F75" s="159"/>
      <c r="G75" s="159"/>
      <c r="H75" s="159"/>
      <c r="I75" s="158"/>
      <c r="J75" s="161"/>
      <c r="K75" s="162"/>
      <c r="L75" s="163" t="str">
        <f t="shared" si="6"/>
        <v/>
      </c>
      <c r="M75" s="164">
        <f t="shared" si="7"/>
        <v>0</v>
      </c>
      <c r="N75" s="165">
        <f>IF(ISERR(SEARCH("2d",#REF!)),IF(ISERR(SEARCH("1d",#REF!)),0,1),2)*($G75)*$H75/10^3+IF(ISERR(SEARCH("2n",#REF!)),IF(ISERR(SEARCH("1n",#REF!)),0,1),2)*($F75)*$H75/10^3</f>
        <v>0</v>
      </c>
      <c r="O75" s="165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P75" s="166">
        <f>IF(ISERR(SEARCH("2m",#REF!)),IF(ISERR(SEARCH("1m",#REF!)),0,1),2)*$G75*$F75*$H75/10^6+IF(ISERR(SEARCH("2d",#REF!)),IF(ISERR(SEARCH("1d",#REF!)),0,1),2)*$G75*$E75*$H75/10^6+IF(ISERR(SEARCH("2n",#REF!)),IF(ISERR(SEARCH("1n",#REF!)),0,1),2)*$F75*$E75*$H75/10^6</f>
        <v>0</v>
      </c>
      <c r="Q75" s="153" t="str">
        <f t="shared" si="3"/>
        <v/>
      </c>
      <c r="R75" s="153" t="str">
        <f t="shared" si="2"/>
        <v/>
      </c>
      <c r="S75" s="154" t="str">
        <f t="shared" si="4"/>
        <v>1000</v>
      </c>
      <c r="T75" s="153" t="str">
        <f>IFERROR(MATCH(#REF!,#REF!,0)&amp;",","")</f>
        <v/>
      </c>
      <c r="U75" s="154"/>
      <c r="Y75" s="155" t="str">
        <f t="shared" si="5"/>
        <v/>
      </c>
    </row>
    <row r="76" spans="1:25" s="155" customFormat="1" ht="30" hidden="1" customHeight="1">
      <c r="A76" s="141" t="str">
        <f t="shared" ref="A76:A77" si="8">IF(R76="IN",$E$6,"")</f>
        <v/>
      </c>
      <c r="B76" s="141" t="str">
        <f t="shared" ref="B76:B77" si="9">IF(R76="IN","Muc "&amp;$E$7,"")</f>
        <v/>
      </c>
      <c r="C76" s="157" t="str">
        <f>IF(D76="","",IFERROR((IF(LEFT(MID(D76,SEARCH("_",D76)+1,2),1)="0",(MID(D76,SEARCH("_",D76)+2,1)),MID(D76,SEARCH("_",D76)+1,2)))&amp;"."&amp;IF(LEFT(RIGHT(D76,2),1)="0",RIGHT(D76,1),RIGHT(D76,2)),MAX($C$12:$C75)+1))</f>
        <v/>
      </c>
      <c r="D76" s="158"/>
      <c r="E76" s="159"/>
      <c r="F76" s="159"/>
      <c r="G76" s="159"/>
      <c r="H76" s="159"/>
      <c r="I76" s="158"/>
      <c r="J76" s="161"/>
      <c r="K76" s="162"/>
      <c r="L76" s="163" t="str">
        <f t="shared" si="6"/>
        <v/>
      </c>
      <c r="M76" s="164">
        <f t="shared" si="7"/>
        <v>0</v>
      </c>
      <c r="N76" s="165">
        <f>IF(ISERR(SEARCH("2d",#REF!)),IF(ISERR(SEARCH("1d",#REF!)),0,1),2)*($G76)*$H76/10^3+IF(ISERR(SEARCH("2n",#REF!)),IF(ISERR(SEARCH("1n",#REF!)),0,1),2)*($F76)*$H76/10^3</f>
        <v>0</v>
      </c>
      <c r="O76" s="165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P76" s="166">
        <f>IF(ISERR(SEARCH("2m",#REF!)),IF(ISERR(SEARCH("1m",#REF!)),0,1),2)*$G76*$F76*$H76/10^6+IF(ISERR(SEARCH("2d",#REF!)),IF(ISERR(SEARCH("1d",#REF!)),0,1),2)*$G76*$E76*$H76/10^6+IF(ISERR(SEARCH("2n",#REF!)),IF(ISERR(SEARCH("1n",#REF!)),0,1),2)*$F76*$E76*$H76/10^6</f>
        <v>0</v>
      </c>
      <c r="Q76" s="153" t="str">
        <f t="shared" si="3"/>
        <v/>
      </c>
      <c r="R76" s="153" t="str">
        <f t="shared" ref="R76:R77" si="10">IF(OR(C76&lt;&gt;"",D76&lt;&gt;""),"IN","")</f>
        <v/>
      </c>
      <c r="S76" s="154" t="str">
        <f>IFERROR(FIND(".",#REF!),"1000")</f>
        <v>1000</v>
      </c>
      <c r="T76" s="153" t="str">
        <f>IFERROR(MATCH(#REF!,#REF!,0)&amp;",","")</f>
        <v/>
      </c>
      <c r="U76" s="154"/>
      <c r="Y76" s="155" t="str">
        <f t="shared" si="5"/>
        <v/>
      </c>
    </row>
    <row r="77" spans="1:25" s="155" customFormat="1" ht="30" customHeight="1" thickBot="1">
      <c r="A77" s="141" t="str">
        <f t="shared" si="8"/>
        <v>DC113B(EI60)</v>
      </c>
      <c r="B77" s="141" t="str">
        <f t="shared" si="9"/>
        <v>Muc 9.1</v>
      </c>
      <c r="C77" s="183"/>
      <c r="D77" s="184" t="s">
        <v>38</v>
      </c>
      <c r="E77" s="209"/>
      <c r="F77" s="209"/>
      <c r="G77" s="209"/>
      <c r="H77" s="209"/>
      <c r="I77" s="185"/>
      <c r="J77" s="188"/>
      <c r="K77" s="183"/>
      <c r="L77" s="187"/>
      <c r="M77" s="187"/>
      <c r="N77" s="189">
        <f>SUM(N12:N76)</f>
        <v>0</v>
      </c>
      <c r="O77" s="189">
        <f>SUM(O12:O76)</f>
        <v>0</v>
      </c>
      <c r="P77" s="190">
        <f>SUM(P12:P76)</f>
        <v>0</v>
      </c>
      <c r="Q77" s="153">
        <f t="shared" si="3"/>
        <v>6</v>
      </c>
      <c r="R77" s="153" t="str">
        <f t="shared" si="10"/>
        <v>IN</v>
      </c>
      <c r="S77" s="154"/>
      <c r="T77" s="153"/>
      <c r="U77" s="154"/>
    </row>
    <row r="78" spans="1:25" ht="27" customHeight="1">
      <c r="D78" s="80" t="s">
        <v>42</v>
      </c>
      <c r="E78" s="210"/>
      <c r="F78" s="210"/>
      <c r="G78" s="210"/>
      <c r="H78" s="210"/>
      <c r="I78" s="35"/>
      <c r="J78" s="10"/>
      <c r="K78" s="35"/>
      <c r="L78" s="35"/>
      <c r="M78" s="35"/>
      <c r="N78" s="9"/>
      <c r="P78" s="9"/>
      <c r="Q78" s="10"/>
      <c r="R78" s="70" t="s">
        <v>73</v>
      </c>
      <c r="S78" s="34"/>
      <c r="T78" s="153"/>
      <c r="U78" s="34"/>
    </row>
    <row r="79" spans="1:25" ht="25.35" customHeight="1">
      <c r="C79" s="3"/>
      <c r="D79" s="36"/>
      <c r="E79" s="11"/>
      <c r="F79" s="43"/>
      <c r="G79" s="38"/>
      <c r="H79" s="43"/>
      <c r="I79" s="37"/>
      <c r="J79" s="13"/>
      <c r="K79" s="71" t="str">
        <f ca="1">"Ngày "&amp;DAY(NOW())&amp;" tháng "&amp;MONTH(NOW())&amp;" năm "&amp;YEAR(NOW())</f>
        <v>Ngày 10 tháng 8 năm 2026</v>
      </c>
      <c r="L79" s="10"/>
      <c r="M79" s="10"/>
      <c r="N79" s="41"/>
      <c r="O79" s="3"/>
      <c r="P79" s="42"/>
      <c r="Q79" s="13"/>
      <c r="R79" s="70" t="s">
        <v>73</v>
      </c>
      <c r="S79" s="34"/>
      <c r="T79" s="153"/>
      <c r="U79" s="34"/>
    </row>
    <row r="80" spans="1:25" ht="25.35" customHeight="1">
      <c r="C80" s="3"/>
      <c r="D80" s="3"/>
      <c r="E80" s="11"/>
      <c r="F80" s="43"/>
      <c r="G80" s="71" t="s">
        <v>46</v>
      </c>
      <c r="H80" s="43"/>
      <c r="I80" s="37"/>
      <c r="J80" s="13"/>
      <c r="K80" s="71" t="s">
        <v>54</v>
      </c>
      <c r="L80" s="10"/>
      <c r="M80" s="10"/>
      <c r="N80" s="41"/>
      <c r="O80" s="3"/>
      <c r="P80" s="42"/>
      <c r="Q80" s="13"/>
      <c r="R80" s="70" t="s">
        <v>73</v>
      </c>
      <c r="S80" s="34"/>
      <c r="T80" s="153"/>
      <c r="U80" s="34"/>
    </row>
    <row r="81" spans="3:21" ht="25.35" customHeight="1">
      <c r="C81" s="3"/>
      <c r="D81" s="3"/>
      <c r="E81" s="11"/>
      <c r="F81" s="43"/>
      <c r="G81" s="43"/>
      <c r="H81" s="43"/>
      <c r="I81" s="37"/>
      <c r="J81" s="13"/>
      <c r="K81" s="38"/>
      <c r="L81" s="10"/>
      <c r="M81" s="10"/>
      <c r="N81" s="41"/>
      <c r="O81" s="3"/>
      <c r="P81" s="42"/>
      <c r="Q81" s="13"/>
      <c r="R81" s="70" t="s">
        <v>73</v>
      </c>
      <c r="S81" s="34"/>
      <c r="T81" s="153"/>
      <c r="U81" s="34"/>
    </row>
    <row r="82" spans="3:21" ht="25.35" customHeight="1">
      <c r="C82" s="3"/>
      <c r="D82" s="3"/>
      <c r="E82" s="11"/>
      <c r="F82" s="43"/>
      <c r="G82" s="43"/>
      <c r="H82" s="43"/>
      <c r="I82" s="37"/>
      <c r="J82" s="13"/>
      <c r="K82" s="38"/>
      <c r="L82" s="10"/>
      <c r="M82" s="10"/>
      <c r="N82" s="41"/>
      <c r="O82" s="3"/>
      <c r="P82" s="42"/>
      <c r="Q82" s="13"/>
      <c r="R82" s="70" t="s">
        <v>73</v>
      </c>
      <c r="S82" s="34"/>
      <c r="T82" s="153"/>
      <c r="U82" s="34"/>
    </row>
    <row r="83" spans="3:21" ht="25.35" customHeight="1">
      <c r="C83" s="3"/>
      <c r="D83" s="3"/>
      <c r="E83" s="11"/>
      <c r="F83" s="43"/>
      <c r="G83" s="39"/>
      <c r="H83" s="43"/>
      <c r="I83" s="39"/>
      <c r="J83" s="13"/>
      <c r="K83" s="38"/>
      <c r="L83" s="10"/>
      <c r="M83" s="10"/>
      <c r="N83" s="41"/>
      <c r="O83" s="3"/>
      <c r="P83" s="42"/>
      <c r="Q83" s="13"/>
      <c r="R83" s="70" t="s">
        <v>73</v>
      </c>
      <c r="S83" s="34"/>
      <c r="T83" s="153"/>
      <c r="U83" s="34"/>
    </row>
    <row r="84" spans="3:21" ht="25.35" customHeight="1">
      <c r="C84" s="3"/>
      <c r="D84" s="3"/>
      <c r="E84" s="11"/>
      <c r="F84" s="43"/>
      <c r="G84" s="38" t="s">
        <v>43</v>
      </c>
      <c r="H84" s="43"/>
      <c r="I84" s="41"/>
      <c r="J84" s="13"/>
      <c r="K84" s="38" t="s">
        <v>88</v>
      </c>
      <c r="L84" s="10"/>
      <c r="M84" s="10"/>
      <c r="N84" s="41"/>
      <c r="O84" s="3"/>
      <c r="P84" s="42"/>
      <c r="Q84" s="13"/>
      <c r="R84" s="70" t="s">
        <v>73</v>
      </c>
      <c r="S84" s="34"/>
      <c r="T84" s="153"/>
      <c r="U84" s="34"/>
    </row>
    <row r="85" spans="3:21" ht="25.35" customHeight="1">
      <c r="C85" s="3"/>
      <c r="D85" s="3"/>
      <c r="E85" s="11"/>
      <c r="F85" s="43"/>
      <c r="G85" s="38"/>
      <c r="H85" s="43"/>
      <c r="I85" s="37"/>
      <c r="J85" s="13"/>
      <c r="K85" s="37"/>
      <c r="L85" s="10"/>
      <c r="M85" s="10"/>
      <c r="N85" s="41"/>
      <c r="O85" s="38"/>
      <c r="P85" s="42"/>
      <c r="Q85" s="13"/>
    </row>
    <row r="86" spans="3:21" ht="25.35" customHeight="1">
      <c r="C86" s="44"/>
      <c r="D86" s="44"/>
      <c r="E86" s="11"/>
      <c r="F86" s="43"/>
      <c r="G86" s="38"/>
      <c r="H86" s="43"/>
      <c r="I86" s="37"/>
      <c r="J86" s="13"/>
      <c r="K86" s="37"/>
      <c r="L86" s="10"/>
      <c r="M86" s="10"/>
      <c r="N86" s="41"/>
      <c r="O86" s="38"/>
      <c r="P86" s="42"/>
      <c r="Q86" s="13"/>
    </row>
    <row r="87" spans="3:21" ht="25.35" customHeight="1">
      <c r="C87" s="3"/>
      <c r="D87" s="3"/>
      <c r="E87" s="11"/>
      <c r="F87" s="43"/>
      <c r="G87" s="38"/>
      <c r="H87" s="43"/>
      <c r="I87" s="37"/>
      <c r="J87" s="13"/>
      <c r="K87" s="37"/>
      <c r="L87" s="10"/>
      <c r="M87" s="10"/>
      <c r="N87" s="41"/>
      <c r="O87" s="38"/>
      <c r="P87" s="42"/>
      <c r="Q87" s="13"/>
    </row>
    <row r="88" spans="3:21" ht="25.35" customHeight="1">
      <c r="C88" s="3"/>
      <c r="D88" s="3"/>
      <c r="E88" s="11"/>
      <c r="F88" s="92"/>
      <c r="G88" s="92"/>
      <c r="H88" s="92"/>
      <c r="I88" s="10"/>
      <c r="J88" s="46"/>
      <c r="K88" s="45"/>
      <c r="L88" s="10"/>
      <c r="M88" s="10"/>
      <c r="N88" s="286"/>
      <c r="O88" s="286"/>
      <c r="P88" s="286"/>
      <c r="Q88" s="46"/>
    </row>
  </sheetData>
  <sheetProtection formatCells="0" formatColumns="0" formatRows="0" insertColumns="0" insertRows="0" insertHyperlinks="0" deleteColumns="0" deleteRows="0" sort="0" autoFilter="0" pivotTables="0"/>
  <autoFilter ref="C11:R84" xr:uid="{842A61C4-7B4F-41B1-8FE6-0A0C645AF4DB}">
    <filterColumn colId="15">
      <customFilters>
        <customFilter operator="notEqual" val=" "/>
      </customFilters>
    </filterColumn>
  </autoFilter>
  <mergeCells count="20">
    <mergeCell ref="A10:A11"/>
    <mergeCell ref="B10:B11"/>
    <mergeCell ref="C10:C11"/>
    <mergeCell ref="D10:D11"/>
    <mergeCell ref="E10:G10"/>
    <mergeCell ref="C1:E3"/>
    <mergeCell ref="F1:J3"/>
    <mergeCell ref="L1:P1"/>
    <mergeCell ref="L2:P2"/>
    <mergeCell ref="L3:P3"/>
    <mergeCell ref="N10:N11"/>
    <mergeCell ref="O10:P10"/>
    <mergeCell ref="Q10:Q11"/>
    <mergeCell ref="N88:P88"/>
    <mergeCell ref="H10:H11"/>
    <mergeCell ref="I10:I11"/>
    <mergeCell ref="J10:J11"/>
    <mergeCell ref="K10:K11"/>
    <mergeCell ref="L10:L11"/>
    <mergeCell ref="M10:M11"/>
  </mergeCells>
  <conditionalFormatting sqref="C13:P76">
    <cfRule type="expression" dxfId="6" priority="3">
      <formula>$S12&gt;999</formula>
    </cfRule>
  </conditionalFormatting>
  <conditionalFormatting sqref="K13:L14 K20:L76">
    <cfRule type="expression" dxfId="5" priority="7">
      <formula>K13="LỖI DỮ LIỆU"</formula>
    </cfRule>
  </conditionalFormatting>
  <conditionalFormatting sqref="K13:P76">
    <cfRule type="cellIs" dxfId="4" priority="5" operator="equal">
      <formula>0</formula>
    </cfRule>
  </conditionalFormatting>
  <conditionalFormatting sqref="M13:M76">
    <cfRule type="cellIs" dxfId="3" priority="4" operator="equal">
      <formula>0</formula>
    </cfRule>
    <cfRule type="cellIs" dxfId="2" priority="6" operator="equal">
      <formula>0</formula>
    </cfRule>
  </conditionalFormatting>
  <conditionalFormatting sqref="K17:L19">
    <cfRule type="expression" dxfId="1" priority="2">
      <formula>K17="LỖI DỮ LIỆU"</formula>
    </cfRule>
  </conditionalFormatting>
  <conditionalFormatting sqref="K15:L16">
    <cfRule type="expression" dxfId="0" priority="1">
      <formula>K15="LỖI DỮ LIỆU"</formula>
    </cfRule>
  </conditionalFormatting>
  <dataValidations disablePrompts="1" count="3">
    <dataValidation type="list" allowBlank="1" showInputMessage="1" showErrorMessage="1" sqref="G84" xr:uid="{8AF9C88D-FDDB-449C-9144-A07F0E258487}">
      <formula1>$AB$2:$AB$3</formula1>
    </dataValidation>
    <dataValidation type="list" allowBlank="1" showInputMessage="1" showErrorMessage="1" sqref="L77" xr:uid="{4F111C12-19B2-452C-82D6-23D5F2C03E27}">
      <formula1>$Z$2:$Z$9</formula1>
    </dataValidation>
    <dataValidation type="list" allowBlank="1" showInputMessage="1" showErrorMessage="1" sqref="K84" xr:uid="{011F4CB9-71E8-403B-AA8C-3603514B31B5}">
      <formula1>$AA$2:$AA$7</formula1>
    </dataValidation>
  </dataValidations>
  <printOptions horizontalCentered="1"/>
  <pageMargins left="0" right="0" top="0.25" bottom="0.25" header="0" footer="0"/>
  <pageSetup paperSize="9" scale="47" orientation="landscape" r:id="rId1"/>
  <headerFooter scaleWithDoc="0" alignWithMargins="0">
    <oddFooter>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b95c77-6beb-4ae5-ab6d-bc099c36d6c2">
      <Terms xmlns="http://schemas.microsoft.com/office/infopath/2007/PartnerControls"/>
    </lcf76f155ced4ddcb4097134ff3c332f>
    <TaxCatchAll xmlns="3e5303d1-32c5-42a9-b32d-584a3f75658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DB6DF7E08AB94D98714D3002DE72D0" ma:contentTypeVersion="17" ma:contentTypeDescription="Create a new document." ma:contentTypeScope="" ma:versionID="f5e872d977b968de65883f935a6347a3">
  <xsd:schema xmlns:xsd="http://www.w3.org/2001/XMLSchema" xmlns:xs="http://www.w3.org/2001/XMLSchema" xmlns:p="http://schemas.microsoft.com/office/2006/metadata/properties" xmlns:ns2="07b95c77-6beb-4ae5-ab6d-bc099c36d6c2" xmlns:ns3="3e5303d1-32c5-42a9-b32d-584a3f75658d" targetNamespace="http://schemas.microsoft.com/office/2006/metadata/properties" ma:root="true" ma:fieldsID="189bf4694413db4982458f90974e7cf6" ns2:_="" ns3:_="">
    <xsd:import namespace="07b95c77-6beb-4ae5-ab6d-bc099c36d6c2"/>
    <xsd:import namespace="3e5303d1-32c5-42a9-b32d-584a3f7565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b95c77-6beb-4ae5-ab6d-bc099c36d6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526d1e-3cf2-4c11-b890-9cf8d77efe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303d1-32c5-42a9-b32d-584a3f75658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223d4ac-93bf-4551-842a-e39211a1d73e}" ma:internalName="TaxCatchAll" ma:showField="CatchAllData" ma:web="3e5303d1-32c5-42a9-b32d-584a3f7565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6576ED-50C9-418F-9BC4-2AAEC2FF8A5C}">
  <ds:schemaRefs>
    <ds:schemaRef ds:uri="http://schemas.microsoft.com/office/2006/metadata/properties"/>
    <ds:schemaRef ds:uri="http://www.w3.org/2000/xmlns/"/>
    <ds:schemaRef ds:uri="http://schemas.microsoft.com/office/infopath/2007/PartnerControls"/>
    <ds:schemaRef ds:uri="07b95c77-6beb-4ae5-ab6d-bc099c36d6c2"/>
    <ds:schemaRef ds:uri="3e5303d1-32c5-42a9-b32d-584a3f75658d"/>
  </ds:schemaRefs>
</ds:datastoreItem>
</file>

<file path=customXml/itemProps2.xml><?xml version="1.0" encoding="utf-8"?>
<ds:datastoreItem xmlns:ds="http://schemas.openxmlformats.org/officeDocument/2006/customXml" ds:itemID="{8EE87320-E2E2-46CF-8BF7-575F2824C98B}"/>
</file>

<file path=customXml/itemProps3.xml><?xml version="1.0" encoding="utf-8"?>
<ds:datastoreItem xmlns:ds="http://schemas.openxmlformats.org/officeDocument/2006/customXml" ds:itemID="{C9572A57-A550-4B09-9E8A-AC4A8B935F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49</vt:i4>
      </vt:variant>
    </vt:vector>
  </HeadingPairs>
  <TitlesOfParts>
    <vt:vector size="62" baseType="lpstr">
      <vt:lpstr>BOM_Phan I</vt:lpstr>
      <vt:lpstr>BOM_Phan II</vt:lpstr>
      <vt:lpstr>BOM_Phan III</vt:lpstr>
      <vt:lpstr>BOM_Phan IV</vt:lpstr>
      <vt:lpstr>TC_CUA</vt:lpstr>
      <vt:lpstr>TC_KH</vt:lpstr>
      <vt:lpstr>LOẠI 1</vt:lpstr>
      <vt:lpstr>LOẠI 2</vt:lpstr>
      <vt:lpstr>LOẠI 3</vt:lpstr>
      <vt:lpstr>LOẠI 4</vt:lpstr>
      <vt:lpstr>LOẠI 5-AIR</vt:lpstr>
      <vt:lpstr>LOẠI 5-PALEET</vt:lpstr>
      <vt:lpstr>BOM_Phan V</vt:lpstr>
      <vt:lpstr>'BOM_Phan IV'!BTP_CƠ_KHÍ</vt:lpstr>
      <vt:lpstr>BTP_CƠ_KHÍ</vt:lpstr>
      <vt:lpstr>'BOM_Phan IV'!NHÓM_CHỈ_CẠNH</vt:lpstr>
      <vt:lpstr>NHÓM_CHỈ_CẠNH</vt:lpstr>
      <vt:lpstr>'BOM_Phan I'!Print_Area</vt:lpstr>
      <vt:lpstr>'BOM_Phan II'!Print_Area</vt:lpstr>
      <vt:lpstr>'BOM_Phan III'!Print_Area</vt:lpstr>
      <vt:lpstr>'BOM_Phan IV'!Print_Area</vt:lpstr>
      <vt:lpstr>'BOM_Phan V'!Print_Area</vt:lpstr>
      <vt:lpstr>'LOẠI 1'!Print_Area</vt:lpstr>
      <vt:lpstr>'LOẠI 2'!Print_Area</vt:lpstr>
      <vt:lpstr>'LOẠI 3'!Print_Area</vt:lpstr>
      <vt:lpstr>'LOẠI 4'!Print_Area</vt:lpstr>
      <vt:lpstr>'LOẠI 5-AIR'!Print_Area</vt:lpstr>
      <vt:lpstr>'LOẠI 5-PALEET'!Print_Area</vt:lpstr>
      <vt:lpstr>TC_CUA!Print_Area</vt:lpstr>
      <vt:lpstr>TC_KH!Print_Area</vt:lpstr>
      <vt:lpstr>'BOM_Phan II'!Print_Titles</vt:lpstr>
      <vt:lpstr>'BOM_Phan III'!Print_Titles</vt:lpstr>
      <vt:lpstr>'BOM_Phan IV'!Print_Titles</vt:lpstr>
      <vt:lpstr>'BOM_Phan V'!Print_Titles</vt:lpstr>
      <vt:lpstr>'LOẠI 1'!Print_Titles</vt:lpstr>
      <vt:lpstr>'LOẠI 2'!Print_Titles</vt:lpstr>
      <vt:lpstr>'LOẠI 3'!Print_Titles</vt:lpstr>
      <vt:lpstr>'LOẠI 4'!Print_Titles</vt:lpstr>
      <vt:lpstr>'LOẠI 5-AIR'!Print_Titles</vt:lpstr>
      <vt:lpstr>'LOẠI 5-PALEET'!Print_Titles</vt:lpstr>
      <vt:lpstr>TC_CUA!Print_Titles</vt:lpstr>
      <vt:lpstr>TC_KH!Print_Titles</vt:lpstr>
      <vt:lpstr>'BOM_Phan IV'!PHỤ_KIỆN</vt:lpstr>
      <vt:lpstr>PHỤ_KIỆN</vt:lpstr>
      <vt:lpstr>'BOM_Phan IV'!THẦU_PHỤ_GIA_CÔNG</vt:lpstr>
      <vt:lpstr>THẦU_PHỤ_GIA_CÔNG</vt:lpstr>
      <vt:lpstr>'BOM_Phan IV'!VẬT_TƯ_CƠ_KHÍ</vt:lpstr>
      <vt:lpstr>VẬT_TƯ_CƠ_KHÍ</vt:lpstr>
      <vt:lpstr>VẬT_TƯ_FOAM_SOFA</vt:lpstr>
      <vt:lpstr>'BOM_Phan V'!VẬT_TƯ_GỖ__VẬT_TƯ_TẤM</vt:lpstr>
      <vt:lpstr>'LOẠI 1'!VẬT_TƯ_GỖ__VẬT_TƯ_TẤM</vt:lpstr>
      <vt:lpstr>'LOẠI 2'!VẬT_TƯ_GỖ__VẬT_TƯ_TẤM</vt:lpstr>
      <vt:lpstr>'LOẠI 3'!VẬT_TƯ_GỖ__VẬT_TƯ_TẤM</vt:lpstr>
      <vt:lpstr>'LOẠI 4'!VẬT_TƯ_GỖ__VẬT_TƯ_TẤM</vt:lpstr>
      <vt:lpstr>'LOẠI 5-AIR'!VẬT_TƯ_GỖ__VẬT_TƯ_TẤM</vt:lpstr>
      <vt:lpstr>'LOẠI 5-PALEET'!VẬT_TƯ_GỖ__VẬT_TƯ_TẤM</vt:lpstr>
      <vt:lpstr>TC_CUA!VẬT_TƯ_GỖ__VẬT_TƯ_TẤM</vt:lpstr>
      <vt:lpstr>TC_KH!VẬT_TƯ_GỖ__VẬT_TƯ_TẤM</vt:lpstr>
      <vt:lpstr>VẬT_TƯ_GỖ__VẬT_TƯ_TẤM</vt:lpstr>
      <vt:lpstr>'BOM_Phan IV'!VẬT_TƯ_PHỤ</vt:lpstr>
      <vt:lpstr>VẬT_TƯ_PHỤ</vt:lpstr>
      <vt:lpstr>VẬT_TƯ_VẢI__DA__SIMILI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M365 Ktsx</cp:lastModifiedBy>
  <cp:lastPrinted>2025-02-26T03:35:49Z</cp:lastPrinted>
  <dcterms:created xsi:type="dcterms:W3CDTF">2013-04-04T07:21:53Z</dcterms:created>
  <dcterms:modified xsi:type="dcterms:W3CDTF">2026-08-10T02:02:24Z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0x010100D1DB6DF7E08AB94D98714D3002DE72D0</vt:lpwstr>
  </property>
  <property fmtid="{D5CDD505-2E9C-101B-9397-08002B2CF9AE}" pid="3" name="MediaServiceImageTags">
    <vt:lpwstr/>
  </property>
</Properties>
</file>